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smart/Downloads/"/>
    </mc:Choice>
  </mc:AlternateContent>
  <xr:revisionPtr revIDLastSave="0" documentId="8_{1BF4D5F7-38E4-7A42-AA65-E7AA07747C9B}" xr6:coauthVersionLast="47" xr6:coauthVersionMax="47" xr10:uidLastSave="{00000000-0000-0000-0000-000000000000}"/>
  <bookViews>
    <workbookView xWindow="0" yWindow="660" windowWidth="29400" windowHeight="18460" activeTab="4" xr2:uid="{00000000-000D-0000-FFFF-FFFF00000000}"/>
  </bookViews>
  <sheets>
    <sheet name="Dashboard" sheetId="1" r:id="rId1"/>
    <sheet name="Product Type Summary" sheetId="2" r:id="rId2"/>
    <sheet name="Academic Year Summary" sheetId="3" r:id="rId3"/>
    <sheet name="Grade Summary" sheetId="4" r:id="rId4"/>
    <sheet name="Margin Analysis" sheetId="5" r:id="rId5"/>
    <sheet name="Assumptions" sheetId="6" r:id="rId6"/>
    <sheet name="Source - Core 27-28" sheetId="7" r:id="rId7"/>
    <sheet name="Source - MINI 27-28" sheetId="8" r:id="rId8"/>
    <sheet name="Source - MINI+WB 27-28" sheetId="9" r:id="rId9"/>
    <sheet name="Source - Optional 26-27" sheetId="10" r:id="rId10"/>
    <sheet name="Source - CSR 26-27" sheetId="11" r:id="rId11"/>
    <sheet name="Source - CSR 25-26" sheetId="12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12" l="1"/>
  <c r="O55" i="12" s="1"/>
  <c r="Q55" i="12" s="1"/>
  <c r="R55" i="12" s="1"/>
  <c r="S55" i="12" s="1"/>
  <c r="L54" i="12"/>
  <c r="O54" i="12" s="1"/>
  <c r="Q53" i="12"/>
  <c r="L53" i="12"/>
  <c r="O53" i="12" s="1"/>
  <c r="O52" i="12"/>
  <c r="Q52" i="12" s="1"/>
  <c r="R52" i="12" s="1"/>
  <c r="S52" i="12" s="1"/>
  <c r="L52" i="12"/>
  <c r="L51" i="12"/>
  <c r="O51" i="12" s="1"/>
  <c r="Q50" i="12"/>
  <c r="P50" i="12" s="1"/>
  <c r="O50" i="12"/>
  <c r="L50" i="12"/>
  <c r="S49" i="12"/>
  <c r="R49" i="12"/>
  <c r="O49" i="12"/>
  <c r="Q49" i="12" s="1"/>
  <c r="L49" i="12"/>
  <c r="L48" i="12"/>
  <c r="O48" i="12" s="1"/>
  <c r="Q48" i="12" s="1"/>
  <c r="O47" i="12"/>
  <c r="L47" i="12"/>
  <c r="O46" i="12"/>
  <c r="Q46" i="12" s="1"/>
  <c r="R46" i="12" s="1"/>
  <c r="S46" i="12" s="1"/>
  <c r="L46" i="12"/>
  <c r="U45" i="12"/>
  <c r="R45" i="12" s="1"/>
  <c r="L45" i="12"/>
  <c r="O45" i="12" s="1"/>
  <c r="Q44" i="12"/>
  <c r="P44" i="12" s="1"/>
  <c r="O44" i="12"/>
  <c r="L44" i="12"/>
  <c r="O43" i="12"/>
  <c r="Q43" i="12" s="1"/>
  <c r="R43" i="12" s="1"/>
  <c r="S43" i="12" s="1"/>
  <c r="L43" i="12"/>
  <c r="L42" i="12"/>
  <c r="O42" i="12" s="1"/>
  <c r="Q42" i="12" s="1"/>
  <c r="O41" i="12"/>
  <c r="L41" i="12"/>
  <c r="O40" i="12"/>
  <c r="Q40" i="12" s="1"/>
  <c r="R40" i="12" s="1"/>
  <c r="S40" i="12" s="1"/>
  <c r="L40" i="12"/>
  <c r="U39" i="12"/>
  <c r="R39" i="12" s="1"/>
  <c r="L39" i="12"/>
  <c r="O39" i="12" s="1"/>
  <c r="Q38" i="12"/>
  <c r="P38" i="12"/>
  <c r="O38" i="12"/>
  <c r="L38" i="12"/>
  <c r="L37" i="12"/>
  <c r="O37" i="12" s="1"/>
  <c r="Q37" i="12" s="1"/>
  <c r="R37" i="12" s="1"/>
  <c r="S37" i="12" s="1"/>
  <c r="P36" i="12"/>
  <c r="L36" i="12"/>
  <c r="O36" i="12" s="1"/>
  <c r="Q36" i="12" s="1"/>
  <c r="O35" i="12"/>
  <c r="L35" i="12"/>
  <c r="S34" i="12"/>
  <c r="O34" i="12"/>
  <c r="Q34" i="12" s="1"/>
  <c r="R34" i="12" s="1"/>
  <c r="L34" i="12"/>
  <c r="L33" i="12"/>
  <c r="O33" i="12" s="1"/>
  <c r="Q32" i="12"/>
  <c r="P32" i="12" s="1"/>
  <c r="O32" i="12"/>
  <c r="L32" i="12"/>
  <c r="L31" i="12"/>
  <c r="O31" i="12" s="1"/>
  <c r="Q31" i="12" s="1"/>
  <c r="L30" i="12"/>
  <c r="O30" i="12" s="1"/>
  <c r="L29" i="12"/>
  <c r="O29" i="12" s="1"/>
  <c r="L28" i="12"/>
  <c r="O28" i="12" s="1"/>
  <c r="Q28" i="12" s="1"/>
  <c r="R28" i="12" s="1"/>
  <c r="S28" i="12" s="1"/>
  <c r="O27" i="12"/>
  <c r="L27" i="12"/>
  <c r="L26" i="12"/>
  <c r="O26" i="12" s="1"/>
  <c r="L25" i="12"/>
  <c r="O25" i="12" s="1"/>
  <c r="Q25" i="12" s="1"/>
  <c r="R25" i="12" s="1"/>
  <c r="S25" i="12" s="1"/>
  <c r="O24" i="12"/>
  <c r="L24" i="12"/>
  <c r="O23" i="12"/>
  <c r="L23" i="12"/>
  <c r="L22" i="12"/>
  <c r="O22" i="12" s="1"/>
  <c r="Q22" i="12" s="1"/>
  <c r="R22" i="12" s="1"/>
  <c r="S22" i="12" s="1"/>
  <c r="O21" i="12"/>
  <c r="L21" i="12"/>
  <c r="L20" i="12"/>
  <c r="O20" i="12" s="1"/>
  <c r="L19" i="12"/>
  <c r="O19" i="12" s="1"/>
  <c r="Q19" i="12" s="1"/>
  <c r="R19" i="12" s="1"/>
  <c r="S19" i="12" s="1"/>
  <c r="O18" i="12"/>
  <c r="L18" i="12"/>
  <c r="L17" i="12"/>
  <c r="O17" i="12" s="1"/>
  <c r="L16" i="12"/>
  <c r="O16" i="12" s="1"/>
  <c r="Q16" i="12" s="1"/>
  <c r="R16" i="12" s="1"/>
  <c r="S16" i="12" s="1"/>
  <c r="Q15" i="12"/>
  <c r="P15" i="12" s="1"/>
  <c r="O15" i="12"/>
  <c r="L15" i="12"/>
  <c r="O14" i="12"/>
  <c r="L14" i="12"/>
  <c r="L13" i="12"/>
  <c r="O13" i="12" s="1"/>
  <c r="Q13" i="12" s="1"/>
  <c r="R13" i="12" s="1"/>
  <c r="S13" i="12" s="1"/>
  <c r="Q12" i="12"/>
  <c r="P12" i="12" s="1"/>
  <c r="O12" i="12"/>
  <c r="L12" i="12"/>
  <c r="O11" i="12"/>
  <c r="L11" i="12"/>
  <c r="L10" i="12"/>
  <c r="O10" i="12" s="1"/>
  <c r="Q10" i="12" s="1"/>
  <c r="R10" i="12" s="1"/>
  <c r="S10" i="12" s="1"/>
  <c r="O9" i="12"/>
  <c r="L9" i="12"/>
  <c r="O8" i="12"/>
  <c r="L8" i="12"/>
  <c r="L7" i="12"/>
  <c r="O7" i="12" s="1"/>
  <c r="Q7" i="12" s="1"/>
  <c r="R7" i="12" s="1"/>
  <c r="S7" i="12" s="1"/>
  <c r="O6" i="12"/>
  <c r="L6" i="12"/>
  <c r="L5" i="12"/>
  <c r="O5" i="12" s="1"/>
  <c r="L4" i="12"/>
  <c r="O4" i="12" s="1"/>
  <c r="Q4" i="12" s="1"/>
  <c r="R4" i="12" s="1"/>
  <c r="S4" i="12" s="1"/>
  <c r="O3" i="12"/>
  <c r="L3" i="12"/>
  <c r="O2" i="12"/>
  <c r="L2" i="12"/>
  <c r="L55" i="11"/>
  <c r="O55" i="11" s="1"/>
  <c r="Q55" i="11" s="1"/>
  <c r="R55" i="11" s="1"/>
  <c r="S55" i="11" s="1"/>
  <c r="O54" i="11"/>
  <c r="L54" i="11"/>
  <c r="O53" i="11"/>
  <c r="L53" i="11"/>
  <c r="L52" i="11"/>
  <c r="O52" i="11" s="1"/>
  <c r="Q52" i="11" s="1"/>
  <c r="R52" i="11" s="1"/>
  <c r="S52" i="11" s="1"/>
  <c r="O51" i="11"/>
  <c r="L51" i="11"/>
  <c r="L50" i="11"/>
  <c r="O50" i="11" s="1"/>
  <c r="L49" i="11"/>
  <c r="O49" i="11" s="1"/>
  <c r="Q49" i="11" s="1"/>
  <c r="R49" i="11" s="1"/>
  <c r="S49" i="11" s="1"/>
  <c r="Q48" i="11"/>
  <c r="L48" i="11"/>
  <c r="O48" i="11" s="1"/>
  <c r="O47" i="11"/>
  <c r="L47" i="11"/>
  <c r="L46" i="11"/>
  <c r="O46" i="11" s="1"/>
  <c r="Q46" i="11" s="1"/>
  <c r="R46" i="11" s="1"/>
  <c r="S46" i="11" s="1"/>
  <c r="U45" i="11"/>
  <c r="R45" i="11" s="1"/>
  <c r="O45" i="11"/>
  <c r="L45" i="11"/>
  <c r="L44" i="11"/>
  <c r="O44" i="11" s="1"/>
  <c r="R43" i="11"/>
  <c r="S43" i="11" s="1"/>
  <c r="Q43" i="11"/>
  <c r="O43" i="11"/>
  <c r="L43" i="11"/>
  <c r="L42" i="11"/>
  <c r="O42" i="11" s="1"/>
  <c r="U41" i="11"/>
  <c r="R41" i="11" s="1"/>
  <c r="L41" i="11"/>
  <c r="O41" i="11" s="1"/>
  <c r="U40" i="11"/>
  <c r="S40" i="11"/>
  <c r="R40" i="11"/>
  <c r="L40" i="11"/>
  <c r="O40" i="11" s="1"/>
  <c r="Q40" i="11" s="1"/>
  <c r="O39" i="11"/>
  <c r="L39" i="11"/>
  <c r="O38" i="11"/>
  <c r="L38" i="11"/>
  <c r="L37" i="11"/>
  <c r="O37" i="11" s="1"/>
  <c r="Q37" i="11" s="1"/>
  <c r="R37" i="11" s="1"/>
  <c r="S37" i="11" s="1"/>
  <c r="Q36" i="11"/>
  <c r="O36" i="11"/>
  <c r="L36" i="11"/>
  <c r="O35" i="11"/>
  <c r="L35" i="11"/>
  <c r="Q34" i="11"/>
  <c r="R34" i="11" s="1"/>
  <c r="S34" i="11" s="1"/>
  <c r="L34" i="11"/>
  <c r="O34" i="11" s="1"/>
  <c r="U33" i="11"/>
  <c r="R33" i="11" s="1"/>
  <c r="O33" i="11"/>
  <c r="L33" i="11"/>
  <c r="L32" i="11"/>
  <c r="O32" i="11" s="1"/>
  <c r="S31" i="11"/>
  <c r="R31" i="11"/>
  <c r="Q31" i="11"/>
  <c r="R29" i="11" s="1"/>
  <c r="O31" i="11"/>
  <c r="L31" i="11"/>
  <c r="O30" i="11"/>
  <c r="L30" i="11"/>
  <c r="L29" i="11"/>
  <c r="O29" i="11" s="1"/>
  <c r="O28" i="11"/>
  <c r="Q28" i="11" s="1"/>
  <c r="R28" i="11" s="1"/>
  <c r="S28" i="11" s="1"/>
  <c r="L28" i="11"/>
  <c r="L27" i="11"/>
  <c r="O27" i="11" s="1"/>
  <c r="O26" i="11"/>
  <c r="L26" i="11"/>
  <c r="U25" i="11"/>
  <c r="R25" i="11"/>
  <c r="S25" i="11" s="1"/>
  <c r="L25" i="11"/>
  <c r="O25" i="11" s="1"/>
  <c r="Q25" i="11" s="1"/>
  <c r="O24" i="11"/>
  <c r="L24" i="11"/>
  <c r="L23" i="11"/>
  <c r="O23" i="11" s="1"/>
  <c r="O22" i="11"/>
  <c r="Q22" i="11" s="1"/>
  <c r="R22" i="11" s="1"/>
  <c r="S22" i="11" s="1"/>
  <c r="L22" i="11"/>
  <c r="L21" i="11"/>
  <c r="O21" i="11" s="1"/>
  <c r="Q20" i="11"/>
  <c r="P20" i="11" s="1"/>
  <c r="O20" i="11"/>
  <c r="L20" i="11"/>
  <c r="O19" i="11"/>
  <c r="Q19" i="11" s="1"/>
  <c r="R19" i="11" s="1"/>
  <c r="S19" i="11" s="1"/>
  <c r="L19" i="11"/>
  <c r="U18" i="11"/>
  <c r="R18" i="11" s="1"/>
  <c r="L18" i="11"/>
  <c r="O18" i="11" s="1"/>
  <c r="U17" i="11"/>
  <c r="R17" i="11" s="1"/>
  <c r="L17" i="11"/>
  <c r="O17" i="11" s="1"/>
  <c r="O16" i="11"/>
  <c r="Q16" i="11" s="1"/>
  <c r="R16" i="11" s="1"/>
  <c r="S16" i="11" s="1"/>
  <c r="L16" i="11"/>
  <c r="O15" i="11"/>
  <c r="L15" i="11"/>
  <c r="O14" i="11"/>
  <c r="L14" i="11"/>
  <c r="R13" i="11"/>
  <c r="S13" i="11" s="1"/>
  <c r="L13" i="11"/>
  <c r="O13" i="11" s="1"/>
  <c r="Q13" i="11" s="1"/>
  <c r="U12" i="11"/>
  <c r="R12" i="11"/>
  <c r="O12" i="11"/>
  <c r="L12" i="11"/>
  <c r="O11" i="11"/>
  <c r="L11" i="11"/>
  <c r="U10" i="11"/>
  <c r="O10" i="11"/>
  <c r="Q10" i="11" s="1"/>
  <c r="R10" i="11" s="1"/>
  <c r="S10" i="11" s="1"/>
  <c r="L10" i="11"/>
  <c r="L9" i="11"/>
  <c r="O9" i="11" s="1"/>
  <c r="Q8" i="11"/>
  <c r="P8" i="11" s="1"/>
  <c r="O8" i="11"/>
  <c r="L8" i="11"/>
  <c r="Q7" i="11"/>
  <c r="R7" i="11" s="1"/>
  <c r="S7" i="11" s="1"/>
  <c r="L7" i="11"/>
  <c r="O7" i="11" s="1"/>
  <c r="U6" i="11"/>
  <c r="R6" i="11" s="1"/>
  <c r="O6" i="11"/>
  <c r="L6" i="11"/>
  <c r="L5" i="11"/>
  <c r="O5" i="11" s="1"/>
  <c r="U4" i="11"/>
  <c r="S4" i="11"/>
  <c r="O4" i="11"/>
  <c r="Q4" i="11" s="1"/>
  <c r="R4" i="11" s="1"/>
  <c r="L4" i="11"/>
  <c r="P3" i="11"/>
  <c r="O3" i="11"/>
  <c r="Q3" i="11" s="1"/>
  <c r="L3" i="11"/>
  <c r="O2" i="11"/>
  <c r="L2" i="11"/>
  <c r="L162" i="9"/>
  <c r="N161" i="9"/>
  <c r="L161" i="9"/>
  <c r="L160" i="9"/>
  <c r="N159" i="9"/>
  <c r="O159" i="9" s="1"/>
  <c r="L159" i="9"/>
  <c r="L158" i="9"/>
  <c r="O157" i="9"/>
  <c r="N157" i="9"/>
  <c r="L157" i="9"/>
  <c r="O156" i="9"/>
  <c r="N156" i="9"/>
  <c r="L156" i="9"/>
  <c r="N155" i="9"/>
  <c r="L155" i="9"/>
  <c r="Q154" i="9"/>
  <c r="O154" i="9"/>
  <c r="L154" i="9"/>
  <c r="N154" i="9" s="1"/>
  <c r="O153" i="9"/>
  <c r="N153" i="9"/>
  <c r="L153" i="9"/>
  <c r="N152" i="9"/>
  <c r="O152" i="9" s="1"/>
  <c r="L152" i="9"/>
  <c r="L151" i="9"/>
  <c r="L150" i="9"/>
  <c r="O149" i="9"/>
  <c r="N149" i="9"/>
  <c r="L149" i="9"/>
  <c r="L148" i="9"/>
  <c r="N147" i="9"/>
  <c r="L147" i="9"/>
  <c r="O146" i="9"/>
  <c r="L146" i="9"/>
  <c r="N146" i="9" s="1"/>
  <c r="O145" i="9"/>
  <c r="N145" i="9"/>
  <c r="L145" i="9"/>
  <c r="O144" i="9"/>
  <c r="N144" i="9"/>
  <c r="L144" i="9"/>
  <c r="N143" i="9"/>
  <c r="O143" i="9" s="1"/>
  <c r="Q143" i="9" s="1"/>
  <c r="L143" i="9"/>
  <c r="S142" i="9"/>
  <c r="N142" i="9"/>
  <c r="O142" i="9" s="1"/>
  <c r="Q142" i="9" s="1"/>
  <c r="L142" i="9"/>
  <c r="N141" i="9"/>
  <c r="L141" i="9"/>
  <c r="L140" i="9"/>
  <c r="N140" i="9" s="1"/>
  <c r="N139" i="9"/>
  <c r="O139" i="9" s="1"/>
  <c r="L139" i="9"/>
  <c r="N138" i="9"/>
  <c r="L138" i="9"/>
  <c r="O137" i="9"/>
  <c r="N137" i="9"/>
  <c r="L137" i="9"/>
  <c r="O136" i="9"/>
  <c r="N136" i="9"/>
  <c r="L136" i="9"/>
  <c r="N135" i="9"/>
  <c r="L135" i="9"/>
  <c r="O135" i="9" s="1"/>
  <c r="L134" i="9"/>
  <c r="N133" i="9"/>
  <c r="L133" i="9"/>
  <c r="O132" i="9"/>
  <c r="L132" i="9"/>
  <c r="N132" i="9" s="1"/>
  <c r="N131" i="9"/>
  <c r="L131" i="9"/>
  <c r="O131" i="9" s="1"/>
  <c r="Q131" i="9" s="1"/>
  <c r="L129" i="9"/>
  <c r="O128" i="9"/>
  <c r="N128" i="9"/>
  <c r="L128" i="9"/>
  <c r="O127" i="9"/>
  <c r="N127" i="9"/>
  <c r="L127" i="9"/>
  <c r="O126" i="9"/>
  <c r="N126" i="9"/>
  <c r="L126" i="9"/>
  <c r="N125" i="9"/>
  <c r="L125" i="9"/>
  <c r="L124" i="9"/>
  <c r="L123" i="9"/>
  <c r="O122" i="9"/>
  <c r="N122" i="9"/>
  <c r="L122" i="9"/>
  <c r="O121" i="9"/>
  <c r="N121" i="9"/>
  <c r="L121" i="9"/>
  <c r="O120" i="9"/>
  <c r="N120" i="9"/>
  <c r="L120" i="9"/>
  <c r="O119" i="9"/>
  <c r="Q119" i="9" s="1"/>
  <c r="N119" i="9"/>
  <c r="L119" i="9"/>
  <c r="L118" i="9"/>
  <c r="L117" i="9"/>
  <c r="O116" i="9"/>
  <c r="N116" i="9"/>
  <c r="L116" i="9"/>
  <c r="O115" i="9"/>
  <c r="N115" i="9"/>
  <c r="L115" i="9"/>
  <c r="O114" i="9"/>
  <c r="N114" i="9"/>
  <c r="L114" i="9"/>
  <c r="N113" i="9"/>
  <c r="O113" i="9" s="1"/>
  <c r="L113" i="9"/>
  <c r="L112" i="9"/>
  <c r="N112" i="9" s="1"/>
  <c r="O112" i="9" s="1"/>
  <c r="L111" i="9"/>
  <c r="N111" i="9" s="1"/>
  <c r="N110" i="9"/>
  <c r="L110" i="9"/>
  <c r="L109" i="9"/>
  <c r="O108" i="9"/>
  <c r="N108" i="9"/>
  <c r="L108" i="9"/>
  <c r="O107" i="9"/>
  <c r="N107" i="9"/>
  <c r="L107" i="9"/>
  <c r="O106" i="9"/>
  <c r="N106" i="9"/>
  <c r="L106" i="9"/>
  <c r="N105" i="9"/>
  <c r="O105" i="9" s="1"/>
  <c r="L105" i="9"/>
  <c r="N104" i="9"/>
  <c r="O104" i="9" s="1"/>
  <c r="Q104" i="9" s="1"/>
  <c r="L104" i="9"/>
  <c r="L103" i="9"/>
  <c r="O102" i="9"/>
  <c r="N102" i="9"/>
  <c r="L102" i="9"/>
  <c r="O101" i="9"/>
  <c r="N101" i="9"/>
  <c r="L101" i="9"/>
  <c r="O100" i="9"/>
  <c r="N100" i="9"/>
  <c r="L100" i="9"/>
  <c r="N99" i="9"/>
  <c r="O99" i="9" s="1"/>
  <c r="L99" i="9"/>
  <c r="N98" i="9"/>
  <c r="L98" i="9"/>
  <c r="O98" i="9" s="1"/>
  <c r="L97" i="9"/>
  <c r="N97" i="9" s="1"/>
  <c r="L96" i="9"/>
  <c r="L95" i="9"/>
  <c r="O94" i="9"/>
  <c r="N94" i="9"/>
  <c r="L94" i="9"/>
  <c r="O93" i="9"/>
  <c r="N93" i="9"/>
  <c r="L93" i="9"/>
  <c r="O92" i="9"/>
  <c r="N92" i="9"/>
  <c r="L92" i="9"/>
  <c r="O91" i="9"/>
  <c r="L91" i="9"/>
  <c r="N91" i="9" s="1"/>
  <c r="L90" i="9"/>
  <c r="N89" i="9"/>
  <c r="L89" i="9"/>
  <c r="S88" i="9"/>
  <c r="L88" i="9"/>
  <c r="N88" i="9" s="1"/>
  <c r="O88" i="9" s="1"/>
  <c r="Q88" i="9" s="1"/>
  <c r="O87" i="9"/>
  <c r="N87" i="9"/>
  <c r="L87" i="9"/>
  <c r="O86" i="9"/>
  <c r="N86" i="9"/>
  <c r="L86" i="9"/>
  <c r="L85" i="9"/>
  <c r="N84" i="9"/>
  <c r="L84" i="9"/>
  <c r="L83" i="9"/>
  <c r="N83" i="9" s="1"/>
  <c r="N82" i="9"/>
  <c r="L82" i="9"/>
  <c r="L81" i="9"/>
  <c r="L80" i="9"/>
  <c r="N80" i="9" s="1"/>
  <c r="O80" i="9" s="1"/>
  <c r="O79" i="9"/>
  <c r="N79" i="9"/>
  <c r="L79" i="9"/>
  <c r="N78" i="9"/>
  <c r="O78" i="9" s="1"/>
  <c r="L78" i="9"/>
  <c r="L77" i="9"/>
  <c r="O76" i="9"/>
  <c r="L76" i="9"/>
  <c r="N76" i="9" s="1"/>
  <c r="L75" i="9"/>
  <c r="L74" i="9"/>
  <c r="O73" i="9"/>
  <c r="Q73" i="9" s="1"/>
  <c r="N73" i="9"/>
  <c r="L73" i="9"/>
  <c r="O72" i="9"/>
  <c r="N72" i="9"/>
  <c r="L72" i="9"/>
  <c r="L71" i="9"/>
  <c r="N71" i="9" s="1"/>
  <c r="L70" i="9"/>
  <c r="L69" i="9"/>
  <c r="L68" i="9"/>
  <c r="L67" i="9"/>
  <c r="O66" i="9"/>
  <c r="L66" i="9"/>
  <c r="N66" i="9" s="1"/>
  <c r="N65" i="9"/>
  <c r="O65" i="9" s="1"/>
  <c r="L65" i="9"/>
  <c r="L64" i="9"/>
  <c r="N63" i="9"/>
  <c r="L63" i="9"/>
  <c r="O62" i="9"/>
  <c r="N62" i="9"/>
  <c r="L62" i="9"/>
  <c r="N61" i="9"/>
  <c r="L61" i="9"/>
  <c r="L60" i="9"/>
  <c r="L59" i="9"/>
  <c r="O58" i="9"/>
  <c r="N58" i="9"/>
  <c r="L58" i="9"/>
  <c r="R57" i="9"/>
  <c r="Q57" i="9"/>
  <c r="S57" i="9" s="1"/>
  <c r="O57" i="9"/>
  <c r="L57" i="9"/>
  <c r="N57" i="9" s="1"/>
  <c r="N56" i="9"/>
  <c r="O56" i="9" s="1"/>
  <c r="Q56" i="9" s="1"/>
  <c r="L56" i="9"/>
  <c r="L55" i="9"/>
  <c r="L54" i="9"/>
  <c r="L53" i="9"/>
  <c r="O52" i="9"/>
  <c r="N52" i="9"/>
  <c r="L52" i="9"/>
  <c r="N51" i="9"/>
  <c r="L51" i="9"/>
  <c r="L50" i="9"/>
  <c r="N49" i="9"/>
  <c r="O49" i="9" s="1"/>
  <c r="L49" i="9"/>
  <c r="L48" i="9"/>
  <c r="R47" i="9"/>
  <c r="L47" i="9"/>
  <c r="N47" i="9" s="1"/>
  <c r="L46" i="9"/>
  <c r="R45" i="9"/>
  <c r="L45" i="9"/>
  <c r="O44" i="9"/>
  <c r="N44" i="9"/>
  <c r="L44" i="9"/>
  <c r="R43" i="9"/>
  <c r="N43" i="9"/>
  <c r="L43" i="9"/>
  <c r="O42" i="9"/>
  <c r="L42" i="9"/>
  <c r="N42" i="9" s="1"/>
  <c r="O41" i="9"/>
  <c r="N41" i="9"/>
  <c r="L41" i="9"/>
  <c r="L40" i="9"/>
  <c r="L39" i="9"/>
  <c r="O38" i="9"/>
  <c r="N38" i="9"/>
  <c r="L38" i="9"/>
  <c r="N37" i="9"/>
  <c r="L37" i="9"/>
  <c r="L36" i="9"/>
  <c r="N36" i="9" s="1"/>
  <c r="N35" i="9"/>
  <c r="O35" i="9" s="1"/>
  <c r="L35" i="9"/>
  <c r="N34" i="9"/>
  <c r="O34" i="9" s="1"/>
  <c r="L34" i="9"/>
  <c r="L33" i="9"/>
  <c r="N33" i="9" s="1"/>
  <c r="L32" i="9"/>
  <c r="L31" i="9"/>
  <c r="O30" i="9"/>
  <c r="N30" i="9"/>
  <c r="L30" i="9"/>
  <c r="N29" i="9"/>
  <c r="L29" i="9"/>
  <c r="L28" i="9"/>
  <c r="N28" i="9" s="1"/>
  <c r="N27" i="9"/>
  <c r="O27" i="9" s="1"/>
  <c r="L27" i="9"/>
  <c r="L26" i="9"/>
  <c r="L25" i="9"/>
  <c r="L24" i="9"/>
  <c r="S23" i="9"/>
  <c r="R23" i="9"/>
  <c r="O23" i="9"/>
  <c r="Q23" i="9" s="1"/>
  <c r="N23" i="9"/>
  <c r="L23" i="9"/>
  <c r="L22" i="9"/>
  <c r="N22" i="9" s="1"/>
  <c r="O21" i="9"/>
  <c r="N21" i="9"/>
  <c r="L21" i="9"/>
  <c r="L20" i="9"/>
  <c r="N20" i="9" s="1"/>
  <c r="O20" i="9" s="1"/>
  <c r="N19" i="9"/>
  <c r="L19" i="9"/>
  <c r="L18" i="9"/>
  <c r="L17" i="9"/>
  <c r="O16" i="9"/>
  <c r="N16" i="9"/>
  <c r="L16" i="9"/>
  <c r="N15" i="9"/>
  <c r="L15" i="9"/>
  <c r="L14" i="9"/>
  <c r="N14" i="9" s="1"/>
  <c r="N13" i="9"/>
  <c r="O13" i="9" s="1"/>
  <c r="L13" i="9"/>
  <c r="N12" i="9"/>
  <c r="L12" i="9"/>
  <c r="L11" i="9"/>
  <c r="O10" i="9"/>
  <c r="L10" i="9"/>
  <c r="N10" i="9" s="1"/>
  <c r="N9" i="9"/>
  <c r="L9" i="9"/>
  <c r="L8" i="9"/>
  <c r="N8" i="9" s="1"/>
  <c r="N7" i="9"/>
  <c r="O7" i="9" s="1"/>
  <c r="L7" i="9"/>
  <c r="L6" i="9"/>
  <c r="N6" i="9" s="1"/>
  <c r="N5" i="9"/>
  <c r="O5" i="9" s="1"/>
  <c r="L5" i="9"/>
  <c r="N4" i="9"/>
  <c r="L4" i="9"/>
  <c r="L3" i="9"/>
  <c r="O2" i="9"/>
  <c r="L2" i="9"/>
  <c r="N2" i="9" s="1"/>
  <c r="Q112" i="8"/>
  <c r="N112" i="8"/>
  <c r="L112" i="8"/>
  <c r="O112" i="8" s="1"/>
  <c r="O111" i="8"/>
  <c r="Q111" i="8" s="1"/>
  <c r="L111" i="8"/>
  <c r="N111" i="8" s="1"/>
  <c r="R110" i="8"/>
  <c r="O110" i="8"/>
  <c r="L110" i="8"/>
  <c r="N110" i="8" s="1"/>
  <c r="L109" i="8"/>
  <c r="N109" i="8" s="1"/>
  <c r="R108" i="8"/>
  <c r="O108" i="8"/>
  <c r="L108" i="8"/>
  <c r="N108" i="8" s="1"/>
  <c r="L107" i="8"/>
  <c r="N107" i="8" s="1"/>
  <c r="L106" i="8"/>
  <c r="O105" i="8"/>
  <c r="Q105" i="8" s="1"/>
  <c r="N105" i="8"/>
  <c r="L105" i="8"/>
  <c r="L104" i="8"/>
  <c r="O103" i="8"/>
  <c r="N103" i="8"/>
  <c r="L103" i="8"/>
  <c r="N102" i="8"/>
  <c r="O102" i="8" s="1"/>
  <c r="L102" i="8"/>
  <c r="L101" i="8"/>
  <c r="O100" i="8"/>
  <c r="N100" i="8"/>
  <c r="L100" i="8"/>
  <c r="O99" i="8"/>
  <c r="N99" i="8"/>
  <c r="L99" i="8"/>
  <c r="O98" i="8"/>
  <c r="N98" i="8"/>
  <c r="L98" i="8"/>
  <c r="N97" i="8"/>
  <c r="L97" i="8"/>
  <c r="O97" i="8" s="1"/>
  <c r="Q97" i="8" s="1"/>
  <c r="L96" i="8"/>
  <c r="L95" i="8"/>
  <c r="O94" i="8"/>
  <c r="N94" i="8"/>
  <c r="L94" i="8"/>
  <c r="O93" i="8"/>
  <c r="N93" i="8"/>
  <c r="L93" i="8"/>
  <c r="O92" i="8"/>
  <c r="N92" i="8"/>
  <c r="L92" i="8"/>
  <c r="N91" i="8"/>
  <c r="O91" i="8" s="1"/>
  <c r="L91" i="8"/>
  <c r="N90" i="8"/>
  <c r="O90" i="8" s="1"/>
  <c r="L90" i="8"/>
  <c r="N89" i="8"/>
  <c r="L89" i="8"/>
  <c r="X88" i="8"/>
  <c r="L87" i="8"/>
  <c r="L86" i="8"/>
  <c r="O85" i="8"/>
  <c r="N85" i="8"/>
  <c r="L85" i="8"/>
  <c r="O84" i="8"/>
  <c r="N84" i="8"/>
  <c r="L84" i="8"/>
  <c r="O83" i="8"/>
  <c r="N83" i="8"/>
  <c r="L83" i="8"/>
  <c r="O82" i="8"/>
  <c r="N82" i="8"/>
  <c r="L82" i="8"/>
  <c r="S81" i="8"/>
  <c r="X81" i="8" s="1"/>
  <c r="R81" i="8"/>
  <c r="Q81" i="8"/>
  <c r="O81" i="8"/>
  <c r="N81" i="8"/>
  <c r="L81" i="8"/>
  <c r="O80" i="8"/>
  <c r="Q80" i="8" s="1"/>
  <c r="N80" i="8"/>
  <c r="L80" i="8"/>
  <c r="O79" i="8"/>
  <c r="N79" i="8"/>
  <c r="L79" i="8"/>
  <c r="O78" i="8"/>
  <c r="N78" i="8"/>
  <c r="L78" i="8"/>
  <c r="O77" i="8"/>
  <c r="N77" i="8"/>
  <c r="L77" i="8"/>
  <c r="O76" i="8"/>
  <c r="N76" i="8"/>
  <c r="L76" i="8"/>
  <c r="O75" i="8"/>
  <c r="N75" i="8"/>
  <c r="L75" i="8"/>
  <c r="O74" i="8"/>
  <c r="N74" i="8"/>
  <c r="L74" i="8"/>
  <c r="O73" i="8"/>
  <c r="N73" i="8"/>
  <c r="L73" i="8"/>
  <c r="O72" i="8"/>
  <c r="Q71" i="8" s="1"/>
  <c r="N72" i="8"/>
  <c r="L72" i="8"/>
  <c r="O71" i="8"/>
  <c r="Q79" i="8" s="1"/>
  <c r="N71" i="8"/>
  <c r="L71" i="8"/>
  <c r="Q70" i="8"/>
  <c r="S70" i="8" s="1"/>
  <c r="X70" i="8" s="1"/>
  <c r="O70" i="8"/>
  <c r="N70" i="8"/>
  <c r="L70" i="8"/>
  <c r="O69" i="8"/>
  <c r="Q69" i="8" s="1"/>
  <c r="N69" i="8"/>
  <c r="L69" i="8"/>
  <c r="O68" i="8"/>
  <c r="N68" i="8"/>
  <c r="L68" i="8"/>
  <c r="O67" i="8"/>
  <c r="N67" i="8"/>
  <c r="L67" i="8"/>
  <c r="O66" i="8"/>
  <c r="N66" i="8"/>
  <c r="L66" i="8"/>
  <c r="O65" i="8"/>
  <c r="N65" i="8"/>
  <c r="L65" i="8"/>
  <c r="O64" i="8"/>
  <c r="N64" i="8"/>
  <c r="L64" i="8"/>
  <c r="O63" i="8"/>
  <c r="N63" i="8"/>
  <c r="L63" i="8"/>
  <c r="O62" i="8"/>
  <c r="N62" i="8"/>
  <c r="L62" i="8"/>
  <c r="L61" i="8"/>
  <c r="L60" i="8"/>
  <c r="N59" i="8"/>
  <c r="O59" i="8" s="1"/>
  <c r="Q59" i="8" s="1"/>
  <c r="L59" i="8"/>
  <c r="L58" i="8"/>
  <c r="N57" i="8"/>
  <c r="L57" i="8"/>
  <c r="N56" i="8"/>
  <c r="L56" i="8"/>
  <c r="L55" i="8"/>
  <c r="N54" i="8"/>
  <c r="L54" i="8"/>
  <c r="N53" i="8"/>
  <c r="L53" i="8"/>
  <c r="L52" i="8"/>
  <c r="N51" i="8"/>
  <c r="L51" i="8"/>
  <c r="N50" i="8"/>
  <c r="L50" i="8"/>
  <c r="N49" i="8"/>
  <c r="L49" i="8"/>
  <c r="L48" i="8"/>
  <c r="N48" i="8" s="1"/>
  <c r="Q47" i="8"/>
  <c r="N47" i="8"/>
  <c r="O47" i="8" s="1"/>
  <c r="L47" i="8"/>
  <c r="N46" i="8"/>
  <c r="O46" i="8" s="1"/>
  <c r="L46" i="8"/>
  <c r="N45" i="8"/>
  <c r="O45" i="8" s="1"/>
  <c r="L45" i="8"/>
  <c r="N44" i="8"/>
  <c r="O44" i="8" s="1"/>
  <c r="L44" i="8"/>
  <c r="N43" i="8"/>
  <c r="O43" i="8" s="1"/>
  <c r="L43" i="8"/>
  <c r="N42" i="8"/>
  <c r="O42" i="8" s="1"/>
  <c r="L42" i="8"/>
  <c r="N41" i="8"/>
  <c r="O41" i="8" s="1"/>
  <c r="L41" i="8"/>
  <c r="N40" i="8"/>
  <c r="O40" i="8" s="1"/>
  <c r="L40" i="8"/>
  <c r="N39" i="8"/>
  <c r="O39" i="8" s="1"/>
  <c r="L39" i="8"/>
  <c r="N38" i="8"/>
  <c r="O38" i="8" s="1"/>
  <c r="Q42" i="8" s="1"/>
  <c r="L38" i="8"/>
  <c r="Q37" i="8"/>
  <c r="S37" i="8" s="1"/>
  <c r="X37" i="8" s="1"/>
  <c r="O37" i="8"/>
  <c r="L37" i="8"/>
  <c r="N37" i="8" s="1"/>
  <c r="N36" i="8"/>
  <c r="O36" i="8" s="1"/>
  <c r="Q36" i="8" s="1"/>
  <c r="L36" i="8"/>
  <c r="O35" i="8"/>
  <c r="N35" i="8"/>
  <c r="L35" i="8"/>
  <c r="O34" i="8"/>
  <c r="N34" i="8"/>
  <c r="L34" i="8"/>
  <c r="O33" i="8"/>
  <c r="N33" i="8"/>
  <c r="L33" i="8"/>
  <c r="N32" i="8"/>
  <c r="O32" i="8" s="1"/>
  <c r="L32" i="8"/>
  <c r="O31" i="8"/>
  <c r="N31" i="8"/>
  <c r="L31" i="8"/>
  <c r="O30" i="8"/>
  <c r="N30" i="8"/>
  <c r="L30" i="8"/>
  <c r="N29" i="8"/>
  <c r="O29" i="8" s="1"/>
  <c r="L29" i="8"/>
  <c r="N28" i="8"/>
  <c r="O28" i="8" s="1"/>
  <c r="L28" i="8"/>
  <c r="O27" i="8"/>
  <c r="Q29" i="8" s="1"/>
  <c r="N27" i="8"/>
  <c r="L27" i="8"/>
  <c r="O26" i="8"/>
  <c r="Q26" i="8" s="1"/>
  <c r="N26" i="8"/>
  <c r="L26" i="8"/>
  <c r="O25" i="8"/>
  <c r="Q25" i="8" s="1"/>
  <c r="N25" i="8"/>
  <c r="L25" i="8"/>
  <c r="L24" i="8"/>
  <c r="O23" i="8"/>
  <c r="N23" i="8"/>
  <c r="L23" i="8"/>
  <c r="N22" i="8"/>
  <c r="O22" i="8" s="1"/>
  <c r="L22" i="8"/>
  <c r="L21" i="8"/>
  <c r="L20" i="8"/>
  <c r="N20" i="8" s="1"/>
  <c r="O20" i="8" s="1"/>
  <c r="N19" i="8"/>
  <c r="L19" i="8"/>
  <c r="O19" i="8" s="1"/>
  <c r="L18" i="8"/>
  <c r="L17" i="8"/>
  <c r="L16" i="8"/>
  <c r="L15" i="8"/>
  <c r="Q14" i="8"/>
  <c r="S14" i="8" s="1"/>
  <c r="X14" i="8" s="1"/>
  <c r="O14" i="8"/>
  <c r="N14" i="8"/>
  <c r="L14" i="8"/>
  <c r="Q13" i="8"/>
  <c r="P13" i="8"/>
  <c r="O13" i="8"/>
  <c r="N13" i="8"/>
  <c r="L13" i="8"/>
  <c r="Q12" i="8"/>
  <c r="P12" i="8"/>
  <c r="O12" i="8"/>
  <c r="N12" i="8"/>
  <c r="L12" i="8"/>
  <c r="Q11" i="8"/>
  <c r="P11" i="8" s="1"/>
  <c r="O11" i="8"/>
  <c r="N11" i="8"/>
  <c r="L11" i="8"/>
  <c r="Q10" i="8"/>
  <c r="P10" i="8" s="1"/>
  <c r="O10" i="8"/>
  <c r="N10" i="8"/>
  <c r="L10" i="8"/>
  <c r="Q9" i="8"/>
  <c r="P9" i="8" s="1"/>
  <c r="O9" i="8"/>
  <c r="N9" i="8"/>
  <c r="L9" i="8"/>
  <c r="Q8" i="8"/>
  <c r="O8" i="8"/>
  <c r="N8" i="8"/>
  <c r="L8" i="8"/>
  <c r="O7" i="8"/>
  <c r="Q7" i="8" s="1"/>
  <c r="N7" i="8"/>
  <c r="L7" i="8"/>
  <c r="O6" i="8"/>
  <c r="N6" i="8"/>
  <c r="L6" i="8"/>
  <c r="O5" i="8"/>
  <c r="N5" i="8"/>
  <c r="L5" i="8"/>
  <c r="O4" i="8"/>
  <c r="N4" i="8"/>
  <c r="L4" i="8"/>
  <c r="O3" i="8"/>
  <c r="N3" i="8"/>
  <c r="L3" i="8"/>
  <c r="O2" i="8"/>
  <c r="N2" i="8"/>
  <c r="L2" i="8"/>
  <c r="L162" i="7"/>
  <c r="L161" i="7"/>
  <c r="L160" i="7"/>
  <c r="O159" i="7"/>
  <c r="N159" i="7"/>
  <c r="L159" i="7"/>
  <c r="O158" i="7"/>
  <c r="N158" i="7"/>
  <c r="L158" i="7"/>
  <c r="O157" i="7"/>
  <c r="N157" i="7"/>
  <c r="L157" i="7"/>
  <c r="O156" i="7"/>
  <c r="N156" i="7"/>
  <c r="L156" i="7"/>
  <c r="N155" i="7"/>
  <c r="L155" i="7"/>
  <c r="L154" i="7"/>
  <c r="O153" i="7"/>
  <c r="N153" i="7"/>
  <c r="L153" i="7"/>
  <c r="O152" i="7"/>
  <c r="N152" i="7"/>
  <c r="L152" i="7"/>
  <c r="O151" i="7"/>
  <c r="N151" i="7"/>
  <c r="L151" i="7"/>
  <c r="O150" i="7"/>
  <c r="N150" i="7"/>
  <c r="L150" i="7"/>
  <c r="L149" i="7"/>
  <c r="L148" i="7"/>
  <c r="L147" i="7"/>
  <c r="L146" i="7"/>
  <c r="O145" i="7"/>
  <c r="N145" i="7"/>
  <c r="L145" i="7"/>
  <c r="O144" i="7"/>
  <c r="N144" i="7"/>
  <c r="L144" i="7"/>
  <c r="N143" i="7"/>
  <c r="L143" i="7"/>
  <c r="O143" i="7" s="1"/>
  <c r="Q143" i="7" s="1"/>
  <c r="N142" i="7"/>
  <c r="L142" i="7"/>
  <c r="L141" i="7"/>
  <c r="L140" i="7"/>
  <c r="O139" i="7"/>
  <c r="N139" i="7"/>
  <c r="L139" i="7"/>
  <c r="O138" i="7"/>
  <c r="N138" i="7"/>
  <c r="L138" i="7"/>
  <c r="O137" i="7"/>
  <c r="N137" i="7"/>
  <c r="L137" i="7"/>
  <c r="L136" i="7"/>
  <c r="N135" i="7"/>
  <c r="O135" i="7" s="1"/>
  <c r="L135" i="7"/>
  <c r="N134" i="7"/>
  <c r="L134" i="7"/>
  <c r="L133" i="7"/>
  <c r="L132" i="7"/>
  <c r="Q131" i="7"/>
  <c r="R122" i="7" s="1"/>
  <c r="O131" i="7"/>
  <c r="N131" i="7"/>
  <c r="L131" i="7"/>
  <c r="N129" i="7"/>
  <c r="O129" i="7" s="1"/>
  <c r="L129" i="7"/>
  <c r="O128" i="7"/>
  <c r="N128" i="7"/>
  <c r="L128" i="7"/>
  <c r="L127" i="7"/>
  <c r="N127" i="7" s="1"/>
  <c r="O127" i="7" s="1"/>
  <c r="L126" i="7"/>
  <c r="L125" i="7"/>
  <c r="L124" i="7"/>
  <c r="R123" i="7"/>
  <c r="O123" i="7"/>
  <c r="N123" i="7"/>
  <c r="L123" i="7"/>
  <c r="O122" i="7"/>
  <c r="N122" i="7"/>
  <c r="L122" i="7"/>
  <c r="N121" i="7"/>
  <c r="O121" i="7" s="1"/>
  <c r="L121" i="7"/>
  <c r="L120" i="7"/>
  <c r="N120" i="7" s="1"/>
  <c r="O120" i="7" s="1"/>
  <c r="N119" i="7"/>
  <c r="L119" i="7"/>
  <c r="L118" i="7"/>
  <c r="L117" i="7"/>
  <c r="N117" i="7" s="1"/>
  <c r="O117" i="7" s="1"/>
  <c r="O116" i="7"/>
  <c r="N116" i="7"/>
  <c r="L116" i="7"/>
  <c r="O115" i="7"/>
  <c r="N115" i="7"/>
  <c r="L115" i="7"/>
  <c r="L114" i="7"/>
  <c r="N113" i="7"/>
  <c r="L113" i="7"/>
  <c r="O113" i="7" s="1"/>
  <c r="N112" i="7"/>
  <c r="L112" i="7"/>
  <c r="L111" i="7"/>
  <c r="L110" i="7"/>
  <c r="L109" i="7"/>
  <c r="N109" i="7" s="1"/>
  <c r="O109" i="7" s="1"/>
  <c r="O108" i="7"/>
  <c r="N108" i="7"/>
  <c r="L108" i="7"/>
  <c r="O107" i="7"/>
  <c r="N107" i="7"/>
  <c r="L107" i="7"/>
  <c r="N106" i="7"/>
  <c r="L106" i="7"/>
  <c r="O106" i="7" s="1"/>
  <c r="O105" i="7"/>
  <c r="N105" i="7"/>
  <c r="L105" i="7"/>
  <c r="L104" i="7"/>
  <c r="L103" i="7"/>
  <c r="N103" i="7" s="1"/>
  <c r="O102" i="7"/>
  <c r="N102" i="7"/>
  <c r="L102" i="7"/>
  <c r="O101" i="7"/>
  <c r="N101" i="7"/>
  <c r="L101" i="7"/>
  <c r="N100" i="7"/>
  <c r="L100" i="7"/>
  <c r="O100" i="7" s="1"/>
  <c r="N99" i="7"/>
  <c r="O99" i="7" s="1"/>
  <c r="L99" i="7"/>
  <c r="L98" i="7"/>
  <c r="L97" i="7"/>
  <c r="L96" i="7"/>
  <c r="L95" i="7"/>
  <c r="N95" i="7" s="1"/>
  <c r="O94" i="7"/>
  <c r="N94" i="7"/>
  <c r="L94" i="7"/>
  <c r="O93" i="7"/>
  <c r="N93" i="7"/>
  <c r="L93" i="7"/>
  <c r="L92" i="7"/>
  <c r="O91" i="7"/>
  <c r="N91" i="7"/>
  <c r="L91" i="7"/>
  <c r="L90" i="7"/>
  <c r="L89" i="7"/>
  <c r="O88" i="7"/>
  <c r="Q88" i="7" s="1"/>
  <c r="N88" i="7"/>
  <c r="L88" i="7"/>
  <c r="O87" i="7"/>
  <c r="N87" i="7"/>
  <c r="L87" i="7"/>
  <c r="L86" i="7"/>
  <c r="O85" i="7"/>
  <c r="N85" i="7"/>
  <c r="L85" i="7"/>
  <c r="L84" i="7"/>
  <c r="L83" i="7"/>
  <c r="L82" i="7"/>
  <c r="L81" i="7"/>
  <c r="N81" i="7" s="1"/>
  <c r="O80" i="7"/>
  <c r="N80" i="7"/>
  <c r="L80" i="7"/>
  <c r="O79" i="7"/>
  <c r="N79" i="7"/>
  <c r="L79" i="7"/>
  <c r="L78" i="7"/>
  <c r="O77" i="7"/>
  <c r="N77" i="7"/>
  <c r="L77" i="7"/>
  <c r="N76" i="7"/>
  <c r="L76" i="7"/>
  <c r="L75" i="7"/>
  <c r="L74" i="7"/>
  <c r="N74" i="7" s="1"/>
  <c r="O73" i="7"/>
  <c r="Q73" i="7" s="1"/>
  <c r="N73" i="7"/>
  <c r="L73" i="7"/>
  <c r="N72" i="7"/>
  <c r="L72" i="7"/>
  <c r="O72" i="7" s="1"/>
  <c r="N71" i="7"/>
  <c r="O71" i="7" s="1"/>
  <c r="L71" i="7"/>
  <c r="L70" i="7"/>
  <c r="L69" i="7"/>
  <c r="L68" i="7"/>
  <c r="L67" i="7"/>
  <c r="N67" i="7" s="1"/>
  <c r="O66" i="7"/>
  <c r="N66" i="7"/>
  <c r="L66" i="7"/>
  <c r="O65" i="7"/>
  <c r="N65" i="7"/>
  <c r="L65" i="7"/>
  <c r="L64" i="7"/>
  <c r="O63" i="7"/>
  <c r="N63" i="7"/>
  <c r="L63" i="7"/>
  <c r="L62" i="7"/>
  <c r="L61" i="7"/>
  <c r="L60" i="7"/>
  <c r="L59" i="7"/>
  <c r="N59" i="7" s="1"/>
  <c r="O58" i="7"/>
  <c r="N58" i="7"/>
  <c r="L58" i="7"/>
  <c r="Q57" i="7"/>
  <c r="O57" i="7"/>
  <c r="N57" i="7"/>
  <c r="L57" i="7"/>
  <c r="L56" i="7"/>
  <c r="L55" i="7"/>
  <c r="L54" i="7"/>
  <c r="L53" i="7"/>
  <c r="N53" i="7" s="1"/>
  <c r="O52" i="7"/>
  <c r="N52" i="7"/>
  <c r="L52" i="7"/>
  <c r="O51" i="7"/>
  <c r="N51" i="7"/>
  <c r="L51" i="7"/>
  <c r="O50" i="7"/>
  <c r="N50" i="7"/>
  <c r="L50" i="7"/>
  <c r="L49" i="7"/>
  <c r="O48" i="7"/>
  <c r="N48" i="7"/>
  <c r="L48" i="7"/>
  <c r="L47" i="7"/>
  <c r="L46" i="7"/>
  <c r="L45" i="7"/>
  <c r="N45" i="7" s="1"/>
  <c r="O44" i="7"/>
  <c r="N44" i="7"/>
  <c r="L44" i="7"/>
  <c r="N43" i="7"/>
  <c r="O43" i="7" s="1"/>
  <c r="L43" i="7"/>
  <c r="N42" i="7"/>
  <c r="L42" i="7"/>
  <c r="O42" i="7" s="1"/>
  <c r="O41" i="7"/>
  <c r="N41" i="7"/>
  <c r="L41" i="7"/>
  <c r="L40" i="7"/>
  <c r="L39" i="7"/>
  <c r="N39" i="7" s="1"/>
  <c r="O38" i="7"/>
  <c r="L38" i="7"/>
  <c r="N38" i="7" s="1"/>
  <c r="N37" i="7"/>
  <c r="O37" i="7" s="1"/>
  <c r="L37" i="7"/>
  <c r="O36" i="7"/>
  <c r="N36" i="7"/>
  <c r="L36" i="7"/>
  <c r="N35" i="7"/>
  <c r="L35" i="7"/>
  <c r="O35" i="7" s="1"/>
  <c r="O34" i="7"/>
  <c r="N34" i="7"/>
  <c r="L34" i="7"/>
  <c r="N33" i="7"/>
  <c r="L33" i="7"/>
  <c r="L32" i="7"/>
  <c r="L31" i="7"/>
  <c r="N31" i="7" s="1"/>
  <c r="L30" i="7"/>
  <c r="N30" i="7" s="1"/>
  <c r="O30" i="7" s="1"/>
  <c r="O29" i="7"/>
  <c r="N29" i="7"/>
  <c r="L29" i="7"/>
  <c r="L28" i="7"/>
  <c r="N28" i="7" s="1"/>
  <c r="O28" i="7" s="1"/>
  <c r="L27" i="7"/>
  <c r="L26" i="7"/>
  <c r="N26" i="7" s="1"/>
  <c r="O26" i="7" s="1"/>
  <c r="L25" i="7"/>
  <c r="L24" i="7"/>
  <c r="L23" i="7"/>
  <c r="N23" i="7" s="1"/>
  <c r="O23" i="7" s="1"/>
  <c r="Q23" i="7" s="1"/>
  <c r="O22" i="7"/>
  <c r="Q22" i="7" s="1"/>
  <c r="N22" i="7"/>
  <c r="L22" i="7"/>
  <c r="L21" i="7"/>
  <c r="L20" i="7"/>
  <c r="L19" i="7"/>
  <c r="N19" i="7" s="1"/>
  <c r="O19" i="7" s="1"/>
  <c r="L18" i="7"/>
  <c r="L17" i="7"/>
  <c r="L16" i="7"/>
  <c r="N16" i="7" s="1"/>
  <c r="O16" i="7" s="1"/>
  <c r="O15" i="7"/>
  <c r="N15" i="7"/>
  <c r="L15" i="7"/>
  <c r="L14" i="7"/>
  <c r="O13" i="7"/>
  <c r="N13" i="7"/>
  <c r="L13" i="7"/>
  <c r="N12" i="7"/>
  <c r="L12" i="7"/>
  <c r="O12" i="7" s="1"/>
  <c r="Q12" i="7" s="1"/>
  <c r="L11" i="7"/>
  <c r="L10" i="7"/>
  <c r="N10" i="7" s="1"/>
  <c r="O10" i="7" s="1"/>
  <c r="O9" i="7"/>
  <c r="N9" i="7"/>
  <c r="L9" i="7"/>
  <c r="L8" i="7"/>
  <c r="O7" i="7"/>
  <c r="N7" i="7"/>
  <c r="L7" i="7"/>
  <c r="L6" i="7"/>
  <c r="N6" i="7" s="1"/>
  <c r="O6" i="7" s="1"/>
  <c r="N5" i="7"/>
  <c r="L5" i="7"/>
  <c r="O5" i="7" s="1"/>
  <c r="L4" i="7"/>
  <c r="L3" i="7"/>
  <c r="L2" i="7"/>
  <c r="N2" i="7" s="1"/>
  <c r="F10" i="6"/>
  <c r="F9" i="6"/>
  <c r="F8" i="6"/>
  <c r="F7" i="6"/>
  <c r="F6" i="6"/>
  <c r="AB645" i="5"/>
  <c r="Z645" i="5"/>
  <c r="AA645" i="5" s="1"/>
  <c r="Y645" i="5"/>
  <c r="V645" i="5"/>
  <c r="R645" i="5"/>
  <c r="AB644" i="5"/>
  <c r="Z644" i="5"/>
  <c r="AA644" i="5" s="1"/>
  <c r="Y644" i="5"/>
  <c r="V644" i="5"/>
  <c r="R644" i="5" s="1"/>
  <c r="AH643" i="5"/>
  <c r="AB643" i="5"/>
  <c r="Z643" i="5"/>
  <c r="AA643" i="5" s="1"/>
  <c r="Y643" i="5"/>
  <c r="V643" i="5"/>
  <c r="R643" i="5"/>
  <c r="AI642" i="5"/>
  <c r="AB642" i="5"/>
  <c r="AA642" i="5"/>
  <c r="Z642" i="5"/>
  <c r="Y642" i="5"/>
  <c r="V642" i="5"/>
  <c r="R642" i="5" s="1"/>
  <c r="AG641" i="5"/>
  <c r="AC641" i="5"/>
  <c r="AB641" i="5"/>
  <c r="Z641" i="5"/>
  <c r="AA641" i="5" s="1"/>
  <c r="Y641" i="5"/>
  <c r="V641" i="5"/>
  <c r="R641" i="5" s="1"/>
  <c r="AB640" i="5"/>
  <c r="Z640" i="5"/>
  <c r="AA640" i="5" s="1"/>
  <c r="Y640" i="5"/>
  <c r="V640" i="5"/>
  <c r="R640" i="5"/>
  <c r="AI639" i="5"/>
  <c r="AB639" i="5"/>
  <c r="AA639" i="5"/>
  <c r="Z639" i="5"/>
  <c r="Y639" i="5"/>
  <c r="V639" i="5"/>
  <c r="R639" i="5" s="1"/>
  <c r="AB638" i="5"/>
  <c r="Z638" i="5"/>
  <c r="AA638" i="5" s="1"/>
  <c r="Y638" i="5"/>
  <c r="V638" i="5"/>
  <c r="R638" i="5" s="1"/>
  <c r="AB637" i="5"/>
  <c r="AA637" i="5"/>
  <c r="AC637" i="5" s="1"/>
  <c r="Z637" i="5"/>
  <c r="Y637" i="5"/>
  <c r="V637" i="5"/>
  <c r="R637" i="5"/>
  <c r="AI636" i="5"/>
  <c r="AH636" i="5"/>
  <c r="AG636" i="5"/>
  <c r="AK636" i="5" s="1"/>
  <c r="AE636" i="5"/>
  <c r="AB636" i="5"/>
  <c r="Z636" i="5"/>
  <c r="AA636" i="5" s="1"/>
  <c r="AC636" i="5" s="1"/>
  <c r="Y636" i="5"/>
  <c r="V636" i="5"/>
  <c r="R636" i="5"/>
  <c r="AB635" i="5"/>
  <c r="Z635" i="5"/>
  <c r="AA635" i="5" s="1"/>
  <c r="Y635" i="5"/>
  <c r="V635" i="5"/>
  <c r="R635" i="5" s="1"/>
  <c r="AG634" i="5"/>
  <c r="AD634" i="5"/>
  <c r="AF634" i="5" s="1"/>
  <c r="AC634" i="5"/>
  <c r="AB634" i="5"/>
  <c r="AA634" i="5"/>
  <c r="AI634" i="5" s="1"/>
  <c r="Z634" i="5"/>
  <c r="Y634" i="5"/>
  <c r="V634" i="5"/>
  <c r="R634" i="5" s="1"/>
  <c r="AB633" i="5"/>
  <c r="AA633" i="5"/>
  <c r="Z633" i="5"/>
  <c r="Y633" i="5"/>
  <c r="V633" i="5"/>
  <c r="R633" i="5"/>
  <c r="AE632" i="5"/>
  <c r="AD632" i="5"/>
  <c r="AF632" i="5" s="1"/>
  <c r="AB632" i="5"/>
  <c r="AC632" i="5" s="1"/>
  <c r="AA632" i="5"/>
  <c r="Z632" i="5"/>
  <c r="Y632" i="5"/>
  <c r="V632" i="5"/>
  <c r="R632" i="5"/>
  <c r="AB631" i="5"/>
  <c r="AA631" i="5"/>
  <c r="Z631" i="5"/>
  <c r="Y631" i="5"/>
  <c r="V631" i="5"/>
  <c r="R631" i="5"/>
  <c r="AB630" i="5"/>
  <c r="Z630" i="5"/>
  <c r="AA630" i="5" s="1"/>
  <c r="Y630" i="5"/>
  <c r="V630" i="5"/>
  <c r="R630" i="5"/>
  <c r="AH629" i="5"/>
  <c r="AD629" i="5"/>
  <c r="AF629" i="5" s="1"/>
  <c r="AC629" i="5"/>
  <c r="AB629" i="5"/>
  <c r="AA629" i="5"/>
  <c r="AG629" i="5" s="1"/>
  <c r="Z629" i="5"/>
  <c r="Y629" i="5"/>
  <c r="V629" i="5"/>
  <c r="R629" i="5"/>
  <c r="AB628" i="5"/>
  <c r="Z628" i="5"/>
  <c r="AA628" i="5" s="1"/>
  <c r="Y628" i="5"/>
  <c r="V628" i="5"/>
  <c r="R628" i="5" s="1"/>
  <c r="AB627" i="5"/>
  <c r="Z627" i="5"/>
  <c r="AA627" i="5" s="1"/>
  <c r="Y627" i="5"/>
  <c r="V627" i="5"/>
  <c r="R627" i="5" s="1"/>
  <c r="AB626" i="5"/>
  <c r="Z626" i="5"/>
  <c r="AA626" i="5" s="1"/>
  <c r="Y626" i="5"/>
  <c r="V626" i="5"/>
  <c r="R626" i="5" s="1"/>
  <c r="AH625" i="5"/>
  <c r="AG625" i="5"/>
  <c r="AE625" i="5"/>
  <c r="AD625" i="5"/>
  <c r="AF625" i="5" s="1"/>
  <c r="AB625" i="5"/>
  <c r="AA625" i="5"/>
  <c r="AC625" i="5" s="1"/>
  <c r="Z625" i="5"/>
  <c r="Y625" i="5"/>
  <c r="V625" i="5"/>
  <c r="R625" i="5"/>
  <c r="AB624" i="5"/>
  <c r="AA624" i="5"/>
  <c r="Z624" i="5"/>
  <c r="Y624" i="5"/>
  <c r="V624" i="5"/>
  <c r="R624" i="5" s="1"/>
  <c r="AG623" i="5"/>
  <c r="AB623" i="5"/>
  <c r="Z623" i="5"/>
  <c r="AA623" i="5" s="1"/>
  <c r="AC623" i="5" s="1"/>
  <c r="Y623" i="5"/>
  <c r="V623" i="5"/>
  <c r="R623" i="5" s="1"/>
  <c r="AB622" i="5"/>
  <c r="AC622" i="5" s="1"/>
  <c r="Z622" i="5"/>
  <c r="AA622" i="5" s="1"/>
  <c r="Y622" i="5"/>
  <c r="V622" i="5"/>
  <c r="R622" i="5" s="1"/>
  <c r="AB621" i="5"/>
  <c r="Z621" i="5"/>
  <c r="AA621" i="5" s="1"/>
  <c r="Y621" i="5"/>
  <c r="V621" i="5"/>
  <c r="R621" i="5" s="1"/>
  <c r="AB620" i="5"/>
  <c r="Z620" i="5"/>
  <c r="AA620" i="5" s="1"/>
  <c r="AI620" i="5" s="1"/>
  <c r="Y620" i="5"/>
  <c r="V620" i="5"/>
  <c r="R620" i="5"/>
  <c r="AI619" i="5"/>
  <c r="AF619" i="5"/>
  <c r="AD619" i="5"/>
  <c r="AB619" i="5"/>
  <c r="AC619" i="5" s="1"/>
  <c r="AA619" i="5"/>
  <c r="Z619" i="5"/>
  <c r="Y619" i="5"/>
  <c r="V619" i="5"/>
  <c r="R619" i="5" s="1"/>
  <c r="AG618" i="5"/>
  <c r="AE618" i="5"/>
  <c r="AD618" i="5"/>
  <c r="AF618" i="5" s="1"/>
  <c r="AC618" i="5"/>
  <c r="AB618" i="5"/>
  <c r="AA618" i="5"/>
  <c r="AH618" i="5" s="1"/>
  <c r="Z618" i="5"/>
  <c r="Y618" i="5"/>
  <c r="V618" i="5"/>
  <c r="R618" i="5"/>
  <c r="AH617" i="5"/>
  <c r="AF617" i="5"/>
  <c r="AD617" i="5"/>
  <c r="AC617" i="5"/>
  <c r="AB617" i="5"/>
  <c r="Z617" i="5"/>
  <c r="AA617" i="5" s="1"/>
  <c r="AI617" i="5" s="1"/>
  <c r="Y617" i="5"/>
  <c r="V617" i="5"/>
  <c r="R617" i="5"/>
  <c r="AB616" i="5"/>
  <c r="Z616" i="5"/>
  <c r="AA616" i="5" s="1"/>
  <c r="Y616" i="5"/>
  <c r="V616" i="5"/>
  <c r="R616" i="5"/>
  <c r="AI615" i="5"/>
  <c r="AK615" i="5" s="1"/>
  <c r="AH615" i="5"/>
  <c r="AG615" i="5"/>
  <c r="AB615" i="5"/>
  <c r="Z615" i="5"/>
  <c r="AA615" i="5" s="1"/>
  <c r="AC615" i="5" s="1"/>
  <c r="Y615" i="5"/>
  <c r="V615" i="5"/>
  <c r="R615" i="5"/>
  <c r="AG614" i="5"/>
  <c r="AB614" i="5"/>
  <c r="AA614" i="5"/>
  <c r="Z614" i="5"/>
  <c r="Y614" i="5"/>
  <c r="V614" i="5"/>
  <c r="R614" i="5" s="1"/>
  <c r="AB613" i="5"/>
  <c r="AA613" i="5"/>
  <c r="Z613" i="5"/>
  <c r="Y613" i="5"/>
  <c r="V613" i="5"/>
  <c r="R613" i="5" s="1"/>
  <c r="AB612" i="5"/>
  <c r="Z612" i="5"/>
  <c r="AA612" i="5" s="1"/>
  <c r="Y612" i="5"/>
  <c r="V612" i="5"/>
  <c r="R612" i="5"/>
  <c r="AI611" i="5"/>
  <c r="AD611" i="5"/>
  <c r="AF611" i="5" s="1"/>
  <c r="AC611" i="5"/>
  <c r="AB611" i="5"/>
  <c r="AA611" i="5"/>
  <c r="Z611" i="5"/>
  <c r="Y611" i="5"/>
  <c r="V611" i="5"/>
  <c r="R611" i="5" s="1"/>
  <c r="AG610" i="5"/>
  <c r="AC610" i="5"/>
  <c r="AB610" i="5"/>
  <c r="AA610" i="5"/>
  <c r="AH610" i="5" s="1"/>
  <c r="Z610" i="5"/>
  <c r="Y610" i="5"/>
  <c r="V610" i="5"/>
  <c r="R610" i="5" s="1"/>
  <c r="AB609" i="5"/>
  <c r="Z609" i="5"/>
  <c r="AA609" i="5" s="1"/>
  <c r="Y609" i="5"/>
  <c r="V609" i="5"/>
  <c r="R609" i="5" s="1"/>
  <c r="AI608" i="5"/>
  <c r="AB608" i="5"/>
  <c r="AA608" i="5"/>
  <c r="Z608" i="5"/>
  <c r="Y608" i="5"/>
  <c r="V608" i="5"/>
  <c r="R608" i="5" s="1"/>
  <c r="AI607" i="5"/>
  <c r="AH607" i="5"/>
  <c r="AG607" i="5"/>
  <c r="AE607" i="5"/>
  <c r="AB607" i="5"/>
  <c r="AA607" i="5"/>
  <c r="AC607" i="5" s="1"/>
  <c r="Z607" i="5"/>
  <c r="Y607" i="5"/>
  <c r="V607" i="5"/>
  <c r="R607" i="5"/>
  <c r="AB606" i="5"/>
  <c r="AA606" i="5"/>
  <c r="Z606" i="5"/>
  <c r="Y606" i="5"/>
  <c r="V606" i="5"/>
  <c r="R606" i="5" s="1"/>
  <c r="AB605" i="5"/>
  <c r="Z605" i="5"/>
  <c r="AA605" i="5" s="1"/>
  <c r="AH605" i="5" s="1"/>
  <c r="Y605" i="5"/>
  <c r="V605" i="5"/>
  <c r="R605" i="5" s="1"/>
  <c r="AB604" i="5"/>
  <c r="AA604" i="5"/>
  <c r="AC604" i="5" s="1"/>
  <c r="Z604" i="5"/>
  <c r="Y604" i="5"/>
  <c r="V604" i="5"/>
  <c r="R604" i="5"/>
  <c r="AE603" i="5"/>
  <c r="AB603" i="5"/>
  <c r="AC603" i="5" s="1"/>
  <c r="AA603" i="5"/>
  <c r="Z603" i="5"/>
  <c r="Y603" i="5"/>
  <c r="V603" i="5"/>
  <c r="R603" i="5" s="1"/>
  <c r="AG602" i="5"/>
  <c r="AC602" i="5"/>
  <c r="AB602" i="5"/>
  <c r="AA602" i="5"/>
  <c r="AH602" i="5" s="1"/>
  <c r="Z602" i="5"/>
  <c r="Y602" i="5"/>
  <c r="V602" i="5"/>
  <c r="R602" i="5"/>
  <c r="AD601" i="5"/>
  <c r="AF601" i="5" s="1"/>
  <c r="AC601" i="5"/>
  <c r="AE601" i="5" s="1"/>
  <c r="AB601" i="5"/>
  <c r="Z601" i="5"/>
  <c r="AA601" i="5" s="1"/>
  <c r="Y601" i="5"/>
  <c r="V601" i="5"/>
  <c r="R601" i="5"/>
  <c r="AI600" i="5"/>
  <c r="AH600" i="5"/>
  <c r="AG600" i="5"/>
  <c r="AD600" i="5"/>
  <c r="AF600" i="5" s="1"/>
  <c r="AB600" i="5"/>
  <c r="AA600" i="5"/>
  <c r="AC600" i="5" s="1"/>
  <c r="Z600" i="5"/>
  <c r="Y600" i="5"/>
  <c r="V600" i="5"/>
  <c r="R600" i="5" s="1"/>
  <c r="AB599" i="5"/>
  <c r="Z599" i="5"/>
  <c r="AA599" i="5" s="1"/>
  <c r="AH599" i="5" s="1"/>
  <c r="Y599" i="5"/>
  <c r="V599" i="5"/>
  <c r="R599" i="5"/>
  <c r="AB598" i="5"/>
  <c r="Z598" i="5"/>
  <c r="AA598" i="5" s="1"/>
  <c r="AG598" i="5" s="1"/>
  <c r="Y598" i="5"/>
  <c r="V598" i="5"/>
  <c r="R598" i="5" s="1"/>
  <c r="AB597" i="5"/>
  <c r="Z597" i="5"/>
  <c r="AA597" i="5" s="1"/>
  <c r="AI597" i="5" s="1"/>
  <c r="Y597" i="5"/>
  <c r="V597" i="5"/>
  <c r="R597" i="5" s="1"/>
  <c r="AB596" i="5"/>
  <c r="Z596" i="5"/>
  <c r="AA596" i="5" s="1"/>
  <c r="Y596" i="5"/>
  <c r="V596" i="5"/>
  <c r="R596" i="5"/>
  <c r="AI595" i="5"/>
  <c r="AB595" i="5"/>
  <c r="AA595" i="5"/>
  <c r="Z595" i="5"/>
  <c r="Y595" i="5"/>
  <c r="V595" i="5"/>
  <c r="R595" i="5"/>
  <c r="AG594" i="5"/>
  <c r="AD594" i="5"/>
  <c r="AF594" i="5" s="1"/>
  <c r="AC594" i="5"/>
  <c r="AE594" i="5" s="1"/>
  <c r="AB594" i="5"/>
  <c r="AA594" i="5"/>
  <c r="AH594" i="5" s="1"/>
  <c r="Z594" i="5"/>
  <c r="Y594" i="5"/>
  <c r="V594" i="5"/>
  <c r="R594" i="5" s="1"/>
  <c r="AH593" i="5"/>
  <c r="AC593" i="5"/>
  <c r="AD593" i="5" s="1"/>
  <c r="AF593" i="5" s="1"/>
  <c r="AB593" i="5"/>
  <c r="Z593" i="5"/>
  <c r="AA593" i="5" s="1"/>
  <c r="AI593" i="5" s="1"/>
  <c r="Y593" i="5"/>
  <c r="V593" i="5"/>
  <c r="R593" i="5" s="1"/>
  <c r="AB592" i="5"/>
  <c r="Z592" i="5"/>
  <c r="AA592" i="5" s="1"/>
  <c r="Y592" i="5"/>
  <c r="V592" i="5"/>
  <c r="R592" i="5"/>
  <c r="AI591" i="5"/>
  <c r="AG591" i="5"/>
  <c r="AB591" i="5"/>
  <c r="AA591" i="5"/>
  <c r="Z591" i="5"/>
  <c r="Y591" i="5"/>
  <c r="V591" i="5"/>
  <c r="R591" i="5"/>
  <c r="AI590" i="5"/>
  <c r="AB590" i="5"/>
  <c r="AA590" i="5"/>
  <c r="Z590" i="5"/>
  <c r="Y590" i="5"/>
  <c r="V590" i="5"/>
  <c r="R590" i="5" s="1"/>
  <c r="AH589" i="5"/>
  <c r="AG589" i="5"/>
  <c r="AB589" i="5"/>
  <c r="AA589" i="5"/>
  <c r="Z589" i="5"/>
  <c r="Y589" i="5"/>
  <c r="V589" i="5"/>
  <c r="R589" i="5" s="1"/>
  <c r="AB588" i="5"/>
  <c r="AA588" i="5"/>
  <c r="AI588" i="5" s="1"/>
  <c r="Z588" i="5"/>
  <c r="Y588" i="5"/>
  <c r="V588" i="5"/>
  <c r="R588" i="5"/>
  <c r="AC587" i="5"/>
  <c r="AB587" i="5"/>
  <c r="AA587" i="5"/>
  <c r="Z587" i="5"/>
  <c r="Y587" i="5"/>
  <c r="V587" i="5"/>
  <c r="R587" i="5" s="1"/>
  <c r="AG586" i="5"/>
  <c r="AC586" i="5"/>
  <c r="AB586" i="5"/>
  <c r="AA586" i="5"/>
  <c r="AH586" i="5" s="1"/>
  <c r="Z586" i="5"/>
  <c r="Y586" i="5"/>
  <c r="V586" i="5"/>
  <c r="R586" i="5"/>
  <c r="AB585" i="5"/>
  <c r="Z585" i="5"/>
  <c r="AA585" i="5" s="1"/>
  <c r="AH585" i="5" s="1"/>
  <c r="Y585" i="5"/>
  <c r="V585" i="5"/>
  <c r="R585" i="5"/>
  <c r="AG584" i="5"/>
  <c r="AB584" i="5"/>
  <c r="AA584" i="5"/>
  <c r="Z584" i="5"/>
  <c r="Y584" i="5"/>
  <c r="V584" i="5"/>
  <c r="R584" i="5" s="1"/>
  <c r="AB583" i="5"/>
  <c r="AA583" i="5"/>
  <c r="Z583" i="5"/>
  <c r="Y583" i="5"/>
  <c r="V583" i="5"/>
  <c r="R583" i="5" s="1"/>
  <c r="AG582" i="5"/>
  <c r="AC582" i="5"/>
  <c r="AB582" i="5"/>
  <c r="Z582" i="5"/>
  <c r="AA582" i="5" s="1"/>
  <c r="AH582" i="5" s="1"/>
  <c r="Y582" i="5"/>
  <c r="V582" i="5"/>
  <c r="R582" i="5" s="1"/>
  <c r="AG581" i="5"/>
  <c r="AC581" i="5"/>
  <c r="AB581" i="5"/>
  <c r="Z581" i="5"/>
  <c r="AA581" i="5" s="1"/>
  <c r="AI581" i="5" s="1"/>
  <c r="Y581" i="5"/>
  <c r="V581" i="5"/>
  <c r="R581" i="5" s="1"/>
  <c r="AH580" i="5"/>
  <c r="AB580" i="5"/>
  <c r="Z580" i="5"/>
  <c r="AA580" i="5" s="1"/>
  <c r="Y580" i="5"/>
  <c r="V580" i="5"/>
  <c r="R580" i="5"/>
  <c r="AB579" i="5"/>
  <c r="AA579" i="5"/>
  <c r="AI579" i="5" s="1"/>
  <c r="Z579" i="5"/>
  <c r="Y579" i="5"/>
  <c r="V579" i="5"/>
  <c r="R579" i="5"/>
  <c r="AG578" i="5"/>
  <c r="AB578" i="5"/>
  <c r="AC578" i="5" s="1"/>
  <c r="AA578" i="5"/>
  <c r="AH578" i="5" s="1"/>
  <c r="Z578" i="5"/>
  <c r="Y578" i="5"/>
  <c r="V578" i="5"/>
  <c r="R578" i="5" s="1"/>
  <c r="AH577" i="5"/>
  <c r="AC577" i="5"/>
  <c r="AB577" i="5"/>
  <c r="Z577" i="5"/>
  <c r="AA577" i="5" s="1"/>
  <c r="AI577" i="5" s="1"/>
  <c r="Y577" i="5"/>
  <c r="V577" i="5"/>
  <c r="R577" i="5"/>
  <c r="AG576" i="5"/>
  <c r="AB576" i="5"/>
  <c r="Z576" i="5"/>
  <c r="AA576" i="5" s="1"/>
  <c r="Y576" i="5"/>
  <c r="V576" i="5"/>
  <c r="R576" i="5"/>
  <c r="AG575" i="5"/>
  <c r="AB575" i="5"/>
  <c r="Z575" i="5"/>
  <c r="AA575" i="5" s="1"/>
  <c r="Y575" i="5"/>
  <c r="V575" i="5"/>
  <c r="R575" i="5"/>
  <c r="AK574" i="5"/>
  <c r="AI574" i="5"/>
  <c r="AH574" i="5"/>
  <c r="AB574" i="5"/>
  <c r="Z574" i="5"/>
  <c r="AA574" i="5" s="1"/>
  <c r="AG574" i="5" s="1"/>
  <c r="Y574" i="5"/>
  <c r="V574" i="5"/>
  <c r="R574" i="5" s="1"/>
  <c r="AI573" i="5"/>
  <c r="AH573" i="5"/>
  <c r="AG573" i="5"/>
  <c r="AB573" i="5"/>
  <c r="Z573" i="5"/>
  <c r="AA573" i="5" s="1"/>
  <c r="Y573" i="5"/>
  <c r="V573" i="5"/>
  <c r="R573" i="5" s="1"/>
  <c r="AH572" i="5"/>
  <c r="AG572" i="5"/>
  <c r="AK572" i="5" s="1"/>
  <c r="AC572" i="5"/>
  <c r="AB572" i="5"/>
  <c r="AA572" i="5"/>
  <c r="AI572" i="5" s="1"/>
  <c r="Z572" i="5"/>
  <c r="Y572" i="5"/>
  <c r="V572" i="5"/>
  <c r="R572" i="5"/>
  <c r="AB571" i="5"/>
  <c r="AA571" i="5"/>
  <c r="Z571" i="5"/>
  <c r="Y571" i="5"/>
  <c r="V571" i="5"/>
  <c r="R571" i="5"/>
  <c r="AG570" i="5"/>
  <c r="AD570" i="5"/>
  <c r="AF570" i="5" s="1"/>
  <c r="AC570" i="5"/>
  <c r="AB570" i="5"/>
  <c r="AA570" i="5"/>
  <c r="Z570" i="5"/>
  <c r="Y570" i="5"/>
  <c r="V570" i="5"/>
  <c r="R570" i="5" s="1"/>
  <c r="AB569" i="5"/>
  <c r="Z569" i="5"/>
  <c r="AA569" i="5" s="1"/>
  <c r="Y569" i="5"/>
  <c r="V569" i="5"/>
  <c r="R569" i="5"/>
  <c r="AB568" i="5"/>
  <c r="AA568" i="5"/>
  <c r="Z568" i="5"/>
  <c r="Y568" i="5"/>
  <c r="V568" i="5"/>
  <c r="R568" i="5" s="1"/>
  <c r="AI567" i="5"/>
  <c r="AB567" i="5"/>
  <c r="Z567" i="5"/>
  <c r="AA567" i="5" s="1"/>
  <c r="Y567" i="5"/>
  <c r="V567" i="5"/>
  <c r="R567" i="5"/>
  <c r="AG566" i="5"/>
  <c r="AB566" i="5"/>
  <c r="AA566" i="5"/>
  <c r="Z566" i="5"/>
  <c r="Y566" i="5"/>
  <c r="V566" i="5"/>
  <c r="R566" i="5" s="1"/>
  <c r="AH565" i="5"/>
  <c r="AB565" i="5"/>
  <c r="Z565" i="5"/>
  <c r="AA565" i="5" s="1"/>
  <c r="AG565" i="5" s="1"/>
  <c r="Y565" i="5"/>
  <c r="V565" i="5"/>
  <c r="R565" i="5" s="1"/>
  <c r="AB564" i="5"/>
  <c r="AA564" i="5"/>
  <c r="Z564" i="5"/>
  <c r="Y564" i="5"/>
  <c r="V564" i="5"/>
  <c r="R564" i="5"/>
  <c r="AH563" i="5"/>
  <c r="AB563" i="5"/>
  <c r="AA563" i="5"/>
  <c r="Z563" i="5"/>
  <c r="Y563" i="5"/>
  <c r="V563" i="5"/>
  <c r="R563" i="5"/>
  <c r="AB562" i="5"/>
  <c r="AA562" i="5"/>
  <c r="Z562" i="5"/>
  <c r="Y562" i="5"/>
  <c r="V562" i="5"/>
  <c r="R562" i="5"/>
  <c r="AB561" i="5"/>
  <c r="Z561" i="5"/>
  <c r="AA561" i="5" s="1"/>
  <c r="Y561" i="5"/>
  <c r="V561" i="5"/>
  <c r="R561" i="5" s="1"/>
  <c r="AH560" i="5"/>
  <c r="AB560" i="5"/>
  <c r="Z560" i="5"/>
  <c r="AA560" i="5" s="1"/>
  <c r="Y560" i="5"/>
  <c r="V560" i="5"/>
  <c r="R560" i="5" s="1"/>
  <c r="AH559" i="5"/>
  <c r="AB559" i="5"/>
  <c r="Z559" i="5"/>
  <c r="AA559" i="5" s="1"/>
  <c r="Y559" i="5"/>
  <c r="V559" i="5"/>
  <c r="R559" i="5" s="1"/>
  <c r="AB558" i="5"/>
  <c r="AA558" i="5"/>
  <c r="Z558" i="5"/>
  <c r="Y558" i="5"/>
  <c r="V558" i="5"/>
  <c r="R558" i="5" s="1"/>
  <c r="AG557" i="5"/>
  <c r="AB557" i="5"/>
  <c r="AA557" i="5"/>
  <c r="Z557" i="5"/>
  <c r="Y557" i="5"/>
  <c r="V557" i="5"/>
  <c r="R557" i="5" s="1"/>
  <c r="AB556" i="5"/>
  <c r="Z556" i="5"/>
  <c r="AA556" i="5" s="1"/>
  <c r="Y556" i="5"/>
  <c r="V556" i="5"/>
  <c r="R556" i="5"/>
  <c r="AC555" i="5"/>
  <c r="AB555" i="5"/>
  <c r="AA555" i="5"/>
  <c r="AG555" i="5" s="1"/>
  <c r="Z555" i="5"/>
  <c r="Y555" i="5"/>
  <c r="V555" i="5"/>
  <c r="R555" i="5"/>
  <c r="AB554" i="5"/>
  <c r="AA554" i="5"/>
  <c r="Z554" i="5"/>
  <c r="Y554" i="5"/>
  <c r="V554" i="5"/>
  <c r="R554" i="5"/>
  <c r="AB553" i="5"/>
  <c r="Z553" i="5"/>
  <c r="AA553" i="5" s="1"/>
  <c r="Y553" i="5"/>
  <c r="V553" i="5"/>
  <c r="R553" i="5" s="1"/>
  <c r="AB552" i="5"/>
  <c r="Z552" i="5"/>
  <c r="AA552" i="5" s="1"/>
  <c r="Y552" i="5"/>
  <c r="V552" i="5"/>
  <c r="R552" i="5" s="1"/>
  <c r="AB551" i="5"/>
  <c r="AA551" i="5"/>
  <c r="Z551" i="5"/>
  <c r="Y551" i="5"/>
  <c r="V551" i="5"/>
  <c r="R551" i="5" s="1"/>
  <c r="AB550" i="5"/>
  <c r="Z550" i="5"/>
  <c r="AA550" i="5" s="1"/>
  <c r="Y550" i="5"/>
  <c r="V550" i="5"/>
  <c r="R550" i="5" s="1"/>
  <c r="AB549" i="5"/>
  <c r="Z549" i="5"/>
  <c r="AA549" i="5" s="1"/>
  <c r="Y549" i="5"/>
  <c r="V549" i="5"/>
  <c r="R549" i="5" s="1"/>
  <c r="AI548" i="5"/>
  <c r="AH548" i="5"/>
  <c r="AG548" i="5"/>
  <c r="AK548" i="5" s="1"/>
  <c r="AE548" i="5"/>
  <c r="AD548" i="5"/>
  <c r="AF548" i="5" s="1"/>
  <c r="AC548" i="5"/>
  <c r="AB548" i="5"/>
  <c r="Z548" i="5"/>
  <c r="AA548" i="5" s="1"/>
  <c r="Y548" i="5"/>
  <c r="V548" i="5"/>
  <c r="R548" i="5"/>
  <c r="AB547" i="5"/>
  <c r="Z547" i="5"/>
  <c r="AA547" i="5" s="1"/>
  <c r="Y547" i="5"/>
  <c r="V547" i="5"/>
  <c r="R547" i="5"/>
  <c r="AI546" i="5"/>
  <c r="AG546" i="5"/>
  <c r="AC546" i="5"/>
  <c r="AB546" i="5"/>
  <c r="AA546" i="5"/>
  <c r="AH546" i="5" s="1"/>
  <c r="Z546" i="5"/>
  <c r="Y546" i="5"/>
  <c r="V546" i="5"/>
  <c r="R546" i="5" s="1"/>
  <c r="AM545" i="5"/>
  <c r="AN545" i="5" s="1"/>
  <c r="AO545" i="5" s="1"/>
  <c r="AH545" i="5"/>
  <c r="AG545" i="5"/>
  <c r="AK545" i="5" s="1"/>
  <c r="AB545" i="5"/>
  <c r="AC545" i="5" s="1"/>
  <c r="Z545" i="5"/>
  <c r="AA545" i="5" s="1"/>
  <c r="AI545" i="5" s="1"/>
  <c r="Y545" i="5"/>
  <c r="V545" i="5"/>
  <c r="R545" i="5"/>
  <c r="AI544" i="5"/>
  <c r="AG544" i="5"/>
  <c r="AK544" i="5" s="1"/>
  <c r="AC544" i="5"/>
  <c r="AB544" i="5"/>
  <c r="AA544" i="5"/>
  <c r="AH544" i="5" s="1"/>
  <c r="Z544" i="5"/>
  <c r="Y544" i="5"/>
  <c r="V544" i="5"/>
  <c r="R544" i="5"/>
  <c r="AI543" i="5"/>
  <c r="AG543" i="5"/>
  <c r="AB543" i="5"/>
  <c r="AA543" i="5"/>
  <c r="Z543" i="5"/>
  <c r="Y543" i="5"/>
  <c r="V543" i="5"/>
  <c r="R543" i="5" s="1"/>
  <c r="AC542" i="5"/>
  <c r="AB542" i="5"/>
  <c r="AA542" i="5"/>
  <c r="Z542" i="5"/>
  <c r="Y542" i="5"/>
  <c r="V542" i="5"/>
  <c r="R542" i="5"/>
  <c r="AI541" i="5"/>
  <c r="AB541" i="5"/>
  <c r="Z541" i="5"/>
  <c r="AA541" i="5" s="1"/>
  <c r="Y541" i="5"/>
  <c r="V541" i="5"/>
  <c r="R541" i="5" s="1"/>
  <c r="AH540" i="5"/>
  <c r="AB540" i="5"/>
  <c r="Z540" i="5"/>
  <c r="AA540" i="5" s="1"/>
  <c r="AI540" i="5" s="1"/>
  <c r="Y540" i="5"/>
  <c r="V540" i="5"/>
  <c r="R540" i="5"/>
  <c r="AB539" i="5"/>
  <c r="AA539" i="5"/>
  <c r="Z539" i="5"/>
  <c r="Y539" i="5"/>
  <c r="V539" i="5"/>
  <c r="R539" i="5" s="1"/>
  <c r="AG538" i="5"/>
  <c r="AB538" i="5"/>
  <c r="AA538" i="5"/>
  <c r="AI538" i="5" s="1"/>
  <c r="Z538" i="5"/>
  <c r="Y538" i="5"/>
  <c r="V538" i="5"/>
  <c r="R538" i="5" s="1"/>
  <c r="AK537" i="5"/>
  <c r="AH537" i="5"/>
  <c r="AG537" i="5"/>
  <c r="AB537" i="5"/>
  <c r="Z537" i="5"/>
  <c r="AA537" i="5" s="1"/>
  <c r="AI537" i="5" s="1"/>
  <c r="Y537" i="5"/>
  <c r="V537" i="5"/>
  <c r="R537" i="5" s="1"/>
  <c r="AH536" i="5"/>
  <c r="AB536" i="5"/>
  <c r="AA536" i="5"/>
  <c r="Z536" i="5"/>
  <c r="Y536" i="5"/>
  <c r="V536" i="5"/>
  <c r="R536" i="5"/>
  <c r="AB535" i="5"/>
  <c r="Z535" i="5"/>
  <c r="AA535" i="5" s="1"/>
  <c r="Y535" i="5"/>
  <c r="V535" i="5"/>
  <c r="R535" i="5"/>
  <c r="AB534" i="5"/>
  <c r="Z534" i="5"/>
  <c r="AA534" i="5" s="1"/>
  <c r="AC534" i="5" s="1"/>
  <c r="Y534" i="5"/>
  <c r="V534" i="5"/>
  <c r="R534" i="5" s="1"/>
  <c r="AB533" i="5"/>
  <c r="Z533" i="5"/>
  <c r="AA533" i="5" s="1"/>
  <c r="Y533" i="5"/>
  <c r="V533" i="5"/>
  <c r="R533" i="5" s="1"/>
  <c r="AI532" i="5"/>
  <c r="AH532" i="5"/>
  <c r="AG532" i="5"/>
  <c r="AB532" i="5"/>
  <c r="Z532" i="5"/>
  <c r="AA532" i="5" s="1"/>
  <c r="Y532" i="5"/>
  <c r="V532" i="5"/>
  <c r="R532" i="5" s="1"/>
  <c r="AB531" i="5"/>
  <c r="AA531" i="5"/>
  <c r="Z531" i="5"/>
  <c r="Y531" i="5"/>
  <c r="V531" i="5"/>
  <c r="R531" i="5"/>
  <c r="AH530" i="5"/>
  <c r="AB530" i="5"/>
  <c r="AA530" i="5"/>
  <c r="Z530" i="5"/>
  <c r="Y530" i="5"/>
  <c r="V530" i="5"/>
  <c r="R530" i="5" s="1"/>
  <c r="AG529" i="5"/>
  <c r="AE529" i="5"/>
  <c r="AD529" i="5"/>
  <c r="AF529" i="5" s="1"/>
  <c r="AB529" i="5"/>
  <c r="AA529" i="5"/>
  <c r="AC529" i="5" s="1"/>
  <c r="Z529" i="5"/>
  <c r="Y529" i="5"/>
  <c r="V529" i="5"/>
  <c r="R529" i="5"/>
  <c r="AG528" i="5"/>
  <c r="AD528" i="5"/>
  <c r="AF528" i="5" s="1"/>
  <c r="AC528" i="5"/>
  <c r="AB528" i="5"/>
  <c r="Z528" i="5"/>
  <c r="AA528" i="5" s="1"/>
  <c r="Y528" i="5"/>
  <c r="V528" i="5"/>
  <c r="R528" i="5" s="1"/>
  <c r="AB527" i="5"/>
  <c r="Z527" i="5"/>
  <c r="AA527" i="5" s="1"/>
  <c r="Y527" i="5"/>
  <c r="V527" i="5"/>
  <c r="R527" i="5" s="1"/>
  <c r="AB526" i="5"/>
  <c r="AA526" i="5"/>
  <c r="Z526" i="5"/>
  <c r="Y526" i="5"/>
  <c r="V526" i="5"/>
  <c r="R526" i="5"/>
  <c r="AB525" i="5"/>
  <c r="Z525" i="5"/>
  <c r="AA525" i="5" s="1"/>
  <c r="Y525" i="5"/>
  <c r="V525" i="5"/>
  <c r="R525" i="5" s="1"/>
  <c r="AI524" i="5"/>
  <c r="AH524" i="5"/>
  <c r="AB524" i="5"/>
  <c r="AA524" i="5"/>
  <c r="AG524" i="5" s="1"/>
  <c r="Z524" i="5"/>
  <c r="Y524" i="5"/>
  <c r="V524" i="5"/>
  <c r="R524" i="5" s="1"/>
  <c r="AB523" i="5"/>
  <c r="Z523" i="5"/>
  <c r="AA523" i="5" s="1"/>
  <c r="Y523" i="5"/>
  <c r="V523" i="5"/>
  <c r="R523" i="5"/>
  <c r="AB522" i="5"/>
  <c r="Z522" i="5"/>
  <c r="AA522" i="5" s="1"/>
  <c r="Y522" i="5"/>
  <c r="V522" i="5"/>
  <c r="R522" i="5" s="1"/>
  <c r="AB521" i="5"/>
  <c r="AA521" i="5"/>
  <c r="Z521" i="5"/>
  <c r="Y521" i="5"/>
  <c r="V521" i="5"/>
  <c r="R521" i="5" s="1"/>
  <c r="AH520" i="5"/>
  <c r="AG520" i="5"/>
  <c r="AB520" i="5"/>
  <c r="Z520" i="5"/>
  <c r="AA520" i="5" s="1"/>
  <c r="Y520" i="5"/>
  <c r="V520" i="5"/>
  <c r="R520" i="5" s="1"/>
  <c r="AC519" i="5"/>
  <c r="AB519" i="5"/>
  <c r="AA519" i="5"/>
  <c r="Z519" i="5"/>
  <c r="Y519" i="5"/>
  <c r="V519" i="5"/>
  <c r="R519" i="5" s="1"/>
  <c r="AI518" i="5"/>
  <c r="AH518" i="5"/>
  <c r="AG518" i="5"/>
  <c r="AK518" i="5" s="1"/>
  <c r="AB518" i="5"/>
  <c r="Z518" i="5"/>
  <c r="AA518" i="5" s="1"/>
  <c r="Y518" i="5"/>
  <c r="V518" i="5"/>
  <c r="R518" i="5"/>
  <c r="AH517" i="5"/>
  <c r="AC517" i="5"/>
  <c r="AB517" i="5"/>
  <c r="AA517" i="5"/>
  <c r="Z517" i="5"/>
  <c r="Y517" i="5"/>
  <c r="V517" i="5"/>
  <c r="R517" i="5" s="1"/>
  <c r="AI516" i="5"/>
  <c r="AG516" i="5"/>
  <c r="AK516" i="5" s="1"/>
  <c r="AM516" i="5" s="1"/>
  <c r="AN516" i="5" s="1"/>
  <c r="AO516" i="5" s="1"/>
  <c r="AD516" i="5"/>
  <c r="AF516" i="5" s="1"/>
  <c r="AC516" i="5"/>
  <c r="AE516" i="5" s="1"/>
  <c r="AB516" i="5"/>
  <c r="Z516" i="5"/>
  <c r="AA516" i="5" s="1"/>
  <c r="AH516" i="5" s="1"/>
  <c r="Y516" i="5"/>
  <c r="V516" i="5"/>
  <c r="R516" i="5" s="1"/>
  <c r="AH515" i="5"/>
  <c r="AD515" i="5"/>
  <c r="AF515" i="5" s="1"/>
  <c r="AC515" i="5"/>
  <c r="AE515" i="5" s="1"/>
  <c r="AB515" i="5"/>
  <c r="AA515" i="5"/>
  <c r="Z515" i="5"/>
  <c r="Y515" i="5"/>
  <c r="V515" i="5"/>
  <c r="R515" i="5"/>
  <c r="AH514" i="5"/>
  <c r="AB514" i="5"/>
  <c r="AA514" i="5"/>
  <c r="Z514" i="5"/>
  <c r="Y514" i="5"/>
  <c r="V514" i="5"/>
  <c r="R514" i="5"/>
  <c r="AG513" i="5"/>
  <c r="AD513" i="5"/>
  <c r="AF513" i="5" s="1"/>
  <c r="AC513" i="5"/>
  <c r="AE513" i="5" s="1"/>
  <c r="AB513" i="5"/>
  <c r="AA513" i="5"/>
  <c r="Z513" i="5"/>
  <c r="Y513" i="5"/>
  <c r="V513" i="5"/>
  <c r="R513" i="5"/>
  <c r="AG512" i="5"/>
  <c r="AB512" i="5"/>
  <c r="Z512" i="5"/>
  <c r="AA512" i="5" s="1"/>
  <c r="Y512" i="5"/>
  <c r="V512" i="5"/>
  <c r="R512" i="5" s="1"/>
  <c r="AB511" i="5"/>
  <c r="Z511" i="5"/>
  <c r="AA511" i="5" s="1"/>
  <c r="Y511" i="5"/>
  <c r="V511" i="5"/>
  <c r="R511" i="5" s="1"/>
  <c r="AI510" i="5"/>
  <c r="AH510" i="5"/>
  <c r="AB510" i="5"/>
  <c r="AA510" i="5"/>
  <c r="Z510" i="5"/>
  <c r="Y510" i="5"/>
  <c r="V510" i="5"/>
  <c r="R510" i="5"/>
  <c r="AB509" i="5"/>
  <c r="Z509" i="5"/>
  <c r="AA509" i="5" s="1"/>
  <c r="Y509" i="5"/>
  <c r="V509" i="5"/>
  <c r="R509" i="5" s="1"/>
  <c r="AI508" i="5"/>
  <c r="AH508" i="5"/>
  <c r="AG508" i="5"/>
  <c r="AB508" i="5"/>
  <c r="AA508" i="5"/>
  <c r="AC508" i="5" s="1"/>
  <c r="Z508" i="5"/>
  <c r="Y508" i="5"/>
  <c r="V508" i="5"/>
  <c r="R508" i="5" s="1"/>
  <c r="AB507" i="5"/>
  <c r="Z507" i="5"/>
  <c r="AA507" i="5" s="1"/>
  <c r="Y507" i="5"/>
  <c r="V507" i="5"/>
  <c r="R507" i="5"/>
  <c r="AI506" i="5"/>
  <c r="AH506" i="5"/>
  <c r="AB506" i="5"/>
  <c r="Z506" i="5"/>
  <c r="AA506" i="5" s="1"/>
  <c r="Y506" i="5"/>
  <c r="V506" i="5"/>
  <c r="R506" i="5"/>
  <c r="AI505" i="5"/>
  <c r="AG505" i="5"/>
  <c r="AK505" i="5" s="1"/>
  <c r="AB505" i="5"/>
  <c r="AA505" i="5"/>
  <c r="AH505" i="5" s="1"/>
  <c r="Z505" i="5"/>
  <c r="Y505" i="5"/>
  <c r="V505" i="5"/>
  <c r="R505" i="5" s="1"/>
  <c r="AH504" i="5"/>
  <c r="AG504" i="5"/>
  <c r="AB504" i="5"/>
  <c r="Z504" i="5"/>
  <c r="AA504" i="5" s="1"/>
  <c r="AI504" i="5" s="1"/>
  <c r="Y504" i="5"/>
  <c r="V504" i="5"/>
  <c r="R504" i="5" s="1"/>
  <c r="AI503" i="5"/>
  <c r="AG503" i="5"/>
  <c r="AC503" i="5"/>
  <c r="AB503" i="5"/>
  <c r="AA503" i="5"/>
  <c r="AH503" i="5" s="1"/>
  <c r="Z503" i="5"/>
  <c r="Y503" i="5"/>
  <c r="V503" i="5"/>
  <c r="R503" i="5"/>
  <c r="AI502" i="5"/>
  <c r="AB502" i="5"/>
  <c r="Z502" i="5"/>
  <c r="AA502" i="5" s="1"/>
  <c r="Y502" i="5"/>
  <c r="V502" i="5"/>
  <c r="R502" i="5" s="1"/>
  <c r="AE501" i="5"/>
  <c r="AC501" i="5"/>
  <c r="AB501" i="5"/>
  <c r="AA501" i="5"/>
  <c r="Z501" i="5"/>
  <c r="Y501" i="5"/>
  <c r="V501" i="5"/>
  <c r="R501" i="5"/>
  <c r="AB500" i="5"/>
  <c r="AA500" i="5"/>
  <c r="Z500" i="5"/>
  <c r="Y500" i="5"/>
  <c r="V500" i="5"/>
  <c r="R500" i="5" s="1"/>
  <c r="AI499" i="5"/>
  <c r="AH499" i="5"/>
  <c r="AB499" i="5"/>
  <c r="AA499" i="5"/>
  <c r="AG499" i="5" s="1"/>
  <c r="Z499" i="5"/>
  <c r="Y499" i="5"/>
  <c r="V499" i="5"/>
  <c r="R499" i="5"/>
  <c r="AB498" i="5"/>
  <c r="AA498" i="5"/>
  <c r="Z498" i="5"/>
  <c r="Y498" i="5"/>
  <c r="V498" i="5"/>
  <c r="R498" i="5"/>
  <c r="AI497" i="5"/>
  <c r="AB497" i="5"/>
  <c r="AA497" i="5"/>
  <c r="AH497" i="5" s="1"/>
  <c r="Z497" i="5"/>
  <c r="Y497" i="5"/>
  <c r="V497" i="5"/>
  <c r="R497" i="5"/>
  <c r="AG496" i="5"/>
  <c r="AC496" i="5"/>
  <c r="AB496" i="5"/>
  <c r="Z496" i="5"/>
  <c r="AA496" i="5" s="1"/>
  <c r="Y496" i="5"/>
  <c r="V496" i="5"/>
  <c r="R496" i="5" s="1"/>
  <c r="AI495" i="5"/>
  <c r="AH495" i="5"/>
  <c r="AB495" i="5"/>
  <c r="Z495" i="5"/>
  <c r="AA495" i="5" s="1"/>
  <c r="Y495" i="5"/>
  <c r="V495" i="5"/>
  <c r="R495" i="5" s="1"/>
  <c r="AB494" i="5"/>
  <c r="Z494" i="5"/>
  <c r="AA494" i="5" s="1"/>
  <c r="Y494" i="5"/>
  <c r="V494" i="5"/>
  <c r="R494" i="5"/>
  <c r="AI493" i="5"/>
  <c r="AH493" i="5"/>
  <c r="AF493" i="5"/>
  <c r="AB493" i="5"/>
  <c r="Z493" i="5"/>
  <c r="AA493" i="5" s="1"/>
  <c r="AC493" i="5" s="1"/>
  <c r="AD493" i="5" s="1"/>
  <c r="Y493" i="5"/>
  <c r="V493" i="5"/>
  <c r="R493" i="5"/>
  <c r="AK492" i="5"/>
  <c r="AH492" i="5"/>
  <c r="AG492" i="5"/>
  <c r="AD492" i="5"/>
  <c r="AF492" i="5" s="1"/>
  <c r="AC492" i="5"/>
  <c r="AB492" i="5"/>
  <c r="AA492" i="5"/>
  <c r="AI492" i="5" s="1"/>
  <c r="Z492" i="5"/>
  <c r="Y492" i="5"/>
  <c r="V492" i="5"/>
  <c r="R492" i="5" s="1"/>
  <c r="AB491" i="5"/>
  <c r="Z491" i="5"/>
  <c r="AA491" i="5" s="1"/>
  <c r="Y491" i="5"/>
  <c r="V491" i="5"/>
  <c r="R491" i="5"/>
  <c r="AI490" i="5"/>
  <c r="AB490" i="5"/>
  <c r="Z490" i="5"/>
  <c r="AA490" i="5" s="1"/>
  <c r="AC490" i="5" s="1"/>
  <c r="Y490" i="5"/>
  <c r="V490" i="5"/>
  <c r="R490" i="5"/>
  <c r="AI489" i="5"/>
  <c r="AG489" i="5"/>
  <c r="AC489" i="5"/>
  <c r="AB489" i="5"/>
  <c r="AA489" i="5"/>
  <c r="AH489" i="5" s="1"/>
  <c r="Z489" i="5"/>
  <c r="Y489" i="5"/>
  <c r="V489" i="5"/>
  <c r="R489" i="5"/>
  <c r="AH488" i="5"/>
  <c r="AG488" i="5"/>
  <c r="AK488" i="5" s="1"/>
  <c r="AC488" i="5"/>
  <c r="AE488" i="5" s="1"/>
  <c r="AB488" i="5"/>
  <c r="Z488" i="5"/>
  <c r="AA488" i="5" s="1"/>
  <c r="AI488" i="5" s="1"/>
  <c r="Y488" i="5"/>
  <c r="V488" i="5"/>
  <c r="R488" i="5"/>
  <c r="AI487" i="5"/>
  <c r="AG487" i="5"/>
  <c r="AB487" i="5"/>
  <c r="AA487" i="5"/>
  <c r="Z487" i="5"/>
  <c r="Y487" i="5"/>
  <c r="V487" i="5"/>
  <c r="R487" i="5"/>
  <c r="AI486" i="5"/>
  <c r="AG486" i="5"/>
  <c r="AB486" i="5"/>
  <c r="AA486" i="5"/>
  <c r="Z486" i="5"/>
  <c r="Y486" i="5"/>
  <c r="V486" i="5"/>
  <c r="R486" i="5" s="1"/>
  <c r="AB485" i="5"/>
  <c r="AA485" i="5"/>
  <c r="Z485" i="5"/>
  <c r="Y485" i="5"/>
  <c r="V485" i="5"/>
  <c r="R485" i="5"/>
  <c r="AB484" i="5"/>
  <c r="AA484" i="5"/>
  <c r="AC484" i="5" s="1"/>
  <c r="Z484" i="5"/>
  <c r="Y484" i="5"/>
  <c r="V484" i="5"/>
  <c r="R484" i="5" s="1"/>
  <c r="AB483" i="5"/>
  <c r="AA483" i="5"/>
  <c r="Z483" i="5"/>
  <c r="Y483" i="5"/>
  <c r="V483" i="5"/>
  <c r="R483" i="5"/>
  <c r="AI482" i="5"/>
  <c r="AH482" i="5"/>
  <c r="AB482" i="5"/>
  <c r="AA482" i="5"/>
  <c r="AG482" i="5" s="1"/>
  <c r="Z482" i="5"/>
  <c r="Y482" i="5"/>
  <c r="V482" i="5"/>
  <c r="R482" i="5" s="1"/>
  <c r="AI481" i="5"/>
  <c r="AE481" i="5"/>
  <c r="AC481" i="5"/>
  <c r="AB481" i="5"/>
  <c r="AA481" i="5"/>
  <c r="Z481" i="5"/>
  <c r="Y481" i="5"/>
  <c r="V481" i="5"/>
  <c r="R481" i="5" s="1"/>
  <c r="AB480" i="5"/>
  <c r="Z480" i="5"/>
  <c r="AA480" i="5" s="1"/>
  <c r="Y480" i="5"/>
  <c r="V480" i="5"/>
  <c r="R480" i="5" s="1"/>
  <c r="AH479" i="5"/>
  <c r="AG479" i="5"/>
  <c r="AB479" i="5"/>
  <c r="Z479" i="5"/>
  <c r="AA479" i="5" s="1"/>
  <c r="Y479" i="5"/>
  <c r="V479" i="5"/>
  <c r="R479" i="5" s="1"/>
  <c r="AH478" i="5"/>
  <c r="AG478" i="5"/>
  <c r="AB478" i="5"/>
  <c r="AA478" i="5"/>
  <c r="Z478" i="5"/>
  <c r="Y478" i="5"/>
  <c r="V478" i="5"/>
  <c r="R478" i="5" s="1"/>
  <c r="AG477" i="5"/>
  <c r="AE477" i="5"/>
  <c r="AC477" i="5"/>
  <c r="AB477" i="5"/>
  <c r="Z477" i="5"/>
  <c r="AA477" i="5" s="1"/>
  <c r="Y477" i="5"/>
  <c r="V477" i="5"/>
  <c r="R477" i="5"/>
  <c r="AB476" i="5"/>
  <c r="AA476" i="5"/>
  <c r="Z476" i="5"/>
  <c r="Y476" i="5"/>
  <c r="V476" i="5"/>
  <c r="R476" i="5" s="1"/>
  <c r="AK475" i="5"/>
  <c r="AI475" i="5"/>
  <c r="AG475" i="5"/>
  <c r="AB475" i="5"/>
  <c r="AA475" i="5"/>
  <c r="AH475" i="5" s="1"/>
  <c r="Z475" i="5"/>
  <c r="Y475" i="5"/>
  <c r="V475" i="5"/>
  <c r="R475" i="5"/>
  <c r="AC474" i="5"/>
  <c r="AE474" i="5" s="1"/>
  <c r="AB474" i="5"/>
  <c r="Z474" i="5"/>
  <c r="AA474" i="5" s="1"/>
  <c r="Y474" i="5"/>
  <c r="V474" i="5"/>
  <c r="R474" i="5" s="1"/>
  <c r="AB473" i="5"/>
  <c r="AA473" i="5"/>
  <c r="Z473" i="5"/>
  <c r="Y473" i="5"/>
  <c r="V473" i="5"/>
  <c r="R473" i="5" s="1"/>
  <c r="AH472" i="5"/>
  <c r="AB472" i="5"/>
  <c r="Z472" i="5"/>
  <c r="AA472" i="5" s="1"/>
  <c r="AC472" i="5" s="1"/>
  <c r="Y472" i="5"/>
  <c r="V472" i="5"/>
  <c r="R472" i="5"/>
  <c r="AB471" i="5"/>
  <c r="Z471" i="5"/>
  <c r="AA471" i="5" s="1"/>
  <c r="Y471" i="5"/>
  <c r="V471" i="5"/>
  <c r="R471" i="5"/>
  <c r="AI470" i="5"/>
  <c r="AH470" i="5"/>
  <c r="AG470" i="5"/>
  <c r="AK470" i="5" s="1"/>
  <c r="AB470" i="5"/>
  <c r="AA470" i="5"/>
  <c r="Z470" i="5"/>
  <c r="Y470" i="5"/>
  <c r="V470" i="5"/>
  <c r="R470" i="5" s="1"/>
  <c r="AH469" i="5"/>
  <c r="AC469" i="5"/>
  <c r="AB469" i="5"/>
  <c r="AA469" i="5"/>
  <c r="Z469" i="5"/>
  <c r="Y469" i="5"/>
  <c r="V469" i="5"/>
  <c r="R469" i="5" s="1"/>
  <c r="AI468" i="5"/>
  <c r="AH468" i="5"/>
  <c r="AG468" i="5"/>
  <c r="AK468" i="5" s="1"/>
  <c r="AB468" i="5"/>
  <c r="Z468" i="5"/>
  <c r="AA468" i="5" s="1"/>
  <c r="Y468" i="5"/>
  <c r="V468" i="5"/>
  <c r="R468" i="5" s="1"/>
  <c r="AG467" i="5"/>
  <c r="AC467" i="5"/>
  <c r="AB467" i="5"/>
  <c r="AA467" i="5"/>
  <c r="Z467" i="5"/>
  <c r="Y467" i="5"/>
  <c r="V467" i="5"/>
  <c r="R467" i="5"/>
  <c r="AB466" i="5"/>
  <c r="AA466" i="5"/>
  <c r="Z466" i="5"/>
  <c r="Y466" i="5"/>
  <c r="V466" i="5"/>
  <c r="R466" i="5" s="1"/>
  <c r="AG465" i="5"/>
  <c r="AB465" i="5"/>
  <c r="AA465" i="5"/>
  <c r="Z465" i="5"/>
  <c r="Y465" i="5"/>
  <c r="V465" i="5"/>
  <c r="R465" i="5" s="1"/>
  <c r="AG464" i="5"/>
  <c r="AE464" i="5"/>
  <c r="AC464" i="5"/>
  <c r="AB464" i="5"/>
  <c r="Z464" i="5"/>
  <c r="AA464" i="5" s="1"/>
  <c r="Y464" i="5"/>
  <c r="V464" i="5"/>
  <c r="R464" i="5" s="1"/>
  <c r="AB463" i="5"/>
  <c r="Z463" i="5"/>
  <c r="AA463" i="5" s="1"/>
  <c r="Y463" i="5"/>
  <c r="V463" i="5"/>
  <c r="R463" i="5" s="1"/>
  <c r="AH462" i="5"/>
  <c r="AB462" i="5"/>
  <c r="AA462" i="5"/>
  <c r="Z462" i="5"/>
  <c r="Y462" i="5"/>
  <c r="V462" i="5"/>
  <c r="R462" i="5"/>
  <c r="AB461" i="5"/>
  <c r="AA461" i="5"/>
  <c r="AH461" i="5" s="1"/>
  <c r="Z461" i="5"/>
  <c r="Y461" i="5"/>
  <c r="V461" i="5"/>
  <c r="R461" i="5" s="1"/>
  <c r="AB460" i="5"/>
  <c r="AA460" i="5"/>
  <c r="Z460" i="5"/>
  <c r="Y460" i="5"/>
  <c r="V460" i="5"/>
  <c r="R460" i="5" s="1"/>
  <c r="AB459" i="5"/>
  <c r="Z459" i="5"/>
  <c r="AA459" i="5" s="1"/>
  <c r="Y459" i="5"/>
  <c r="V459" i="5"/>
  <c r="R459" i="5"/>
  <c r="AI458" i="5"/>
  <c r="AH458" i="5"/>
  <c r="AB458" i="5"/>
  <c r="Z458" i="5"/>
  <c r="AA458" i="5" s="1"/>
  <c r="Y458" i="5"/>
  <c r="V458" i="5"/>
  <c r="R458" i="5" s="1"/>
  <c r="AB457" i="5"/>
  <c r="AA457" i="5"/>
  <c r="AI457" i="5" s="1"/>
  <c r="Z457" i="5"/>
  <c r="Y457" i="5"/>
  <c r="V457" i="5"/>
  <c r="R457" i="5" s="1"/>
  <c r="AB456" i="5"/>
  <c r="Z456" i="5"/>
  <c r="AA456" i="5" s="1"/>
  <c r="Y456" i="5"/>
  <c r="V456" i="5"/>
  <c r="R456" i="5" s="1"/>
  <c r="AH455" i="5"/>
  <c r="AG455" i="5"/>
  <c r="AB455" i="5"/>
  <c r="AA455" i="5"/>
  <c r="Z455" i="5"/>
  <c r="Y455" i="5"/>
  <c r="V455" i="5"/>
  <c r="R455" i="5" s="1"/>
  <c r="AI454" i="5"/>
  <c r="AB454" i="5"/>
  <c r="AA454" i="5"/>
  <c r="AH454" i="5" s="1"/>
  <c r="Z454" i="5"/>
  <c r="Y454" i="5"/>
  <c r="V454" i="5"/>
  <c r="R454" i="5" s="1"/>
  <c r="AB453" i="5"/>
  <c r="AA453" i="5"/>
  <c r="Z453" i="5"/>
  <c r="Y453" i="5"/>
  <c r="V453" i="5"/>
  <c r="R453" i="5"/>
  <c r="AI452" i="5"/>
  <c r="AH452" i="5"/>
  <c r="AG452" i="5"/>
  <c r="AK452" i="5" s="1"/>
  <c r="AC452" i="5"/>
  <c r="AB452" i="5"/>
  <c r="Z452" i="5"/>
  <c r="AA452" i="5" s="1"/>
  <c r="Y452" i="5"/>
  <c r="V452" i="5"/>
  <c r="R452" i="5" s="1"/>
  <c r="AH451" i="5"/>
  <c r="AK451" i="5" s="1"/>
  <c r="AG451" i="5"/>
  <c r="AB451" i="5"/>
  <c r="AC451" i="5" s="1"/>
  <c r="AA451" i="5"/>
  <c r="AI451" i="5" s="1"/>
  <c r="Z451" i="5"/>
  <c r="Y451" i="5"/>
  <c r="V451" i="5"/>
  <c r="R451" i="5"/>
  <c r="AH450" i="5"/>
  <c r="AB450" i="5"/>
  <c r="AA450" i="5"/>
  <c r="Z450" i="5"/>
  <c r="Y450" i="5"/>
  <c r="V450" i="5"/>
  <c r="R450" i="5" s="1"/>
  <c r="AB449" i="5"/>
  <c r="AC449" i="5" s="1"/>
  <c r="AA449" i="5"/>
  <c r="Z449" i="5"/>
  <c r="Y449" i="5"/>
  <c r="V449" i="5"/>
  <c r="R449" i="5"/>
  <c r="AB448" i="5"/>
  <c r="Z448" i="5"/>
  <c r="AA448" i="5" s="1"/>
  <c r="AG448" i="5" s="1"/>
  <c r="Y448" i="5"/>
  <c r="V448" i="5"/>
  <c r="R448" i="5" s="1"/>
  <c r="AB447" i="5"/>
  <c r="Z447" i="5"/>
  <c r="AA447" i="5" s="1"/>
  <c r="Y447" i="5"/>
  <c r="V447" i="5"/>
  <c r="R447" i="5" s="1"/>
  <c r="AB446" i="5"/>
  <c r="Z446" i="5"/>
  <c r="AA446" i="5" s="1"/>
  <c r="Y446" i="5"/>
  <c r="V446" i="5"/>
  <c r="R446" i="5"/>
  <c r="AB445" i="5"/>
  <c r="AA445" i="5"/>
  <c r="Z445" i="5"/>
  <c r="Y445" i="5"/>
  <c r="V445" i="5"/>
  <c r="R445" i="5" s="1"/>
  <c r="AI444" i="5"/>
  <c r="AH444" i="5"/>
  <c r="AC444" i="5"/>
  <c r="AB444" i="5"/>
  <c r="AA444" i="5"/>
  <c r="AG444" i="5" s="1"/>
  <c r="AK444" i="5" s="1"/>
  <c r="Z444" i="5"/>
  <c r="Y444" i="5"/>
  <c r="V444" i="5"/>
  <c r="R444" i="5" s="1"/>
  <c r="AH443" i="5"/>
  <c r="AB443" i="5"/>
  <c r="AA443" i="5"/>
  <c r="AG443" i="5" s="1"/>
  <c r="Z443" i="5"/>
  <c r="Y443" i="5"/>
  <c r="V443" i="5"/>
  <c r="R443" i="5"/>
  <c r="AH442" i="5"/>
  <c r="AB442" i="5"/>
  <c r="AA442" i="5"/>
  <c r="Z442" i="5"/>
  <c r="Y442" i="5"/>
  <c r="V442" i="5"/>
  <c r="R442" i="5" s="1"/>
  <c r="AI441" i="5"/>
  <c r="AB441" i="5"/>
  <c r="AA441" i="5"/>
  <c r="Z441" i="5"/>
  <c r="Y441" i="5"/>
  <c r="V441" i="5"/>
  <c r="R441" i="5"/>
  <c r="AH440" i="5"/>
  <c r="AG440" i="5"/>
  <c r="AB440" i="5"/>
  <c r="Z440" i="5"/>
  <c r="AA440" i="5" s="1"/>
  <c r="Y440" i="5"/>
  <c r="V440" i="5"/>
  <c r="R440" i="5" s="1"/>
  <c r="AB439" i="5"/>
  <c r="Z439" i="5"/>
  <c r="AA439" i="5" s="1"/>
  <c r="Y439" i="5"/>
  <c r="V439" i="5"/>
  <c r="R439" i="5"/>
  <c r="AB438" i="5"/>
  <c r="Z438" i="5"/>
  <c r="AA438" i="5" s="1"/>
  <c r="Y438" i="5"/>
  <c r="V438" i="5"/>
  <c r="R438" i="5" s="1"/>
  <c r="AH437" i="5"/>
  <c r="AG437" i="5"/>
  <c r="AK437" i="5" s="1"/>
  <c r="AM437" i="5" s="1"/>
  <c r="AN437" i="5" s="1"/>
  <c r="AO437" i="5" s="1"/>
  <c r="AE437" i="5"/>
  <c r="AC437" i="5"/>
  <c r="AD437" i="5" s="1"/>
  <c r="AF437" i="5" s="1"/>
  <c r="AB437" i="5"/>
  <c r="AA437" i="5"/>
  <c r="AI437" i="5" s="1"/>
  <c r="Z437" i="5"/>
  <c r="Y437" i="5"/>
  <c r="V437" i="5"/>
  <c r="R437" i="5" s="1"/>
  <c r="AB436" i="5"/>
  <c r="AA436" i="5"/>
  <c r="AI436" i="5" s="1"/>
  <c r="Z436" i="5"/>
  <c r="Y436" i="5"/>
  <c r="V436" i="5"/>
  <c r="R436" i="5" s="1"/>
  <c r="AI435" i="5"/>
  <c r="AC435" i="5"/>
  <c r="AB435" i="5"/>
  <c r="Z435" i="5"/>
  <c r="AA435" i="5" s="1"/>
  <c r="Y435" i="5"/>
  <c r="V435" i="5"/>
  <c r="R435" i="5"/>
  <c r="AB434" i="5"/>
  <c r="V434" i="5"/>
  <c r="O434" i="5"/>
  <c r="S434" i="5" s="1"/>
  <c r="N434" i="5"/>
  <c r="L434" i="5"/>
  <c r="AB433" i="5"/>
  <c r="V433" i="5"/>
  <c r="L433" i="5"/>
  <c r="AB432" i="5"/>
  <c r="V432" i="5"/>
  <c r="L432" i="5"/>
  <c r="AB431" i="5"/>
  <c r="V431" i="5"/>
  <c r="L431" i="5"/>
  <c r="N431" i="5" s="1"/>
  <c r="AB430" i="5"/>
  <c r="V430" i="5"/>
  <c r="L430" i="5"/>
  <c r="AB429" i="5"/>
  <c r="V429" i="5"/>
  <c r="N429" i="5"/>
  <c r="O429" i="5" s="1"/>
  <c r="L429" i="5"/>
  <c r="AB428" i="5"/>
  <c r="V428" i="5"/>
  <c r="L428" i="5"/>
  <c r="AB427" i="5"/>
  <c r="V427" i="5"/>
  <c r="L427" i="5"/>
  <c r="N427" i="5" s="1"/>
  <c r="O427" i="5" s="1"/>
  <c r="AB426" i="5"/>
  <c r="V426" i="5"/>
  <c r="L426" i="5"/>
  <c r="AB425" i="5"/>
  <c r="V425" i="5"/>
  <c r="L425" i="5"/>
  <c r="N425" i="5" s="1"/>
  <c r="AB424" i="5"/>
  <c r="V424" i="5"/>
  <c r="O424" i="5"/>
  <c r="N424" i="5"/>
  <c r="L424" i="5"/>
  <c r="AB423" i="5"/>
  <c r="V423" i="5"/>
  <c r="L423" i="5"/>
  <c r="AB422" i="5"/>
  <c r="V422" i="5"/>
  <c r="O422" i="5"/>
  <c r="N422" i="5"/>
  <c r="L422" i="5"/>
  <c r="AB421" i="5"/>
  <c r="V421" i="5"/>
  <c r="L421" i="5"/>
  <c r="AB420" i="5"/>
  <c r="V420" i="5"/>
  <c r="N420" i="5"/>
  <c r="O420" i="5" s="1"/>
  <c r="L420" i="5"/>
  <c r="AB419" i="5"/>
  <c r="V419" i="5"/>
  <c r="L419" i="5"/>
  <c r="AB418" i="5"/>
  <c r="V418" i="5"/>
  <c r="N418" i="5"/>
  <c r="L418" i="5"/>
  <c r="AB417" i="5"/>
  <c r="V417" i="5"/>
  <c r="L417" i="5"/>
  <c r="N417" i="5" s="1"/>
  <c r="AB416" i="5"/>
  <c r="V416" i="5"/>
  <c r="O416" i="5"/>
  <c r="N416" i="5"/>
  <c r="L416" i="5"/>
  <c r="AB415" i="5"/>
  <c r="V415" i="5"/>
  <c r="O415" i="5"/>
  <c r="S415" i="5" s="1"/>
  <c r="Y415" i="5" s="1"/>
  <c r="N415" i="5"/>
  <c r="L415" i="5"/>
  <c r="AB414" i="5"/>
  <c r="V414" i="5"/>
  <c r="L414" i="5"/>
  <c r="AB413" i="5"/>
  <c r="V413" i="5"/>
  <c r="L413" i="5"/>
  <c r="AB412" i="5"/>
  <c r="V412" i="5"/>
  <c r="L412" i="5"/>
  <c r="AB411" i="5"/>
  <c r="V411" i="5"/>
  <c r="L411" i="5"/>
  <c r="AB410" i="5"/>
  <c r="V410" i="5"/>
  <c r="L410" i="5"/>
  <c r="AB409" i="5"/>
  <c r="V409" i="5"/>
  <c r="O409" i="5"/>
  <c r="N409" i="5"/>
  <c r="L409" i="5"/>
  <c r="AB408" i="5"/>
  <c r="V408" i="5"/>
  <c r="O408" i="5"/>
  <c r="N408" i="5"/>
  <c r="L408" i="5"/>
  <c r="AB407" i="5"/>
  <c r="V407" i="5"/>
  <c r="O407" i="5"/>
  <c r="N407" i="5"/>
  <c r="L407" i="5"/>
  <c r="AB406" i="5"/>
  <c r="V406" i="5"/>
  <c r="O406" i="5"/>
  <c r="N406" i="5"/>
  <c r="L406" i="5"/>
  <c r="AB405" i="5"/>
  <c r="V405" i="5"/>
  <c r="L405" i="5"/>
  <c r="AB404" i="5"/>
  <c r="V404" i="5"/>
  <c r="N404" i="5"/>
  <c r="L404" i="5"/>
  <c r="AB403" i="5"/>
  <c r="V403" i="5"/>
  <c r="L403" i="5"/>
  <c r="AB402" i="5"/>
  <c r="V402" i="5"/>
  <c r="L402" i="5"/>
  <c r="AB401" i="5"/>
  <c r="V401" i="5"/>
  <c r="O401" i="5"/>
  <c r="N401" i="5"/>
  <c r="L401" i="5"/>
  <c r="AB400" i="5"/>
  <c r="V400" i="5"/>
  <c r="O400" i="5"/>
  <c r="N400" i="5"/>
  <c r="L400" i="5"/>
  <c r="AB399" i="5"/>
  <c r="V399" i="5"/>
  <c r="N399" i="5"/>
  <c r="O399" i="5" s="1"/>
  <c r="L399" i="5"/>
  <c r="AB398" i="5"/>
  <c r="V398" i="5"/>
  <c r="L398" i="5"/>
  <c r="N398" i="5" s="1"/>
  <c r="O398" i="5" s="1"/>
  <c r="AB397" i="5"/>
  <c r="V397" i="5"/>
  <c r="O397" i="5"/>
  <c r="N397" i="5"/>
  <c r="L397" i="5"/>
  <c r="AB396" i="5"/>
  <c r="V396" i="5"/>
  <c r="L396" i="5"/>
  <c r="AB395" i="5"/>
  <c r="V395" i="5"/>
  <c r="L395" i="5"/>
  <c r="AB394" i="5"/>
  <c r="V394" i="5"/>
  <c r="L394" i="5"/>
  <c r="AB393" i="5"/>
  <c r="V393" i="5"/>
  <c r="O393" i="5"/>
  <c r="N393" i="5"/>
  <c r="L393" i="5"/>
  <c r="AB392" i="5"/>
  <c r="V392" i="5"/>
  <c r="O392" i="5"/>
  <c r="N392" i="5"/>
  <c r="L392" i="5"/>
  <c r="AB391" i="5"/>
  <c r="V391" i="5"/>
  <c r="O391" i="5"/>
  <c r="S391" i="5" s="1"/>
  <c r="Y391" i="5" s="1"/>
  <c r="N391" i="5"/>
  <c r="L391" i="5"/>
  <c r="AB390" i="5"/>
  <c r="V390" i="5"/>
  <c r="L390" i="5"/>
  <c r="AB389" i="5"/>
  <c r="V389" i="5"/>
  <c r="O389" i="5"/>
  <c r="N389" i="5"/>
  <c r="L389" i="5"/>
  <c r="AB388" i="5"/>
  <c r="V388" i="5"/>
  <c r="N388" i="5"/>
  <c r="L388" i="5"/>
  <c r="O388" i="5" s="1"/>
  <c r="AB387" i="5"/>
  <c r="V387" i="5"/>
  <c r="L387" i="5"/>
  <c r="AB386" i="5"/>
  <c r="V386" i="5"/>
  <c r="L386" i="5"/>
  <c r="AB385" i="5"/>
  <c r="V385" i="5"/>
  <c r="O385" i="5"/>
  <c r="N385" i="5"/>
  <c r="L385" i="5"/>
  <c r="AB384" i="5"/>
  <c r="V384" i="5"/>
  <c r="O384" i="5"/>
  <c r="N384" i="5"/>
  <c r="L384" i="5"/>
  <c r="AB383" i="5"/>
  <c r="V383" i="5"/>
  <c r="O383" i="5"/>
  <c r="N383" i="5"/>
  <c r="L383" i="5"/>
  <c r="AB382" i="5"/>
  <c r="V382" i="5"/>
  <c r="O382" i="5"/>
  <c r="N382" i="5"/>
  <c r="L382" i="5"/>
  <c r="AB381" i="5"/>
  <c r="V381" i="5"/>
  <c r="N381" i="5"/>
  <c r="L381" i="5"/>
  <c r="O381" i="5" s="1"/>
  <c r="AB380" i="5"/>
  <c r="V380" i="5"/>
  <c r="L380" i="5"/>
  <c r="AB379" i="5"/>
  <c r="V379" i="5"/>
  <c r="L379" i="5"/>
  <c r="AB378" i="5"/>
  <c r="V378" i="5"/>
  <c r="L378" i="5"/>
  <c r="AB377" i="5"/>
  <c r="V377" i="5"/>
  <c r="O377" i="5"/>
  <c r="N377" i="5"/>
  <c r="L377" i="5"/>
  <c r="AB376" i="5"/>
  <c r="V376" i="5"/>
  <c r="O376" i="5"/>
  <c r="N376" i="5"/>
  <c r="L376" i="5"/>
  <c r="AB375" i="5"/>
  <c r="V375" i="5"/>
  <c r="N375" i="5"/>
  <c r="L375" i="5"/>
  <c r="O375" i="5" s="1"/>
  <c r="AB374" i="5"/>
  <c r="V374" i="5"/>
  <c r="O374" i="5"/>
  <c r="N374" i="5"/>
  <c r="L374" i="5"/>
  <c r="AB373" i="5"/>
  <c r="V373" i="5"/>
  <c r="O373" i="5"/>
  <c r="N373" i="5"/>
  <c r="L373" i="5"/>
  <c r="AB372" i="5"/>
  <c r="V372" i="5"/>
  <c r="N372" i="5"/>
  <c r="L372" i="5"/>
  <c r="AB371" i="5"/>
  <c r="V371" i="5"/>
  <c r="N371" i="5"/>
  <c r="L371" i="5"/>
  <c r="AB370" i="5"/>
  <c r="V370" i="5"/>
  <c r="L370" i="5"/>
  <c r="AB369" i="5"/>
  <c r="V369" i="5"/>
  <c r="O369" i="5"/>
  <c r="N369" i="5"/>
  <c r="L369" i="5"/>
  <c r="AB368" i="5"/>
  <c r="V368" i="5"/>
  <c r="N368" i="5"/>
  <c r="O368" i="5" s="1"/>
  <c r="L368" i="5"/>
  <c r="AB367" i="5"/>
  <c r="V367" i="5"/>
  <c r="L367" i="5"/>
  <c r="AB366" i="5"/>
  <c r="V366" i="5"/>
  <c r="O366" i="5"/>
  <c r="N366" i="5"/>
  <c r="L366" i="5"/>
  <c r="AB365" i="5"/>
  <c r="V365" i="5"/>
  <c r="O365" i="5"/>
  <c r="L365" i="5"/>
  <c r="N365" i="5" s="1"/>
  <c r="AB364" i="5"/>
  <c r="V364" i="5"/>
  <c r="L364" i="5"/>
  <c r="N364" i="5" s="1"/>
  <c r="O364" i="5" s="1"/>
  <c r="AB363" i="5"/>
  <c r="V363" i="5"/>
  <c r="L363" i="5"/>
  <c r="AB362" i="5"/>
  <c r="V362" i="5"/>
  <c r="L362" i="5"/>
  <c r="N362" i="5" s="1"/>
  <c r="AB361" i="5"/>
  <c r="V361" i="5"/>
  <c r="O361" i="5"/>
  <c r="S361" i="5" s="1"/>
  <c r="N361" i="5"/>
  <c r="L361" i="5"/>
  <c r="AB360" i="5"/>
  <c r="V360" i="5"/>
  <c r="N360" i="5"/>
  <c r="L360" i="5"/>
  <c r="AB359" i="5"/>
  <c r="V359" i="5"/>
  <c r="N359" i="5"/>
  <c r="L359" i="5"/>
  <c r="O359" i="5" s="1"/>
  <c r="AB358" i="5"/>
  <c r="V358" i="5"/>
  <c r="L358" i="5"/>
  <c r="AB357" i="5"/>
  <c r="V357" i="5"/>
  <c r="N357" i="5"/>
  <c r="L357" i="5"/>
  <c r="O357" i="5" s="1"/>
  <c r="AB356" i="5"/>
  <c r="V356" i="5"/>
  <c r="O356" i="5"/>
  <c r="L356" i="5"/>
  <c r="N356" i="5" s="1"/>
  <c r="AB355" i="5"/>
  <c r="V355" i="5"/>
  <c r="N355" i="5"/>
  <c r="O355" i="5" s="1"/>
  <c r="L355" i="5"/>
  <c r="AB354" i="5"/>
  <c r="V354" i="5"/>
  <c r="L354" i="5"/>
  <c r="N354" i="5" s="1"/>
  <c r="O354" i="5" s="1"/>
  <c r="AB353" i="5"/>
  <c r="V353" i="5"/>
  <c r="O353" i="5"/>
  <c r="N353" i="5"/>
  <c r="L353" i="5"/>
  <c r="AB352" i="5"/>
  <c r="V352" i="5"/>
  <c r="N352" i="5"/>
  <c r="L352" i="5"/>
  <c r="AB351" i="5"/>
  <c r="V351" i="5"/>
  <c r="L351" i="5"/>
  <c r="AB350" i="5"/>
  <c r="V350" i="5"/>
  <c r="O350" i="5"/>
  <c r="N350" i="5"/>
  <c r="L350" i="5"/>
  <c r="AB349" i="5"/>
  <c r="V349" i="5"/>
  <c r="N349" i="5"/>
  <c r="L349" i="5"/>
  <c r="AB348" i="5"/>
  <c r="V348" i="5"/>
  <c r="O348" i="5"/>
  <c r="L348" i="5"/>
  <c r="N348" i="5" s="1"/>
  <c r="AB347" i="5"/>
  <c r="V347" i="5"/>
  <c r="N347" i="5"/>
  <c r="O347" i="5" s="1"/>
  <c r="L347" i="5"/>
  <c r="AB346" i="5"/>
  <c r="V346" i="5"/>
  <c r="L346" i="5"/>
  <c r="N346" i="5" s="1"/>
  <c r="O346" i="5" s="1"/>
  <c r="AB345" i="5"/>
  <c r="V345" i="5"/>
  <c r="N345" i="5"/>
  <c r="O345" i="5" s="1"/>
  <c r="L345" i="5"/>
  <c r="AB344" i="5"/>
  <c r="V344" i="5"/>
  <c r="L344" i="5"/>
  <c r="AB343" i="5"/>
  <c r="V343" i="5"/>
  <c r="O343" i="5"/>
  <c r="L343" i="5"/>
  <c r="N343" i="5" s="1"/>
  <c r="AB342" i="5"/>
  <c r="V342" i="5"/>
  <c r="N342" i="5"/>
  <c r="O342" i="5" s="1"/>
  <c r="L342" i="5"/>
  <c r="AB341" i="5"/>
  <c r="V341" i="5"/>
  <c r="L341" i="5"/>
  <c r="AB340" i="5"/>
  <c r="V340" i="5"/>
  <c r="L340" i="5"/>
  <c r="N340" i="5" s="1"/>
  <c r="AB339" i="5"/>
  <c r="V339" i="5"/>
  <c r="O339" i="5"/>
  <c r="N339" i="5"/>
  <c r="L339" i="5"/>
  <c r="AB338" i="5"/>
  <c r="V338" i="5"/>
  <c r="N338" i="5"/>
  <c r="L338" i="5"/>
  <c r="AB337" i="5"/>
  <c r="V337" i="5"/>
  <c r="O337" i="5"/>
  <c r="N337" i="5"/>
  <c r="L337" i="5"/>
  <c r="AB336" i="5"/>
  <c r="V336" i="5"/>
  <c r="N336" i="5"/>
  <c r="L336" i="5"/>
  <c r="AB335" i="5"/>
  <c r="V335" i="5"/>
  <c r="O335" i="5"/>
  <c r="N335" i="5"/>
  <c r="L335" i="5"/>
  <c r="AB334" i="5"/>
  <c r="V334" i="5"/>
  <c r="O334" i="5"/>
  <c r="N334" i="5"/>
  <c r="L334" i="5"/>
  <c r="AB333" i="5"/>
  <c r="V333" i="5"/>
  <c r="N333" i="5"/>
  <c r="L333" i="5"/>
  <c r="AB332" i="5"/>
  <c r="V332" i="5"/>
  <c r="O332" i="5"/>
  <c r="L332" i="5"/>
  <c r="N332" i="5" s="1"/>
  <c r="AB331" i="5"/>
  <c r="V331" i="5"/>
  <c r="O331" i="5"/>
  <c r="N331" i="5"/>
  <c r="L331" i="5"/>
  <c r="AB330" i="5"/>
  <c r="V330" i="5"/>
  <c r="O330" i="5"/>
  <c r="N330" i="5"/>
  <c r="L330" i="5"/>
  <c r="AB329" i="5"/>
  <c r="V329" i="5"/>
  <c r="O329" i="5"/>
  <c r="N329" i="5"/>
  <c r="L329" i="5"/>
  <c r="AB328" i="5"/>
  <c r="V328" i="5"/>
  <c r="L328" i="5"/>
  <c r="AB327" i="5"/>
  <c r="V327" i="5"/>
  <c r="L327" i="5"/>
  <c r="AB326" i="5"/>
  <c r="V326" i="5"/>
  <c r="O326" i="5"/>
  <c r="N326" i="5"/>
  <c r="L326" i="5"/>
  <c r="AB325" i="5"/>
  <c r="V325" i="5"/>
  <c r="N325" i="5"/>
  <c r="L325" i="5"/>
  <c r="AB324" i="5"/>
  <c r="V324" i="5"/>
  <c r="O324" i="5"/>
  <c r="L324" i="5"/>
  <c r="N324" i="5" s="1"/>
  <c r="AB323" i="5"/>
  <c r="V323" i="5"/>
  <c r="N323" i="5"/>
  <c r="O323" i="5" s="1"/>
  <c r="L323" i="5"/>
  <c r="AB322" i="5"/>
  <c r="V322" i="5"/>
  <c r="L322" i="5"/>
  <c r="N322" i="5" s="1"/>
  <c r="O322" i="5" s="1"/>
  <c r="AB321" i="5"/>
  <c r="V321" i="5"/>
  <c r="L321" i="5"/>
  <c r="AB320" i="5"/>
  <c r="V320" i="5"/>
  <c r="N320" i="5"/>
  <c r="L320" i="5"/>
  <c r="AB319" i="5"/>
  <c r="V319" i="5"/>
  <c r="O319" i="5"/>
  <c r="N319" i="5"/>
  <c r="L319" i="5"/>
  <c r="AB318" i="5"/>
  <c r="V318" i="5"/>
  <c r="O318" i="5"/>
  <c r="N318" i="5"/>
  <c r="L318" i="5"/>
  <c r="AB317" i="5"/>
  <c r="V317" i="5"/>
  <c r="N317" i="5"/>
  <c r="L317" i="5"/>
  <c r="AB316" i="5"/>
  <c r="V316" i="5"/>
  <c r="L316" i="5"/>
  <c r="AB315" i="5"/>
  <c r="V315" i="5"/>
  <c r="O315" i="5"/>
  <c r="N315" i="5"/>
  <c r="L315" i="5"/>
  <c r="AB314" i="5"/>
  <c r="V314" i="5"/>
  <c r="L314" i="5"/>
  <c r="AB313" i="5"/>
  <c r="V313" i="5"/>
  <c r="L313" i="5"/>
  <c r="AB312" i="5"/>
  <c r="V312" i="5"/>
  <c r="Q312" i="5"/>
  <c r="O312" i="5"/>
  <c r="S312" i="5" s="1"/>
  <c r="N312" i="5"/>
  <c r="L312" i="5"/>
  <c r="AB311" i="5"/>
  <c r="V311" i="5"/>
  <c r="S311" i="5"/>
  <c r="O311" i="5"/>
  <c r="N311" i="5"/>
  <c r="L311" i="5"/>
  <c r="AB310" i="5"/>
  <c r="V310" i="5"/>
  <c r="N310" i="5"/>
  <c r="O310" i="5" s="1"/>
  <c r="L310" i="5"/>
  <c r="AB309" i="5"/>
  <c r="V309" i="5"/>
  <c r="L309" i="5"/>
  <c r="AB308" i="5"/>
  <c r="V308" i="5"/>
  <c r="O308" i="5"/>
  <c r="L308" i="5"/>
  <c r="N308" i="5" s="1"/>
  <c r="AB307" i="5"/>
  <c r="V307" i="5"/>
  <c r="N307" i="5"/>
  <c r="O307" i="5" s="1"/>
  <c r="L307" i="5"/>
  <c r="AB306" i="5"/>
  <c r="V306" i="5"/>
  <c r="N306" i="5"/>
  <c r="O306" i="5" s="1"/>
  <c r="L306" i="5"/>
  <c r="AB305" i="5"/>
  <c r="V305" i="5"/>
  <c r="O305" i="5"/>
  <c r="N305" i="5"/>
  <c r="L305" i="5"/>
  <c r="AB304" i="5"/>
  <c r="V304" i="5"/>
  <c r="L304" i="5"/>
  <c r="N304" i="5" s="1"/>
  <c r="O304" i="5" s="1"/>
  <c r="AB303" i="5"/>
  <c r="V303" i="5"/>
  <c r="L303" i="5"/>
  <c r="AB302" i="5"/>
  <c r="V302" i="5"/>
  <c r="L302" i="5"/>
  <c r="AB301" i="5"/>
  <c r="V301" i="5"/>
  <c r="N301" i="5"/>
  <c r="L301" i="5"/>
  <c r="AB300" i="5"/>
  <c r="V300" i="5"/>
  <c r="L300" i="5"/>
  <c r="N300" i="5" s="1"/>
  <c r="AB299" i="5"/>
  <c r="V299" i="5"/>
  <c r="O299" i="5"/>
  <c r="N299" i="5"/>
  <c r="L299" i="5"/>
  <c r="AB298" i="5"/>
  <c r="V298" i="5"/>
  <c r="O298" i="5"/>
  <c r="N298" i="5"/>
  <c r="L298" i="5"/>
  <c r="AB297" i="5"/>
  <c r="V297" i="5"/>
  <c r="L297" i="5"/>
  <c r="AB296" i="5"/>
  <c r="V296" i="5"/>
  <c r="N296" i="5"/>
  <c r="L296" i="5"/>
  <c r="AB295" i="5"/>
  <c r="V295" i="5"/>
  <c r="L295" i="5"/>
  <c r="AB294" i="5"/>
  <c r="V294" i="5"/>
  <c r="O294" i="5"/>
  <c r="N294" i="5"/>
  <c r="L294" i="5"/>
  <c r="AB293" i="5"/>
  <c r="V293" i="5"/>
  <c r="L293" i="5"/>
  <c r="AB292" i="5"/>
  <c r="V292" i="5"/>
  <c r="O292" i="5"/>
  <c r="L292" i="5"/>
  <c r="N292" i="5" s="1"/>
  <c r="AB291" i="5"/>
  <c r="V291" i="5"/>
  <c r="O291" i="5"/>
  <c r="N291" i="5"/>
  <c r="L291" i="5"/>
  <c r="AB290" i="5"/>
  <c r="V290" i="5"/>
  <c r="L290" i="5"/>
  <c r="AB289" i="5"/>
  <c r="V289" i="5"/>
  <c r="O289" i="5"/>
  <c r="N289" i="5"/>
  <c r="L289" i="5"/>
  <c r="AB288" i="5"/>
  <c r="V288" i="5"/>
  <c r="N288" i="5"/>
  <c r="O288" i="5" s="1"/>
  <c r="L288" i="5"/>
  <c r="AB287" i="5"/>
  <c r="V287" i="5"/>
  <c r="O287" i="5"/>
  <c r="N287" i="5"/>
  <c r="L287" i="5"/>
  <c r="AB286" i="5"/>
  <c r="V286" i="5"/>
  <c r="L286" i="5"/>
  <c r="AB285" i="5"/>
  <c r="V285" i="5"/>
  <c r="N285" i="5"/>
  <c r="L285" i="5"/>
  <c r="AB284" i="5"/>
  <c r="V284" i="5"/>
  <c r="L284" i="5"/>
  <c r="N284" i="5" s="1"/>
  <c r="AB283" i="5"/>
  <c r="V283" i="5"/>
  <c r="S283" i="5"/>
  <c r="O283" i="5"/>
  <c r="N283" i="5"/>
  <c r="L283" i="5"/>
  <c r="AB282" i="5"/>
  <c r="V282" i="5"/>
  <c r="N282" i="5"/>
  <c r="O282" i="5" s="1"/>
  <c r="L282" i="5"/>
  <c r="AB281" i="5"/>
  <c r="V281" i="5"/>
  <c r="O281" i="5"/>
  <c r="N281" i="5"/>
  <c r="L281" i="5"/>
  <c r="AB280" i="5"/>
  <c r="V280" i="5"/>
  <c r="L280" i="5"/>
  <c r="N280" i="5" s="1"/>
  <c r="O280" i="5" s="1"/>
  <c r="AB279" i="5"/>
  <c r="V279" i="5"/>
  <c r="L279" i="5"/>
  <c r="AB278" i="5"/>
  <c r="V278" i="5"/>
  <c r="O278" i="5"/>
  <c r="N278" i="5"/>
  <c r="L278" i="5"/>
  <c r="AB277" i="5"/>
  <c r="V277" i="5"/>
  <c r="N277" i="5"/>
  <c r="L277" i="5"/>
  <c r="AB276" i="5"/>
  <c r="V276" i="5"/>
  <c r="O276" i="5"/>
  <c r="L276" i="5"/>
  <c r="N276" i="5" s="1"/>
  <c r="AB275" i="5"/>
  <c r="V275" i="5"/>
  <c r="N275" i="5"/>
  <c r="O275" i="5" s="1"/>
  <c r="L275" i="5"/>
  <c r="AB274" i="5"/>
  <c r="V274" i="5"/>
  <c r="O274" i="5"/>
  <c r="N274" i="5"/>
  <c r="L274" i="5"/>
  <c r="AB273" i="5"/>
  <c r="V273" i="5"/>
  <c r="L273" i="5"/>
  <c r="AB272" i="5"/>
  <c r="V272" i="5"/>
  <c r="L272" i="5"/>
  <c r="AB271" i="5"/>
  <c r="V271" i="5"/>
  <c r="L271" i="5"/>
  <c r="AB270" i="5"/>
  <c r="V270" i="5"/>
  <c r="O270" i="5"/>
  <c r="N270" i="5"/>
  <c r="L270" i="5"/>
  <c r="AB269" i="5"/>
  <c r="V269" i="5"/>
  <c r="N269" i="5"/>
  <c r="L269" i="5"/>
  <c r="AB268" i="5"/>
  <c r="V268" i="5"/>
  <c r="L268" i="5"/>
  <c r="AB267" i="5"/>
  <c r="V267" i="5"/>
  <c r="O267" i="5"/>
  <c r="N267" i="5"/>
  <c r="L267" i="5"/>
  <c r="AB266" i="5"/>
  <c r="V266" i="5"/>
  <c r="L266" i="5"/>
  <c r="AB265" i="5"/>
  <c r="V265" i="5"/>
  <c r="L265" i="5"/>
  <c r="AB264" i="5"/>
  <c r="V264" i="5"/>
  <c r="O264" i="5"/>
  <c r="L264" i="5"/>
  <c r="N264" i="5" s="1"/>
  <c r="AB263" i="5"/>
  <c r="V263" i="5"/>
  <c r="N263" i="5"/>
  <c r="O263" i="5" s="1"/>
  <c r="L263" i="5"/>
  <c r="AB262" i="5"/>
  <c r="V262" i="5"/>
  <c r="L262" i="5"/>
  <c r="AB261" i="5"/>
  <c r="V261" i="5"/>
  <c r="L261" i="5"/>
  <c r="AB260" i="5"/>
  <c r="V260" i="5"/>
  <c r="L260" i="5"/>
  <c r="AB259" i="5"/>
  <c r="V259" i="5"/>
  <c r="N259" i="5"/>
  <c r="O259" i="5" s="1"/>
  <c r="L259" i="5"/>
  <c r="AB258" i="5"/>
  <c r="V258" i="5"/>
  <c r="L258" i="5"/>
  <c r="AB257" i="5"/>
  <c r="V257" i="5"/>
  <c r="N257" i="5"/>
  <c r="L257" i="5"/>
  <c r="AB256" i="5"/>
  <c r="V256" i="5"/>
  <c r="O256" i="5"/>
  <c r="L256" i="5"/>
  <c r="N256" i="5" s="1"/>
  <c r="AB255" i="5"/>
  <c r="V255" i="5"/>
  <c r="O255" i="5"/>
  <c r="N255" i="5"/>
  <c r="L255" i="5"/>
  <c r="AB254" i="5"/>
  <c r="V254" i="5"/>
  <c r="N254" i="5"/>
  <c r="O254" i="5" s="1"/>
  <c r="L254" i="5"/>
  <c r="AB253" i="5"/>
  <c r="V253" i="5"/>
  <c r="L253" i="5"/>
  <c r="AB252" i="5"/>
  <c r="V252" i="5"/>
  <c r="N252" i="5"/>
  <c r="O252" i="5" s="1"/>
  <c r="L252" i="5"/>
  <c r="AB251" i="5"/>
  <c r="V251" i="5"/>
  <c r="L251" i="5"/>
  <c r="AB250" i="5"/>
  <c r="V250" i="5"/>
  <c r="S250" i="5"/>
  <c r="O250" i="5"/>
  <c r="N250" i="5"/>
  <c r="L250" i="5"/>
  <c r="AB249" i="5"/>
  <c r="V249" i="5"/>
  <c r="N249" i="5"/>
  <c r="L249" i="5"/>
  <c r="AB248" i="5"/>
  <c r="V248" i="5"/>
  <c r="O248" i="5"/>
  <c r="L248" i="5"/>
  <c r="N248" i="5" s="1"/>
  <c r="AB247" i="5"/>
  <c r="V247" i="5"/>
  <c r="O247" i="5"/>
  <c r="N247" i="5"/>
  <c r="L247" i="5"/>
  <c r="AB246" i="5"/>
  <c r="V246" i="5"/>
  <c r="L246" i="5"/>
  <c r="AB245" i="5"/>
  <c r="V245" i="5"/>
  <c r="O245" i="5"/>
  <c r="N245" i="5"/>
  <c r="L245" i="5"/>
  <c r="AB244" i="5"/>
  <c r="V244" i="5"/>
  <c r="L244" i="5"/>
  <c r="AB243" i="5"/>
  <c r="V243" i="5"/>
  <c r="L243" i="5"/>
  <c r="N243" i="5" s="1"/>
  <c r="O243" i="5" s="1"/>
  <c r="AB242" i="5"/>
  <c r="V242" i="5"/>
  <c r="N242" i="5"/>
  <c r="L242" i="5"/>
  <c r="AB241" i="5"/>
  <c r="V241" i="5"/>
  <c r="N241" i="5"/>
  <c r="L241" i="5"/>
  <c r="AB240" i="5"/>
  <c r="V240" i="5"/>
  <c r="L240" i="5"/>
  <c r="N240" i="5" s="1"/>
  <c r="AB239" i="5"/>
  <c r="V239" i="5"/>
  <c r="O239" i="5"/>
  <c r="N239" i="5"/>
  <c r="L239" i="5"/>
  <c r="AB238" i="5"/>
  <c r="V238" i="5"/>
  <c r="L238" i="5"/>
  <c r="N238" i="5" s="1"/>
  <c r="O238" i="5" s="1"/>
  <c r="AB237" i="5"/>
  <c r="V237" i="5"/>
  <c r="L237" i="5"/>
  <c r="AB236" i="5"/>
  <c r="V236" i="5"/>
  <c r="N236" i="5"/>
  <c r="L236" i="5"/>
  <c r="AB235" i="5"/>
  <c r="V235" i="5"/>
  <c r="L235" i="5"/>
  <c r="AB234" i="5"/>
  <c r="V234" i="5"/>
  <c r="N234" i="5"/>
  <c r="O234" i="5" s="1"/>
  <c r="L234" i="5"/>
  <c r="AB233" i="5"/>
  <c r="V233" i="5"/>
  <c r="L233" i="5"/>
  <c r="AB232" i="5"/>
  <c r="V232" i="5"/>
  <c r="O232" i="5"/>
  <c r="L232" i="5"/>
  <c r="N232" i="5" s="1"/>
  <c r="AB231" i="5"/>
  <c r="V231" i="5"/>
  <c r="N231" i="5"/>
  <c r="O231" i="5" s="1"/>
  <c r="L231" i="5"/>
  <c r="AB230" i="5"/>
  <c r="V230" i="5"/>
  <c r="L230" i="5"/>
  <c r="AB229" i="5"/>
  <c r="V229" i="5"/>
  <c r="L229" i="5"/>
  <c r="AB228" i="5"/>
  <c r="V228" i="5"/>
  <c r="L228" i="5"/>
  <c r="AB227" i="5"/>
  <c r="V227" i="5"/>
  <c r="N227" i="5"/>
  <c r="O227" i="5" s="1"/>
  <c r="L227" i="5"/>
  <c r="AB226" i="5"/>
  <c r="V226" i="5"/>
  <c r="L226" i="5"/>
  <c r="AB225" i="5"/>
  <c r="V225" i="5"/>
  <c r="N225" i="5"/>
  <c r="L225" i="5"/>
  <c r="AB224" i="5"/>
  <c r="V224" i="5"/>
  <c r="O224" i="5"/>
  <c r="L224" i="5"/>
  <c r="N224" i="5" s="1"/>
  <c r="AB223" i="5"/>
  <c r="V223" i="5"/>
  <c r="O223" i="5"/>
  <c r="N223" i="5"/>
  <c r="L223" i="5"/>
  <c r="AB222" i="5"/>
  <c r="V222" i="5"/>
  <c r="L222" i="5"/>
  <c r="N222" i="5" s="1"/>
  <c r="O222" i="5" s="1"/>
  <c r="AB221" i="5"/>
  <c r="V221" i="5"/>
  <c r="L221" i="5"/>
  <c r="AB220" i="5"/>
  <c r="V220" i="5"/>
  <c r="L220" i="5"/>
  <c r="N220" i="5" s="1"/>
  <c r="AB219" i="5"/>
  <c r="V219" i="5"/>
  <c r="O219" i="5"/>
  <c r="L219" i="5"/>
  <c r="N219" i="5" s="1"/>
  <c r="AB218" i="5"/>
  <c r="V218" i="5"/>
  <c r="L218" i="5"/>
  <c r="AB217" i="5"/>
  <c r="V217" i="5"/>
  <c r="O217" i="5"/>
  <c r="N217" i="5"/>
  <c r="L217" i="5"/>
  <c r="AB216" i="5"/>
  <c r="V216" i="5"/>
  <c r="N216" i="5"/>
  <c r="L216" i="5"/>
  <c r="AB215" i="5"/>
  <c r="V215" i="5"/>
  <c r="N215" i="5"/>
  <c r="L215" i="5"/>
  <c r="O215" i="5" s="1"/>
  <c r="AB214" i="5"/>
  <c r="V214" i="5"/>
  <c r="L214" i="5"/>
  <c r="N214" i="5" s="1"/>
  <c r="AB213" i="5"/>
  <c r="V213" i="5"/>
  <c r="N213" i="5"/>
  <c r="L213" i="5"/>
  <c r="AB212" i="5"/>
  <c r="V212" i="5"/>
  <c r="O212" i="5"/>
  <c r="L212" i="5"/>
  <c r="N212" i="5" s="1"/>
  <c r="AB211" i="5"/>
  <c r="V211" i="5"/>
  <c r="N211" i="5"/>
  <c r="L211" i="5"/>
  <c r="O211" i="5" s="1"/>
  <c r="AB210" i="5"/>
  <c r="V210" i="5"/>
  <c r="L210" i="5"/>
  <c r="AB209" i="5"/>
  <c r="V209" i="5"/>
  <c r="O209" i="5"/>
  <c r="N209" i="5"/>
  <c r="L209" i="5"/>
  <c r="AB208" i="5"/>
  <c r="V208" i="5"/>
  <c r="N208" i="5"/>
  <c r="L208" i="5"/>
  <c r="AB207" i="5"/>
  <c r="V207" i="5"/>
  <c r="N207" i="5"/>
  <c r="L207" i="5"/>
  <c r="O207" i="5" s="1"/>
  <c r="AB206" i="5"/>
  <c r="V206" i="5"/>
  <c r="L206" i="5"/>
  <c r="AB205" i="5"/>
  <c r="V205" i="5"/>
  <c r="N205" i="5"/>
  <c r="L205" i="5"/>
  <c r="AB204" i="5"/>
  <c r="V204" i="5"/>
  <c r="L204" i="5"/>
  <c r="N204" i="5" s="1"/>
  <c r="O204" i="5" s="1"/>
  <c r="AB203" i="5"/>
  <c r="V203" i="5"/>
  <c r="L203" i="5"/>
  <c r="AB202" i="5"/>
  <c r="V202" i="5"/>
  <c r="L202" i="5"/>
  <c r="AB201" i="5"/>
  <c r="V201" i="5"/>
  <c r="N201" i="5"/>
  <c r="O201" i="5" s="1"/>
  <c r="L201" i="5"/>
  <c r="AB200" i="5"/>
  <c r="V200" i="5"/>
  <c r="N200" i="5"/>
  <c r="L200" i="5"/>
  <c r="O200" i="5" s="1"/>
  <c r="AB199" i="5"/>
  <c r="V199" i="5"/>
  <c r="L199" i="5"/>
  <c r="AB198" i="5"/>
  <c r="V198" i="5"/>
  <c r="N198" i="5"/>
  <c r="L198" i="5"/>
  <c r="AB197" i="5"/>
  <c r="V197" i="5"/>
  <c r="N197" i="5"/>
  <c r="L197" i="5"/>
  <c r="AB196" i="5"/>
  <c r="V196" i="5"/>
  <c r="O196" i="5"/>
  <c r="N196" i="5"/>
  <c r="L196" i="5"/>
  <c r="AB195" i="5"/>
  <c r="V195" i="5"/>
  <c r="L195" i="5"/>
  <c r="AB194" i="5"/>
  <c r="V194" i="5"/>
  <c r="O194" i="5"/>
  <c r="L194" i="5"/>
  <c r="N194" i="5" s="1"/>
  <c r="AB193" i="5"/>
  <c r="V193" i="5"/>
  <c r="O193" i="5"/>
  <c r="N193" i="5"/>
  <c r="L193" i="5"/>
  <c r="AB192" i="5"/>
  <c r="V192" i="5"/>
  <c r="L192" i="5"/>
  <c r="AB191" i="5"/>
  <c r="V191" i="5"/>
  <c r="N191" i="5"/>
  <c r="L191" i="5"/>
  <c r="AB190" i="5"/>
  <c r="V190" i="5"/>
  <c r="N190" i="5"/>
  <c r="L190" i="5"/>
  <c r="AB189" i="5"/>
  <c r="V189" i="5"/>
  <c r="N189" i="5"/>
  <c r="L189" i="5"/>
  <c r="O189" i="5" s="1"/>
  <c r="AB188" i="5"/>
  <c r="V188" i="5"/>
  <c r="N188" i="5"/>
  <c r="L188" i="5"/>
  <c r="O188" i="5" s="1"/>
  <c r="AB187" i="5"/>
  <c r="V187" i="5"/>
  <c r="N187" i="5"/>
  <c r="L187" i="5"/>
  <c r="AB186" i="5"/>
  <c r="V186" i="5"/>
  <c r="L186" i="5"/>
  <c r="N186" i="5" s="1"/>
  <c r="AB185" i="5"/>
  <c r="V185" i="5"/>
  <c r="O185" i="5"/>
  <c r="N185" i="5"/>
  <c r="L185" i="5"/>
  <c r="AB184" i="5"/>
  <c r="V184" i="5"/>
  <c r="N184" i="5"/>
  <c r="O184" i="5" s="1"/>
  <c r="L184" i="5"/>
  <c r="AB183" i="5"/>
  <c r="V183" i="5"/>
  <c r="L183" i="5"/>
  <c r="N183" i="5" s="1"/>
  <c r="O183" i="5" s="1"/>
  <c r="AB182" i="5"/>
  <c r="V182" i="5"/>
  <c r="L182" i="5"/>
  <c r="AB181" i="5"/>
  <c r="V181" i="5"/>
  <c r="L181" i="5"/>
  <c r="AB180" i="5"/>
  <c r="V180" i="5"/>
  <c r="O180" i="5"/>
  <c r="N180" i="5"/>
  <c r="L180" i="5"/>
  <c r="AB179" i="5"/>
  <c r="V179" i="5"/>
  <c r="O179" i="5"/>
  <c r="N179" i="5"/>
  <c r="L179" i="5"/>
  <c r="AB178" i="5"/>
  <c r="V178" i="5"/>
  <c r="N178" i="5"/>
  <c r="O178" i="5" s="1"/>
  <c r="L178" i="5"/>
  <c r="AB177" i="5"/>
  <c r="V177" i="5"/>
  <c r="O177" i="5"/>
  <c r="L177" i="5"/>
  <c r="N177" i="5" s="1"/>
  <c r="AB176" i="5"/>
  <c r="V176" i="5"/>
  <c r="N176" i="5"/>
  <c r="O176" i="5" s="1"/>
  <c r="L176" i="5"/>
  <c r="AB175" i="5"/>
  <c r="V175" i="5"/>
  <c r="N175" i="5"/>
  <c r="L175" i="5"/>
  <c r="O175" i="5" s="1"/>
  <c r="AB174" i="5"/>
  <c r="V174" i="5"/>
  <c r="N174" i="5"/>
  <c r="L174" i="5"/>
  <c r="AB173" i="5"/>
  <c r="V173" i="5"/>
  <c r="L173" i="5"/>
  <c r="AB172" i="5"/>
  <c r="V172" i="5"/>
  <c r="O172" i="5"/>
  <c r="N172" i="5"/>
  <c r="L172" i="5"/>
  <c r="AB171" i="5"/>
  <c r="V171" i="5"/>
  <c r="O171" i="5"/>
  <c r="N171" i="5"/>
  <c r="L171" i="5"/>
  <c r="AB170" i="5"/>
  <c r="V170" i="5"/>
  <c r="N170" i="5"/>
  <c r="O170" i="5" s="1"/>
  <c r="L170" i="5"/>
  <c r="AB169" i="5"/>
  <c r="V169" i="5"/>
  <c r="L169" i="5"/>
  <c r="N169" i="5" s="1"/>
  <c r="AB168" i="5"/>
  <c r="V168" i="5"/>
  <c r="O168" i="5"/>
  <c r="N168" i="5"/>
  <c r="L168" i="5"/>
  <c r="AB167" i="5"/>
  <c r="V167" i="5"/>
  <c r="L167" i="5"/>
  <c r="AB166" i="5"/>
  <c r="V166" i="5"/>
  <c r="L166" i="5"/>
  <c r="AB165" i="5"/>
  <c r="V165" i="5"/>
  <c r="L165" i="5"/>
  <c r="AB164" i="5"/>
  <c r="V164" i="5"/>
  <c r="O164" i="5"/>
  <c r="N164" i="5"/>
  <c r="L164" i="5"/>
  <c r="AB163" i="5"/>
  <c r="V163" i="5"/>
  <c r="O163" i="5"/>
  <c r="N163" i="5"/>
  <c r="L163" i="5"/>
  <c r="AC162" i="5"/>
  <c r="AB162" i="5"/>
  <c r="Z162" i="5"/>
  <c r="AA162" i="5" s="1"/>
  <c r="V162" i="5"/>
  <c r="N162" i="5"/>
  <c r="O162" i="5" s="1"/>
  <c r="S162" i="5" s="1"/>
  <c r="Y162" i="5" s="1"/>
  <c r="L162" i="5"/>
  <c r="AB161" i="5"/>
  <c r="V161" i="5"/>
  <c r="O161" i="5"/>
  <c r="L161" i="5"/>
  <c r="N161" i="5" s="1"/>
  <c r="AB160" i="5"/>
  <c r="V160" i="5"/>
  <c r="N160" i="5"/>
  <c r="O160" i="5" s="1"/>
  <c r="L160" i="5"/>
  <c r="AB159" i="5"/>
  <c r="V159" i="5"/>
  <c r="N159" i="5"/>
  <c r="L159" i="5"/>
  <c r="O159" i="5" s="1"/>
  <c r="AB158" i="5"/>
  <c r="V158" i="5"/>
  <c r="N158" i="5"/>
  <c r="L158" i="5"/>
  <c r="AB157" i="5"/>
  <c r="V157" i="5"/>
  <c r="L157" i="5"/>
  <c r="AB156" i="5"/>
  <c r="V156" i="5"/>
  <c r="O156" i="5"/>
  <c r="N156" i="5"/>
  <c r="L156" i="5"/>
  <c r="AB155" i="5"/>
  <c r="V155" i="5"/>
  <c r="N155" i="5"/>
  <c r="O155" i="5" s="1"/>
  <c r="L155" i="5"/>
  <c r="AB154" i="5"/>
  <c r="V154" i="5"/>
  <c r="L154" i="5"/>
  <c r="AB153" i="5"/>
  <c r="V153" i="5"/>
  <c r="N153" i="5"/>
  <c r="L153" i="5"/>
  <c r="O153" i="5" s="1"/>
  <c r="AB152" i="5"/>
  <c r="V152" i="5"/>
  <c r="O152" i="5"/>
  <c r="L152" i="5"/>
  <c r="N152" i="5" s="1"/>
  <c r="AB151" i="5"/>
  <c r="V151" i="5"/>
  <c r="L151" i="5"/>
  <c r="AB150" i="5"/>
  <c r="V150" i="5"/>
  <c r="L150" i="5"/>
  <c r="AB149" i="5"/>
  <c r="V149" i="5"/>
  <c r="L149" i="5"/>
  <c r="AB148" i="5"/>
  <c r="V148" i="5"/>
  <c r="O148" i="5"/>
  <c r="N148" i="5"/>
  <c r="L148" i="5"/>
  <c r="AB147" i="5"/>
  <c r="V147" i="5"/>
  <c r="O147" i="5"/>
  <c r="N147" i="5"/>
  <c r="L147" i="5"/>
  <c r="AB146" i="5"/>
  <c r="V146" i="5"/>
  <c r="N146" i="5"/>
  <c r="L146" i="5"/>
  <c r="AB145" i="5"/>
  <c r="V145" i="5"/>
  <c r="N145" i="5"/>
  <c r="O145" i="5" s="1"/>
  <c r="L145" i="5"/>
  <c r="AB144" i="5"/>
  <c r="V144" i="5"/>
  <c r="O144" i="5"/>
  <c r="N144" i="5"/>
  <c r="L144" i="5"/>
  <c r="AB143" i="5"/>
  <c r="V143" i="5"/>
  <c r="S143" i="5"/>
  <c r="N143" i="5"/>
  <c r="O143" i="5" s="1"/>
  <c r="L143" i="5"/>
  <c r="AB142" i="5"/>
  <c r="V142" i="5"/>
  <c r="N142" i="5"/>
  <c r="L142" i="5"/>
  <c r="AB141" i="5"/>
  <c r="V141" i="5"/>
  <c r="L141" i="5"/>
  <c r="AB140" i="5"/>
  <c r="V140" i="5"/>
  <c r="O140" i="5"/>
  <c r="N140" i="5"/>
  <c r="L140" i="5"/>
  <c r="AB139" i="5"/>
  <c r="V139" i="5"/>
  <c r="N139" i="5"/>
  <c r="O139" i="5" s="1"/>
  <c r="L139" i="5"/>
  <c r="AB138" i="5"/>
  <c r="V138" i="5"/>
  <c r="N138" i="5"/>
  <c r="L138" i="5"/>
  <c r="O138" i="5" s="1"/>
  <c r="AB137" i="5"/>
  <c r="V137" i="5"/>
  <c r="N137" i="5"/>
  <c r="O137" i="5" s="1"/>
  <c r="L137" i="5"/>
  <c r="AB136" i="5"/>
  <c r="V136" i="5"/>
  <c r="O136" i="5"/>
  <c r="L136" i="5"/>
  <c r="N136" i="5" s="1"/>
  <c r="AB135" i="5"/>
  <c r="V135" i="5"/>
  <c r="L135" i="5"/>
  <c r="N135" i="5" s="1"/>
  <c r="O135" i="5" s="1"/>
  <c r="AB134" i="5"/>
  <c r="V134" i="5"/>
  <c r="N134" i="5"/>
  <c r="L134" i="5"/>
  <c r="AB133" i="5"/>
  <c r="V133" i="5"/>
  <c r="L133" i="5"/>
  <c r="N133" i="5" s="1"/>
  <c r="AB132" i="5"/>
  <c r="V132" i="5"/>
  <c r="O132" i="5"/>
  <c r="N132" i="5"/>
  <c r="L132" i="5"/>
  <c r="AB131" i="5"/>
  <c r="V131" i="5"/>
  <c r="N131" i="5"/>
  <c r="L131" i="5"/>
  <c r="AB130" i="5"/>
  <c r="V130" i="5"/>
  <c r="N130" i="5"/>
  <c r="O130" i="5" s="1"/>
  <c r="L130" i="5"/>
  <c r="AB129" i="5"/>
  <c r="V129" i="5"/>
  <c r="N129" i="5"/>
  <c r="L129" i="5"/>
  <c r="AB128" i="5"/>
  <c r="V128" i="5"/>
  <c r="O128" i="5"/>
  <c r="L128" i="5"/>
  <c r="N128" i="5" s="1"/>
  <c r="AB127" i="5"/>
  <c r="V127" i="5"/>
  <c r="N127" i="5"/>
  <c r="O127" i="5" s="1"/>
  <c r="L127" i="5"/>
  <c r="AB126" i="5"/>
  <c r="V126" i="5"/>
  <c r="O126" i="5"/>
  <c r="L126" i="5"/>
  <c r="N126" i="5" s="1"/>
  <c r="AB125" i="5"/>
  <c r="V125" i="5"/>
  <c r="N125" i="5"/>
  <c r="O125" i="5" s="1"/>
  <c r="L125" i="5"/>
  <c r="AB124" i="5"/>
  <c r="V124" i="5"/>
  <c r="L124" i="5"/>
  <c r="AB123" i="5"/>
  <c r="V123" i="5"/>
  <c r="L123" i="5"/>
  <c r="AB122" i="5"/>
  <c r="V122" i="5"/>
  <c r="L122" i="5"/>
  <c r="AB121" i="5"/>
  <c r="V121" i="5"/>
  <c r="N121" i="5"/>
  <c r="L121" i="5"/>
  <c r="O121" i="5" s="1"/>
  <c r="AB120" i="5"/>
  <c r="V120" i="5"/>
  <c r="L120" i="5"/>
  <c r="N120" i="5" s="1"/>
  <c r="O120" i="5" s="1"/>
  <c r="AB119" i="5"/>
  <c r="Z119" i="5"/>
  <c r="AA119" i="5" s="1"/>
  <c r="V119" i="5"/>
  <c r="N119" i="5"/>
  <c r="O119" i="5" s="1"/>
  <c r="S119" i="5" s="1"/>
  <c r="Y119" i="5" s="1"/>
  <c r="L119" i="5"/>
  <c r="AB118" i="5"/>
  <c r="V118" i="5"/>
  <c r="L118" i="5"/>
  <c r="N118" i="5" s="1"/>
  <c r="AB117" i="5"/>
  <c r="V117" i="5"/>
  <c r="O117" i="5"/>
  <c r="N117" i="5"/>
  <c r="L117" i="5"/>
  <c r="AB116" i="5"/>
  <c r="V116" i="5"/>
  <c r="L116" i="5"/>
  <c r="AB115" i="5"/>
  <c r="V115" i="5"/>
  <c r="N115" i="5"/>
  <c r="L115" i="5"/>
  <c r="AB114" i="5"/>
  <c r="V114" i="5"/>
  <c r="L114" i="5"/>
  <c r="AB113" i="5"/>
  <c r="V113" i="5"/>
  <c r="N113" i="5"/>
  <c r="L113" i="5"/>
  <c r="O113" i="5" s="1"/>
  <c r="AB112" i="5"/>
  <c r="V112" i="5"/>
  <c r="O112" i="5"/>
  <c r="L112" i="5"/>
  <c r="N112" i="5" s="1"/>
  <c r="AB111" i="5"/>
  <c r="V111" i="5"/>
  <c r="N111" i="5"/>
  <c r="O111" i="5" s="1"/>
  <c r="L111" i="5"/>
  <c r="AB110" i="5"/>
  <c r="V110" i="5"/>
  <c r="L110" i="5"/>
  <c r="N110" i="5" s="1"/>
  <c r="AB109" i="5"/>
  <c r="V109" i="5"/>
  <c r="O109" i="5"/>
  <c r="N109" i="5"/>
  <c r="L109" i="5"/>
  <c r="AB108" i="5"/>
  <c r="V108" i="5"/>
  <c r="N108" i="5"/>
  <c r="L108" i="5"/>
  <c r="O108" i="5" s="1"/>
  <c r="AB107" i="5"/>
  <c r="V107" i="5"/>
  <c r="L107" i="5"/>
  <c r="AB106" i="5"/>
  <c r="V106" i="5"/>
  <c r="L106" i="5"/>
  <c r="AB105" i="5"/>
  <c r="V105" i="5"/>
  <c r="N105" i="5"/>
  <c r="L105" i="5"/>
  <c r="O105" i="5" s="1"/>
  <c r="AB104" i="5"/>
  <c r="V104" i="5"/>
  <c r="L104" i="5"/>
  <c r="N104" i="5" s="1"/>
  <c r="O104" i="5" s="1"/>
  <c r="AB103" i="5"/>
  <c r="V103" i="5"/>
  <c r="N103" i="5"/>
  <c r="O103" i="5" s="1"/>
  <c r="S103" i="5" s="1"/>
  <c r="Y103" i="5" s="1"/>
  <c r="L103" i="5"/>
  <c r="AB102" i="5"/>
  <c r="V102" i="5"/>
  <c r="L102" i="5"/>
  <c r="N102" i="5" s="1"/>
  <c r="AB101" i="5"/>
  <c r="V101" i="5"/>
  <c r="N101" i="5"/>
  <c r="O101" i="5" s="1"/>
  <c r="L101" i="5"/>
  <c r="AB100" i="5"/>
  <c r="V100" i="5"/>
  <c r="O100" i="5"/>
  <c r="N100" i="5"/>
  <c r="L100" i="5"/>
  <c r="AB99" i="5"/>
  <c r="V99" i="5"/>
  <c r="L99" i="5"/>
  <c r="AB98" i="5"/>
  <c r="V98" i="5"/>
  <c r="L98" i="5"/>
  <c r="AB97" i="5"/>
  <c r="V97" i="5"/>
  <c r="L97" i="5"/>
  <c r="AB96" i="5"/>
  <c r="V96" i="5"/>
  <c r="L96" i="5"/>
  <c r="N96" i="5" s="1"/>
  <c r="O96" i="5" s="1"/>
  <c r="AB95" i="5"/>
  <c r="V95" i="5"/>
  <c r="N95" i="5"/>
  <c r="O95" i="5" s="1"/>
  <c r="L95" i="5"/>
  <c r="AB94" i="5"/>
  <c r="V94" i="5"/>
  <c r="L94" i="5"/>
  <c r="N94" i="5" s="1"/>
  <c r="AB93" i="5"/>
  <c r="V93" i="5"/>
  <c r="N93" i="5"/>
  <c r="O93" i="5" s="1"/>
  <c r="L93" i="5"/>
  <c r="AB92" i="5"/>
  <c r="V92" i="5"/>
  <c r="O92" i="5"/>
  <c r="N92" i="5"/>
  <c r="L92" i="5"/>
  <c r="AB91" i="5"/>
  <c r="V91" i="5"/>
  <c r="L91" i="5"/>
  <c r="AB90" i="5"/>
  <c r="V90" i="5"/>
  <c r="L90" i="5"/>
  <c r="AB89" i="5"/>
  <c r="V89" i="5"/>
  <c r="L89" i="5"/>
  <c r="AB88" i="5"/>
  <c r="V88" i="5"/>
  <c r="L88" i="5"/>
  <c r="N88" i="5" s="1"/>
  <c r="O88" i="5" s="1"/>
  <c r="AB87" i="5"/>
  <c r="V87" i="5"/>
  <c r="N87" i="5"/>
  <c r="O87" i="5" s="1"/>
  <c r="L87" i="5"/>
  <c r="AB86" i="5"/>
  <c r="V86" i="5"/>
  <c r="L86" i="5"/>
  <c r="N86" i="5" s="1"/>
  <c r="AB85" i="5"/>
  <c r="V85" i="5"/>
  <c r="N85" i="5"/>
  <c r="O85" i="5" s="1"/>
  <c r="L85" i="5"/>
  <c r="AB84" i="5"/>
  <c r="V84" i="5"/>
  <c r="O84" i="5"/>
  <c r="N84" i="5"/>
  <c r="L84" i="5"/>
  <c r="AB83" i="5"/>
  <c r="V83" i="5"/>
  <c r="L83" i="5"/>
  <c r="AB82" i="5"/>
  <c r="V82" i="5"/>
  <c r="L82" i="5"/>
  <c r="AB81" i="5"/>
  <c r="V81" i="5"/>
  <c r="L81" i="5"/>
  <c r="AB80" i="5"/>
  <c r="V80" i="5"/>
  <c r="L80" i="5"/>
  <c r="N80" i="5" s="1"/>
  <c r="O80" i="5" s="1"/>
  <c r="AB79" i="5"/>
  <c r="V79" i="5"/>
  <c r="N79" i="5"/>
  <c r="O79" i="5" s="1"/>
  <c r="L79" i="5"/>
  <c r="AB78" i="5"/>
  <c r="V78" i="5"/>
  <c r="L78" i="5"/>
  <c r="N78" i="5" s="1"/>
  <c r="AB77" i="5"/>
  <c r="V77" i="5"/>
  <c r="N77" i="5"/>
  <c r="O77" i="5" s="1"/>
  <c r="L77" i="5"/>
  <c r="AB76" i="5"/>
  <c r="V76" i="5"/>
  <c r="L76" i="5"/>
  <c r="AB75" i="5"/>
  <c r="V75" i="5"/>
  <c r="L75" i="5"/>
  <c r="AB74" i="5"/>
  <c r="V74" i="5"/>
  <c r="L74" i="5"/>
  <c r="AB73" i="5"/>
  <c r="V73" i="5"/>
  <c r="L73" i="5"/>
  <c r="AB72" i="5"/>
  <c r="V72" i="5"/>
  <c r="L72" i="5"/>
  <c r="N72" i="5" s="1"/>
  <c r="O72" i="5" s="1"/>
  <c r="AB71" i="5"/>
  <c r="V71" i="5"/>
  <c r="N71" i="5"/>
  <c r="O71" i="5" s="1"/>
  <c r="L71" i="5"/>
  <c r="AB70" i="5"/>
  <c r="V70" i="5"/>
  <c r="O70" i="5"/>
  <c r="L70" i="5"/>
  <c r="N70" i="5" s="1"/>
  <c r="AB69" i="5"/>
  <c r="V69" i="5"/>
  <c r="O69" i="5"/>
  <c r="N69" i="5"/>
  <c r="L69" i="5"/>
  <c r="AB68" i="5"/>
  <c r="V68" i="5"/>
  <c r="L68" i="5"/>
  <c r="AB67" i="5"/>
  <c r="V67" i="5"/>
  <c r="O67" i="5"/>
  <c r="N67" i="5"/>
  <c r="L67" i="5"/>
  <c r="AB66" i="5"/>
  <c r="V66" i="5"/>
  <c r="N66" i="5"/>
  <c r="L66" i="5"/>
  <c r="AB65" i="5"/>
  <c r="V65" i="5"/>
  <c r="L65" i="5"/>
  <c r="AB64" i="5"/>
  <c r="V64" i="5"/>
  <c r="L64" i="5"/>
  <c r="N64" i="5" s="1"/>
  <c r="O64" i="5" s="1"/>
  <c r="AB63" i="5"/>
  <c r="V63" i="5"/>
  <c r="N63" i="5"/>
  <c r="O63" i="5" s="1"/>
  <c r="L63" i="5"/>
  <c r="AB62" i="5"/>
  <c r="V62" i="5"/>
  <c r="L62" i="5"/>
  <c r="AB61" i="5"/>
  <c r="V61" i="5"/>
  <c r="N61" i="5"/>
  <c r="O61" i="5" s="1"/>
  <c r="L61" i="5"/>
  <c r="AB60" i="5"/>
  <c r="V60" i="5"/>
  <c r="L60" i="5"/>
  <c r="AB59" i="5"/>
  <c r="V59" i="5"/>
  <c r="L59" i="5"/>
  <c r="AB58" i="5"/>
  <c r="V58" i="5"/>
  <c r="L58" i="5"/>
  <c r="AB57" i="5"/>
  <c r="V57" i="5"/>
  <c r="L57" i="5"/>
  <c r="AB56" i="5"/>
  <c r="V56" i="5"/>
  <c r="L56" i="5"/>
  <c r="N56" i="5" s="1"/>
  <c r="O56" i="5" s="1"/>
  <c r="AB55" i="5"/>
  <c r="V55" i="5"/>
  <c r="N55" i="5"/>
  <c r="O55" i="5" s="1"/>
  <c r="L55" i="5"/>
  <c r="AB54" i="5"/>
  <c r="V54" i="5"/>
  <c r="O54" i="5"/>
  <c r="L54" i="5"/>
  <c r="N54" i="5" s="1"/>
  <c r="AB53" i="5"/>
  <c r="V53" i="5"/>
  <c r="N53" i="5"/>
  <c r="O53" i="5" s="1"/>
  <c r="L53" i="5"/>
  <c r="AB52" i="5"/>
  <c r="V52" i="5"/>
  <c r="L52" i="5"/>
  <c r="AB51" i="5"/>
  <c r="V51" i="5"/>
  <c r="L51" i="5"/>
  <c r="AB50" i="5"/>
  <c r="V50" i="5"/>
  <c r="O50" i="5"/>
  <c r="N50" i="5"/>
  <c r="L50" i="5"/>
  <c r="AB49" i="5"/>
  <c r="V49" i="5"/>
  <c r="L49" i="5"/>
  <c r="AB48" i="5"/>
  <c r="V48" i="5"/>
  <c r="L48" i="5"/>
  <c r="N48" i="5" s="1"/>
  <c r="AB47" i="5"/>
  <c r="V47" i="5"/>
  <c r="N47" i="5"/>
  <c r="O47" i="5" s="1"/>
  <c r="L47" i="5"/>
  <c r="AB46" i="5"/>
  <c r="V46" i="5"/>
  <c r="O46" i="5"/>
  <c r="L46" i="5"/>
  <c r="N46" i="5" s="1"/>
  <c r="AB45" i="5"/>
  <c r="V45" i="5"/>
  <c r="N45" i="5"/>
  <c r="O45" i="5" s="1"/>
  <c r="L45" i="5"/>
  <c r="AB44" i="5"/>
  <c r="V44" i="5"/>
  <c r="L44" i="5"/>
  <c r="AB43" i="5"/>
  <c r="V43" i="5"/>
  <c r="L43" i="5"/>
  <c r="AB42" i="5"/>
  <c r="V42" i="5"/>
  <c r="O42" i="5"/>
  <c r="N42" i="5"/>
  <c r="L42" i="5"/>
  <c r="AB41" i="5"/>
  <c r="V41" i="5"/>
  <c r="L41" i="5"/>
  <c r="AB40" i="5"/>
  <c r="V40" i="5"/>
  <c r="L40" i="5"/>
  <c r="N40" i="5" s="1"/>
  <c r="AB39" i="5"/>
  <c r="V39" i="5"/>
  <c r="N39" i="5"/>
  <c r="O39" i="5" s="1"/>
  <c r="L39" i="5"/>
  <c r="AB38" i="5"/>
  <c r="V38" i="5"/>
  <c r="O38" i="5"/>
  <c r="L38" i="5"/>
  <c r="N38" i="5" s="1"/>
  <c r="AB37" i="5"/>
  <c r="V37" i="5"/>
  <c r="N37" i="5"/>
  <c r="O37" i="5" s="1"/>
  <c r="L37" i="5"/>
  <c r="AB36" i="5"/>
  <c r="V36" i="5"/>
  <c r="L36" i="5"/>
  <c r="AB35" i="5"/>
  <c r="V35" i="5"/>
  <c r="L35" i="5"/>
  <c r="AB34" i="5"/>
  <c r="V34" i="5"/>
  <c r="N34" i="5"/>
  <c r="O34" i="5" s="1"/>
  <c r="L34" i="5"/>
  <c r="AB33" i="5"/>
  <c r="V33" i="5"/>
  <c r="L33" i="5"/>
  <c r="AB32" i="5"/>
  <c r="V32" i="5"/>
  <c r="L32" i="5"/>
  <c r="N32" i="5" s="1"/>
  <c r="AB31" i="5"/>
  <c r="V31" i="5"/>
  <c r="N31" i="5"/>
  <c r="O31" i="5" s="1"/>
  <c r="L31" i="5"/>
  <c r="AB30" i="5"/>
  <c r="V30" i="5"/>
  <c r="O30" i="5"/>
  <c r="L30" i="5"/>
  <c r="N30" i="5" s="1"/>
  <c r="AB29" i="5"/>
  <c r="V29" i="5"/>
  <c r="N29" i="5"/>
  <c r="O29" i="5" s="1"/>
  <c r="L29" i="5"/>
  <c r="AB28" i="5"/>
  <c r="V28" i="5"/>
  <c r="L28" i="5"/>
  <c r="AB27" i="5"/>
  <c r="V27" i="5"/>
  <c r="N27" i="5"/>
  <c r="L27" i="5"/>
  <c r="AB26" i="5"/>
  <c r="V26" i="5"/>
  <c r="N26" i="5"/>
  <c r="O26" i="5" s="1"/>
  <c r="L26" i="5"/>
  <c r="AB25" i="5"/>
  <c r="V25" i="5"/>
  <c r="L25" i="5"/>
  <c r="AB24" i="5"/>
  <c r="V24" i="5"/>
  <c r="L24" i="5"/>
  <c r="AB23" i="5"/>
  <c r="V23" i="5"/>
  <c r="N23" i="5"/>
  <c r="O23" i="5" s="1"/>
  <c r="S23" i="5" s="1"/>
  <c r="L23" i="5"/>
  <c r="AB22" i="5"/>
  <c r="V22" i="5"/>
  <c r="O22" i="5"/>
  <c r="N22" i="5"/>
  <c r="L22" i="5"/>
  <c r="AB21" i="5"/>
  <c r="V21" i="5"/>
  <c r="L21" i="5"/>
  <c r="AB20" i="5"/>
  <c r="V20" i="5"/>
  <c r="O20" i="5"/>
  <c r="N20" i="5"/>
  <c r="L20" i="5"/>
  <c r="AB19" i="5"/>
  <c r="V19" i="5"/>
  <c r="L19" i="5"/>
  <c r="AB18" i="5"/>
  <c r="V18" i="5"/>
  <c r="L18" i="5"/>
  <c r="N18" i="5" s="1"/>
  <c r="AB17" i="5"/>
  <c r="V17" i="5"/>
  <c r="L17" i="5"/>
  <c r="AB16" i="5"/>
  <c r="V16" i="5"/>
  <c r="L16" i="5"/>
  <c r="AB15" i="5"/>
  <c r="V15" i="5"/>
  <c r="N15" i="5"/>
  <c r="O15" i="5" s="1"/>
  <c r="L15" i="5"/>
  <c r="AB14" i="5"/>
  <c r="V14" i="5"/>
  <c r="L14" i="5"/>
  <c r="AB13" i="5"/>
  <c r="V13" i="5"/>
  <c r="N13" i="5"/>
  <c r="O13" i="5" s="1"/>
  <c r="L13" i="5"/>
  <c r="AB12" i="5"/>
  <c r="V12" i="5"/>
  <c r="L12" i="5"/>
  <c r="AB11" i="5"/>
  <c r="V11" i="5"/>
  <c r="N11" i="5"/>
  <c r="O11" i="5" s="1"/>
  <c r="L11" i="5"/>
  <c r="AB10" i="5"/>
  <c r="V10" i="5"/>
  <c r="L10" i="5"/>
  <c r="AB9" i="5"/>
  <c r="V9" i="5"/>
  <c r="L9" i="5"/>
  <c r="AB8" i="5"/>
  <c r="V8" i="5"/>
  <c r="L8" i="5"/>
  <c r="AB7" i="5"/>
  <c r="V7" i="5"/>
  <c r="N7" i="5"/>
  <c r="O7" i="5" s="1"/>
  <c r="L7" i="5"/>
  <c r="AB6" i="5"/>
  <c r="V6" i="5"/>
  <c r="O6" i="5"/>
  <c r="N6" i="5"/>
  <c r="L6" i="5"/>
  <c r="AB5" i="5"/>
  <c r="V5" i="5"/>
  <c r="L5" i="5"/>
  <c r="AB4" i="5"/>
  <c r="V4" i="5"/>
  <c r="O4" i="5"/>
  <c r="N4" i="5"/>
  <c r="L4" i="5"/>
  <c r="AB3" i="5"/>
  <c r="V3" i="5"/>
  <c r="L3" i="5"/>
  <c r="AB2" i="5"/>
  <c r="V2" i="5"/>
  <c r="L2" i="5"/>
  <c r="N2" i="5" s="1"/>
  <c r="O2" i="5" s="1"/>
  <c r="L68" i="4"/>
  <c r="J68" i="4"/>
  <c r="I68" i="4"/>
  <c r="E68" i="4"/>
  <c r="D68" i="4"/>
  <c r="L67" i="4"/>
  <c r="J67" i="4"/>
  <c r="K67" i="4" s="1"/>
  <c r="F67" i="4"/>
  <c r="G67" i="4" s="1"/>
  <c r="H67" i="4" s="1"/>
  <c r="E67" i="4"/>
  <c r="D67" i="4"/>
  <c r="L66" i="4"/>
  <c r="I66" i="4"/>
  <c r="F66" i="4"/>
  <c r="E66" i="4"/>
  <c r="G66" i="4" s="1"/>
  <c r="H66" i="4" s="1"/>
  <c r="D66" i="4"/>
  <c r="L65" i="4"/>
  <c r="J65" i="4"/>
  <c r="F65" i="4"/>
  <c r="E65" i="4"/>
  <c r="D65" i="4"/>
  <c r="I64" i="4"/>
  <c r="G64" i="4"/>
  <c r="H64" i="4" s="1"/>
  <c r="F64" i="4"/>
  <c r="E64" i="4"/>
  <c r="D64" i="4"/>
  <c r="L63" i="4"/>
  <c r="J63" i="4"/>
  <c r="K63" i="4" s="1"/>
  <c r="I63" i="4"/>
  <c r="G63" i="4"/>
  <c r="H63" i="4" s="1"/>
  <c r="F63" i="4"/>
  <c r="E63" i="4"/>
  <c r="D63" i="4"/>
  <c r="K62" i="4"/>
  <c r="J62" i="4"/>
  <c r="I62" i="4"/>
  <c r="G62" i="4"/>
  <c r="H62" i="4" s="1"/>
  <c r="F62" i="4"/>
  <c r="E62" i="4"/>
  <c r="L61" i="4"/>
  <c r="J61" i="4"/>
  <c r="K61" i="4" s="1"/>
  <c r="I61" i="4"/>
  <c r="F61" i="4"/>
  <c r="D61" i="4"/>
  <c r="L60" i="4"/>
  <c r="J60" i="4"/>
  <c r="I60" i="4"/>
  <c r="E60" i="4"/>
  <c r="D60" i="4"/>
  <c r="L59" i="4"/>
  <c r="J59" i="4"/>
  <c r="K59" i="4" s="1"/>
  <c r="I59" i="4"/>
  <c r="H59" i="4"/>
  <c r="F59" i="4"/>
  <c r="G59" i="4" s="1"/>
  <c r="E59" i="4"/>
  <c r="D59" i="4"/>
  <c r="L58" i="4"/>
  <c r="K58" i="4"/>
  <c r="J58" i="4"/>
  <c r="I58" i="4"/>
  <c r="F58" i="4"/>
  <c r="E58" i="4"/>
  <c r="G58" i="4" s="1"/>
  <c r="H58" i="4" s="1"/>
  <c r="D58" i="4"/>
  <c r="L57" i="4"/>
  <c r="J57" i="4"/>
  <c r="I57" i="4"/>
  <c r="F57" i="4"/>
  <c r="G57" i="4" s="1"/>
  <c r="H57" i="4" s="1"/>
  <c r="E57" i="4"/>
  <c r="D57" i="4"/>
  <c r="L56" i="4"/>
  <c r="J56" i="4"/>
  <c r="I56" i="4"/>
  <c r="F56" i="4"/>
  <c r="G56" i="4" s="1"/>
  <c r="H56" i="4" s="1"/>
  <c r="E56" i="4"/>
  <c r="D56" i="4"/>
  <c r="L55" i="4"/>
  <c r="K55" i="4"/>
  <c r="J55" i="4"/>
  <c r="I55" i="4"/>
  <c r="G55" i="4"/>
  <c r="H55" i="4" s="1"/>
  <c r="F55" i="4"/>
  <c r="E55" i="4"/>
  <c r="D55" i="4"/>
  <c r="L54" i="4"/>
  <c r="K54" i="4"/>
  <c r="J54" i="4"/>
  <c r="I54" i="4"/>
  <c r="H54" i="4"/>
  <c r="G54" i="4"/>
  <c r="F54" i="4"/>
  <c r="E54" i="4"/>
  <c r="D54" i="4"/>
  <c r="L53" i="4"/>
  <c r="J53" i="4"/>
  <c r="I53" i="4"/>
  <c r="F53" i="4"/>
  <c r="E53" i="4"/>
  <c r="D53" i="4"/>
  <c r="L52" i="4"/>
  <c r="J52" i="4"/>
  <c r="K52" i="4" s="1"/>
  <c r="I52" i="4"/>
  <c r="F52" i="4"/>
  <c r="E52" i="4"/>
  <c r="G52" i="4" s="1"/>
  <c r="H52" i="4" s="1"/>
  <c r="D52" i="4"/>
  <c r="L51" i="4"/>
  <c r="J51" i="4"/>
  <c r="K51" i="4" s="1"/>
  <c r="I51" i="4"/>
  <c r="F51" i="4"/>
  <c r="G51" i="4" s="1"/>
  <c r="H51" i="4" s="1"/>
  <c r="E51" i="4"/>
  <c r="D51" i="4"/>
  <c r="L50" i="4"/>
  <c r="K50" i="4"/>
  <c r="J50" i="4"/>
  <c r="I50" i="4"/>
  <c r="G50" i="4"/>
  <c r="H50" i="4" s="1"/>
  <c r="F50" i="4"/>
  <c r="E50" i="4"/>
  <c r="D50" i="4"/>
  <c r="L49" i="4"/>
  <c r="J49" i="4"/>
  <c r="I49" i="4"/>
  <c r="F49" i="4"/>
  <c r="G49" i="4" s="1"/>
  <c r="H49" i="4" s="1"/>
  <c r="E49" i="4"/>
  <c r="D49" i="4"/>
  <c r="L48" i="4"/>
  <c r="J48" i="4"/>
  <c r="K48" i="4" s="1"/>
  <c r="I48" i="4"/>
  <c r="F48" i="4"/>
  <c r="G48" i="4" s="1"/>
  <c r="H48" i="4" s="1"/>
  <c r="E48" i="4"/>
  <c r="D48" i="4"/>
  <c r="L47" i="4"/>
  <c r="J47" i="4"/>
  <c r="K47" i="4" s="1"/>
  <c r="I47" i="4"/>
  <c r="G47" i="4"/>
  <c r="H47" i="4" s="1"/>
  <c r="F47" i="4"/>
  <c r="E47" i="4"/>
  <c r="D47" i="4"/>
  <c r="L46" i="4"/>
  <c r="K46" i="4"/>
  <c r="J46" i="4"/>
  <c r="I46" i="4"/>
  <c r="H46" i="4"/>
  <c r="G46" i="4"/>
  <c r="F46" i="4"/>
  <c r="E46" i="4"/>
  <c r="D46" i="4"/>
  <c r="L45" i="4"/>
  <c r="J45" i="4"/>
  <c r="K45" i="4" s="1"/>
  <c r="I45" i="4"/>
  <c r="F45" i="4"/>
  <c r="E45" i="4"/>
  <c r="D45" i="4"/>
  <c r="L44" i="4"/>
  <c r="J44" i="4"/>
  <c r="K44" i="4" s="1"/>
  <c r="I44" i="4"/>
  <c r="G44" i="4"/>
  <c r="H44" i="4" s="1"/>
  <c r="F44" i="4"/>
  <c r="E44" i="4"/>
  <c r="D44" i="4"/>
  <c r="L43" i="4"/>
  <c r="J43" i="4"/>
  <c r="K43" i="4" s="1"/>
  <c r="I43" i="4"/>
  <c r="F43" i="4"/>
  <c r="G43" i="4" s="1"/>
  <c r="H43" i="4" s="1"/>
  <c r="E43" i="4"/>
  <c r="D43" i="4"/>
  <c r="L42" i="4"/>
  <c r="K42" i="4"/>
  <c r="J42" i="4"/>
  <c r="I42" i="4"/>
  <c r="G42" i="4"/>
  <c r="H42" i="4" s="1"/>
  <c r="F42" i="4"/>
  <c r="E42" i="4"/>
  <c r="D42" i="4"/>
  <c r="L41" i="4"/>
  <c r="J41" i="4"/>
  <c r="I41" i="4"/>
  <c r="F41" i="4"/>
  <c r="G41" i="4" s="1"/>
  <c r="H41" i="4" s="1"/>
  <c r="E41" i="4"/>
  <c r="D41" i="4"/>
  <c r="L40" i="4"/>
  <c r="K40" i="4"/>
  <c r="J40" i="4"/>
  <c r="I40" i="4"/>
  <c r="F40" i="4"/>
  <c r="G40" i="4" s="1"/>
  <c r="H40" i="4" s="1"/>
  <c r="E40" i="4"/>
  <c r="D40" i="4"/>
  <c r="L39" i="4"/>
  <c r="K39" i="4"/>
  <c r="J39" i="4"/>
  <c r="I39" i="4"/>
  <c r="G39" i="4"/>
  <c r="H39" i="4" s="1"/>
  <c r="F39" i="4"/>
  <c r="E39" i="4"/>
  <c r="D39" i="4"/>
  <c r="L38" i="4"/>
  <c r="K38" i="4"/>
  <c r="J38" i="4"/>
  <c r="I38" i="4"/>
  <c r="F38" i="4"/>
  <c r="E38" i="4"/>
  <c r="G38" i="4" s="1"/>
  <c r="H38" i="4" s="1"/>
  <c r="D38" i="4"/>
  <c r="O7" i="2"/>
  <c r="K7" i="2"/>
  <c r="J7" i="2"/>
  <c r="I7" i="2"/>
  <c r="H7" i="2"/>
  <c r="L7" i="2" s="1"/>
  <c r="G18" i="1" s="1"/>
  <c r="E7" i="2"/>
  <c r="D7" i="2"/>
  <c r="F7" i="2" s="1"/>
  <c r="C7" i="2"/>
  <c r="O6" i="2"/>
  <c r="K6" i="2"/>
  <c r="J6" i="2"/>
  <c r="I6" i="2"/>
  <c r="H6" i="2"/>
  <c r="L6" i="2" s="1"/>
  <c r="G17" i="1" s="1"/>
  <c r="E6" i="2"/>
  <c r="F6" i="2" s="1"/>
  <c r="D6" i="2"/>
  <c r="C6" i="2"/>
  <c r="O5" i="2"/>
  <c r="L5" i="2"/>
  <c r="G16" i="1" s="1"/>
  <c r="K5" i="2"/>
  <c r="J5" i="2"/>
  <c r="I5" i="2"/>
  <c r="H5" i="2"/>
  <c r="E5" i="2"/>
  <c r="F5" i="2" s="1"/>
  <c r="D5" i="2"/>
  <c r="E16" i="1" s="1"/>
  <c r="C5" i="2"/>
  <c r="D18" i="1"/>
  <c r="C18" i="1"/>
  <c r="B18" i="1"/>
  <c r="A18" i="1"/>
  <c r="E17" i="1"/>
  <c r="D17" i="1"/>
  <c r="C17" i="1"/>
  <c r="B17" i="1"/>
  <c r="A17" i="1"/>
  <c r="D16" i="1"/>
  <c r="C16" i="1"/>
  <c r="B16" i="1"/>
  <c r="A16" i="1"/>
  <c r="B15" i="1"/>
  <c r="A15" i="1"/>
  <c r="B14" i="1"/>
  <c r="A14" i="1"/>
  <c r="B13" i="1"/>
  <c r="A13" i="1"/>
  <c r="F9" i="1"/>
  <c r="M5" i="2" l="1"/>
  <c r="G5" i="2"/>
  <c r="F16" i="1" s="1"/>
  <c r="S11" i="5"/>
  <c r="G6" i="2"/>
  <c r="F17" i="1" s="1"/>
  <c r="M6" i="2"/>
  <c r="G7" i="2"/>
  <c r="F18" i="1" s="1"/>
  <c r="M7" i="2"/>
  <c r="S22" i="5"/>
  <c r="Q22" i="5"/>
  <c r="N24" i="5"/>
  <c r="O24" i="5" s="1"/>
  <c r="O28" i="5"/>
  <c r="N28" i="5"/>
  <c r="O41" i="5"/>
  <c r="N41" i="5"/>
  <c r="O49" i="5"/>
  <c r="N49" i="5"/>
  <c r="K56" i="4"/>
  <c r="G45" i="4"/>
  <c r="H45" i="4" s="1"/>
  <c r="N10" i="5"/>
  <c r="O10" i="5" s="1"/>
  <c r="P22" i="5"/>
  <c r="O51" i="5"/>
  <c r="N51" i="5"/>
  <c r="N8" i="5"/>
  <c r="O8" i="5"/>
  <c r="N25" i="5"/>
  <c r="O25" i="5" s="1"/>
  <c r="O35" i="5"/>
  <c r="K41" i="4"/>
  <c r="G53" i="4"/>
  <c r="H53" i="4" s="1"/>
  <c r="Y23" i="5"/>
  <c r="Z23" i="5"/>
  <c r="AA23" i="5" s="1"/>
  <c r="N35" i="5"/>
  <c r="O36" i="5"/>
  <c r="N36" i="5"/>
  <c r="S56" i="5"/>
  <c r="O57" i="5"/>
  <c r="N57" i="5"/>
  <c r="N62" i="5"/>
  <c r="O62" i="5" s="1"/>
  <c r="O43" i="5"/>
  <c r="N43" i="5"/>
  <c r="S88" i="5"/>
  <c r="R97" i="5"/>
  <c r="P104" i="5"/>
  <c r="Q103" i="5"/>
  <c r="R99" i="5" s="1"/>
  <c r="S104" i="5"/>
  <c r="Q104" i="5"/>
  <c r="N9" i="5"/>
  <c r="O9" i="5" s="1"/>
  <c r="N17" i="5"/>
  <c r="O17" i="5" s="1"/>
  <c r="E18" i="1"/>
  <c r="K49" i="4"/>
  <c r="G65" i="4"/>
  <c r="H65" i="4" s="1"/>
  <c r="Q23" i="5"/>
  <c r="P23" i="5" s="1"/>
  <c r="N33" i="5"/>
  <c r="O33" i="5" s="1"/>
  <c r="K53" i="4"/>
  <c r="R19" i="5"/>
  <c r="R91" i="5"/>
  <c r="K57" i="4"/>
  <c r="K65" i="4"/>
  <c r="N16" i="5"/>
  <c r="O16" i="5"/>
  <c r="O18" i="5"/>
  <c r="O27" i="5"/>
  <c r="O75" i="5"/>
  <c r="O73" i="5"/>
  <c r="N73" i="5"/>
  <c r="AG119" i="5"/>
  <c r="AI119" i="5"/>
  <c r="O167" i="5"/>
  <c r="N167" i="5"/>
  <c r="Q175" i="5"/>
  <c r="Q176" i="5"/>
  <c r="P175" i="5"/>
  <c r="S175" i="5"/>
  <c r="S346" i="5"/>
  <c r="S39" i="5"/>
  <c r="N68" i="5"/>
  <c r="O68" i="5" s="1"/>
  <c r="O82" i="5"/>
  <c r="N82" i="5"/>
  <c r="N90" i="5"/>
  <c r="O90" i="5" s="1"/>
  <c r="N98" i="5"/>
  <c r="O98" i="5" s="1"/>
  <c r="N123" i="5"/>
  <c r="O123" i="5" s="1"/>
  <c r="N229" i="5"/>
  <c r="O229" i="5" s="1"/>
  <c r="O66" i="5"/>
  <c r="N106" i="5"/>
  <c r="O106" i="5" s="1"/>
  <c r="AC119" i="5"/>
  <c r="O134" i="5"/>
  <c r="N154" i="5"/>
  <c r="O154" i="5" s="1"/>
  <c r="S155" i="5"/>
  <c r="R93" i="5"/>
  <c r="R101" i="5"/>
  <c r="O114" i="5"/>
  <c r="N114" i="5"/>
  <c r="S130" i="5"/>
  <c r="O141" i="5"/>
  <c r="N141" i="5"/>
  <c r="N166" i="5"/>
  <c r="O166" i="5" s="1"/>
  <c r="O321" i="5"/>
  <c r="N321" i="5"/>
  <c r="N65" i="5"/>
  <c r="O65" i="5" s="1"/>
  <c r="O78" i="5"/>
  <c r="O86" i="5"/>
  <c r="R90" i="5"/>
  <c r="O94" i="5"/>
  <c r="R98" i="5"/>
  <c r="O102" i="5"/>
  <c r="N116" i="5"/>
  <c r="O116" i="5" s="1"/>
  <c r="AH119" i="5"/>
  <c r="N122" i="5"/>
  <c r="O122" i="5" s="1"/>
  <c r="S161" i="5"/>
  <c r="Q162" i="5"/>
  <c r="P162" i="5" s="1"/>
  <c r="Q161" i="5"/>
  <c r="R162" i="5" s="1"/>
  <c r="N44" i="5"/>
  <c r="O44" i="5" s="1"/>
  <c r="N52" i="5"/>
  <c r="O52" i="5" s="1"/>
  <c r="N60" i="5"/>
  <c r="O60" i="5" s="1"/>
  <c r="N76" i="5"/>
  <c r="O76" i="5" s="1"/>
  <c r="O83" i="5"/>
  <c r="O91" i="5"/>
  <c r="R92" i="5"/>
  <c r="R100" i="5"/>
  <c r="O110" i="5"/>
  <c r="N124" i="5"/>
  <c r="O124" i="5" s="1"/>
  <c r="Q135" i="5"/>
  <c r="P135" i="5" s="1"/>
  <c r="Q137" i="5"/>
  <c r="P137" i="5" s="1"/>
  <c r="Q134" i="5"/>
  <c r="Q132" i="5"/>
  <c r="P132" i="5" s="1"/>
  <c r="Q139" i="5"/>
  <c r="P139" i="5" s="1"/>
  <c r="R156" i="5"/>
  <c r="S168" i="5"/>
  <c r="R172" i="5"/>
  <c r="R174" i="5"/>
  <c r="N3" i="5"/>
  <c r="O3" i="5" s="1"/>
  <c r="N5" i="5"/>
  <c r="O5" i="5" s="1"/>
  <c r="N12" i="5"/>
  <c r="O12" i="5" s="1"/>
  <c r="N14" i="5"/>
  <c r="O14" i="5" s="1"/>
  <c r="N19" i="5"/>
  <c r="O19" i="5" s="1"/>
  <c r="N21" i="5"/>
  <c r="O21" i="5" s="1"/>
  <c r="N59" i="5"/>
  <c r="O59" i="5" s="1"/>
  <c r="N75" i="5"/>
  <c r="N83" i="5"/>
  <c r="N91" i="5"/>
  <c r="N99" i="5"/>
  <c r="O99" i="5" s="1"/>
  <c r="Z103" i="5"/>
  <c r="AA103" i="5" s="1"/>
  <c r="O107" i="5"/>
  <c r="O118" i="5"/>
  <c r="O129" i="5"/>
  <c r="O165" i="5"/>
  <c r="Q164" i="5" s="1"/>
  <c r="P164" i="5" s="1"/>
  <c r="N165" i="5"/>
  <c r="R20" i="5"/>
  <c r="O32" i="5"/>
  <c r="O40" i="5"/>
  <c r="O48" i="5"/>
  <c r="N58" i="5"/>
  <c r="O58" i="5" s="1"/>
  <c r="N74" i="5"/>
  <c r="O74" i="5" s="1"/>
  <c r="N107" i="5"/>
  <c r="O115" i="5"/>
  <c r="O131" i="5"/>
  <c r="Z143" i="5"/>
  <c r="AA143" i="5" s="1"/>
  <c r="Y143" i="5"/>
  <c r="O146" i="5"/>
  <c r="Q150" i="5" s="1"/>
  <c r="O151" i="5"/>
  <c r="N151" i="5"/>
  <c r="AE162" i="5"/>
  <c r="AD162" i="5"/>
  <c r="AF162" i="5" s="1"/>
  <c r="S176" i="5"/>
  <c r="P176" i="5"/>
  <c r="N202" i="5"/>
  <c r="O202" i="5" s="1"/>
  <c r="O158" i="5"/>
  <c r="O191" i="5"/>
  <c r="O197" i="5"/>
  <c r="O205" i="5"/>
  <c r="O313" i="5"/>
  <c r="AG162" i="5"/>
  <c r="AK162" i="5" s="1"/>
  <c r="AM162" i="5" s="1"/>
  <c r="AN162" i="5" s="1"/>
  <c r="AO162" i="5" s="1"/>
  <c r="AI162" i="5"/>
  <c r="O195" i="5"/>
  <c r="O199" i="5"/>
  <c r="S219" i="5"/>
  <c r="Y250" i="5"/>
  <c r="Z250" i="5"/>
  <c r="AA250" i="5" s="1"/>
  <c r="N157" i="5"/>
  <c r="O157" i="5" s="1"/>
  <c r="O169" i="5"/>
  <c r="Q168" i="5" s="1"/>
  <c r="N173" i="5"/>
  <c r="O173" i="5" s="1"/>
  <c r="N182" i="5"/>
  <c r="O182" i="5" s="1"/>
  <c r="N195" i="5"/>
  <c r="N199" i="5"/>
  <c r="O214" i="5"/>
  <c r="O220" i="5"/>
  <c r="Q219" i="5" s="1"/>
  <c r="N221" i="5"/>
  <c r="O221" i="5"/>
  <c r="O142" i="5"/>
  <c r="N149" i="5"/>
  <c r="O149" i="5" s="1"/>
  <c r="R176" i="5"/>
  <c r="O190" i="5"/>
  <c r="Q188" i="5" s="1"/>
  <c r="P188" i="5" s="1"/>
  <c r="O198" i="5"/>
  <c r="S209" i="5"/>
  <c r="S231" i="5"/>
  <c r="N233" i="5"/>
  <c r="O233" i="5" s="1"/>
  <c r="N302" i="5"/>
  <c r="O302" i="5" s="1"/>
  <c r="N81" i="5"/>
  <c r="O81" i="5" s="1"/>
  <c r="N89" i="5"/>
  <c r="O89" i="5" s="1"/>
  <c r="N97" i="5"/>
  <c r="O97" i="5" s="1"/>
  <c r="AH162" i="5"/>
  <c r="R173" i="5"/>
  <c r="O181" i="5"/>
  <c r="Q179" i="5" s="1"/>
  <c r="P179" i="5" s="1"/>
  <c r="N181" i="5"/>
  <c r="N210" i="5"/>
  <c r="O210" i="5"/>
  <c r="N218" i="5"/>
  <c r="O218" i="5" s="1"/>
  <c r="O226" i="5"/>
  <c r="N237" i="5"/>
  <c r="O237" i="5" s="1"/>
  <c r="N246" i="5"/>
  <c r="O246" i="5" s="1"/>
  <c r="O258" i="5"/>
  <c r="N258" i="5"/>
  <c r="O133" i="5"/>
  <c r="N150" i="5"/>
  <c r="O150" i="5" s="1"/>
  <c r="R157" i="5"/>
  <c r="R160" i="5"/>
  <c r="O174" i="5"/>
  <c r="R175" i="5"/>
  <c r="O186" i="5"/>
  <c r="N192" i="5"/>
  <c r="O192" i="5" s="1"/>
  <c r="N206" i="5"/>
  <c r="O206" i="5" s="1"/>
  <c r="O208" i="5"/>
  <c r="O216" i="5"/>
  <c r="N226" i="5"/>
  <c r="O236" i="5"/>
  <c r="S294" i="5"/>
  <c r="N316" i="5"/>
  <c r="O316" i="5"/>
  <c r="N230" i="5"/>
  <c r="O230" i="5" s="1"/>
  <c r="O242" i="5"/>
  <c r="O253" i="5"/>
  <c r="N253" i="5"/>
  <c r="O249" i="5"/>
  <c r="O320" i="5"/>
  <c r="R299" i="5"/>
  <c r="O303" i="5"/>
  <c r="N303" i="5"/>
  <c r="N268" i="5"/>
  <c r="O268" i="5"/>
  <c r="Q269" i="5" s="1"/>
  <c r="N271" i="5"/>
  <c r="O271" i="5" s="1"/>
  <c r="O279" i="5"/>
  <c r="O290" i="5"/>
  <c r="N290" i="5"/>
  <c r="N295" i="5"/>
  <c r="O295" i="5" s="1"/>
  <c r="Z311" i="5"/>
  <c r="AA311" i="5" s="1"/>
  <c r="Y311" i="5"/>
  <c r="Y312" i="5"/>
  <c r="Z312" i="5"/>
  <c r="AA312" i="5" s="1"/>
  <c r="O327" i="5"/>
  <c r="N327" i="5"/>
  <c r="N244" i="5"/>
  <c r="O244" i="5" s="1"/>
  <c r="N261" i="5"/>
  <c r="O261" i="5" s="1"/>
  <c r="N265" i="5"/>
  <c r="O265" i="5" s="1"/>
  <c r="Y283" i="5"/>
  <c r="Z283" i="5"/>
  <c r="AA283" i="5" s="1"/>
  <c r="O284" i="5"/>
  <c r="O296" i="5"/>
  <c r="R300" i="5"/>
  <c r="R303" i="5"/>
  <c r="P312" i="5"/>
  <c r="N313" i="5"/>
  <c r="N314" i="5"/>
  <c r="O314" i="5" s="1"/>
  <c r="Q345" i="5"/>
  <c r="R332" i="5" s="1"/>
  <c r="Q346" i="5"/>
  <c r="P346" i="5" s="1"/>
  <c r="P345" i="5"/>
  <c r="S345" i="5"/>
  <c r="O187" i="5"/>
  <c r="N228" i="5"/>
  <c r="O228" i="5" s="1"/>
  <c r="N251" i="5"/>
  <c r="O251" i="5" s="1"/>
  <c r="O266" i="5"/>
  <c r="N266" i="5"/>
  <c r="N272" i="5"/>
  <c r="O272" i="5" s="1"/>
  <c r="R307" i="5"/>
  <c r="N203" i="5"/>
  <c r="O203" i="5" s="1"/>
  <c r="O213" i="5"/>
  <c r="N235" i="5"/>
  <c r="O235" i="5" s="1"/>
  <c r="O240" i="5"/>
  <c r="R304" i="5"/>
  <c r="N309" i="5"/>
  <c r="O309" i="5" s="1"/>
  <c r="O225" i="5"/>
  <c r="O241" i="5"/>
  <c r="O257" i="5"/>
  <c r="O277" i="5"/>
  <c r="Q281" i="5" s="1"/>
  <c r="P281" i="5" s="1"/>
  <c r="P376" i="5"/>
  <c r="S376" i="5"/>
  <c r="Q311" i="5"/>
  <c r="S329" i="5"/>
  <c r="O340" i="5"/>
  <c r="R334" i="5"/>
  <c r="R336" i="5"/>
  <c r="O351" i="5"/>
  <c r="N351" i="5"/>
  <c r="O370" i="5"/>
  <c r="N370" i="5"/>
  <c r="O341" i="5"/>
  <c r="N344" i="5"/>
  <c r="O344" i="5" s="1"/>
  <c r="O367" i="5"/>
  <c r="N260" i="5"/>
  <c r="O260" i="5" s="1"/>
  <c r="N262" i="5"/>
  <c r="O262" i="5" s="1"/>
  <c r="N273" i="5"/>
  <c r="O273" i="5" s="1"/>
  <c r="N279" i="5"/>
  <c r="N286" i="5"/>
  <c r="O286" i="5" s="1"/>
  <c r="N293" i="5"/>
  <c r="O293" i="5" s="1"/>
  <c r="N297" i="5"/>
  <c r="O297" i="5" s="1"/>
  <c r="R312" i="5"/>
  <c r="N328" i="5"/>
  <c r="O328" i="5" s="1"/>
  <c r="N341" i="5"/>
  <c r="O300" i="5"/>
  <c r="R302" i="5"/>
  <c r="R309" i="5"/>
  <c r="O325" i="5"/>
  <c r="O336" i="5"/>
  <c r="O338" i="5"/>
  <c r="O349" i="5"/>
  <c r="Q354" i="5" s="1"/>
  <c r="P354" i="5" s="1"/>
  <c r="O352" i="5"/>
  <c r="Y361" i="5"/>
  <c r="Z361" i="5"/>
  <c r="AA361" i="5" s="1"/>
  <c r="N367" i="5"/>
  <c r="N387" i="5"/>
  <c r="O387" i="5" s="1"/>
  <c r="S375" i="5"/>
  <c r="Q375" i="5"/>
  <c r="R364" i="5" s="1"/>
  <c r="Q376" i="5"/>
  <c r="AK448" i="5"/>
  <c r="N358" i="5"/>
  <c r="O358" i="5" s="1"/>
  <c r="O360" i="5"/>
  <c r="O372" i="5"/>
  <c r="N390" i="5"/>
  <c r="O390" i="5" s="1"/>
  <c r="R344" i="5"/>
  <c r="N380" i="5"/>
  <c r="O380" i="5" s="1"/>
  <c r="O269" i="5"/>
  <c r="O285" i="5"/>
  <c r="O301" i="5"/>
  <c r="O317" i="5"/>
  <c r="O333" i="5"/>
  <c r="Q336" i="5" s="1"/>
  <c r="N363" i="5"/>
  <c r="O363" i="5" s="1"/>
  <c r="S427" i="5"/>
  <c r="AK443" i="5"/>
  <c r="O411" i="5"/>
  <c r="N411" i="5"/>
  <c r="O426" i="5"/>
  <c r="O433" i="5"/>
  <c r="N433" i="5"/>
  <c r="AM451" i="5"/>
  <c r="AN451" i="5" s="1"/>
  <c r="AO451" i="5" s="1"/>
  <c r="AE451" i="5"/>
  <c r="AD451" i="5"/>
  <c r="AF451" i="5" s="1"/>
  <c r="AC453" i="5"/>
  <c r="AG453" i="5"/>
  <c r="AI453" i="5"/>
  <c r="AH453" i="5"/>
  <c r="AG533" i="5"/>
  <c r="AC533" i="5"/>
  <c r="AI533" i="5"/>
  <c r="AH533" i="5"/>
  <c r="O404" i="5"/>
  <c r="N413" i="5"/>
  <c r="O413" i="5" s="1"/>
  <c r="N426" i="5"/>
  <c r="AC509" i="5"/>
  <c r="AH509" i="5"/>
  <c r="AG509" i="5"/>
  <c r="AK509" i="5" s="1"/>
  <c r="AI509" i="5"/>
  <c r="AC535" i="5"/>
  <c r="AG535" i="5"/>
  <c r="AK535" i="5" s="1"/>
  <c r="AH535" i="5"/>
  <c r="AI535" i="5"/>
  <c r="O395" i="5"/>
  <c r="N395" i="5"/>
  <c r="AC438" i="5"/>
  <c r="AI438" i="5"/>
  <c r="AH438" i="5"/>
  <c r="AG438" i="5"/>
  <c r="AK438" i="5" s="1"/>
  <c r="AC446" i="5"/>
  <c r="AG446" i="5"/>
  <c r="AI446" i="5"/>
  <c r="AH446" i="5"/>
  <c r="AI456" i="5"/>
  <c r="AC456" i="5"/>
  <c r="AG456" i="5"/>
  <c r="AH456" i="5"/>
  <c r="AI463" i="5"/>
  <c r="AG463" i="5"/>
  <c r="AC463" i="5"/>
  <c r="AH463" i="5"/>
  <c r="O410" i="5"/>
  <c r="AC459" i="5"/>
  <c r="AG459" i="5"/>
  <c r="AI459" i="5"/>
  <c r="AH459" i="5"/>
  <c r="N428" i="5"/>
  <c r="O428" i="5" s="1"/>
  <c r="AG445" i="5"/>
  <c r="AI445" i="5"/>
  <c r="AH445" i="5"/>
  <c r="AC445" i="5"/>
  <c r="AD449" i="5"/>
  <c r="AF449" i="5" s="1"/>
  <c r="AE449" i="5"/>
  <c r="AK478" i="5"/>
  <c r="AC523" i="5"/>
  <c r="AH523" i="5"/>
  <c r="AG523" i="5"/>
  <c r="AI523" i="5"/>
  <c r="R365" i="5"/>
  <c r="O371" i="5"/>
  <c r="N378" i="5"/>
  <c r="O378" i="5" s="1"/>
  <c r="O386" i="5"/>
  <c r="N386" i="5"/>
  <c r="O394" i="5"/>
  <c r="Q400" i="5" s="1"/>
  <c r="P400" i="5" s="1"/>
  <c r="N403" i="5"/>
  <c r="O403" i="5" s="1"/>
  <c r="N412" i="5"/>
  <c r="O412" i="5" s="1"/>
  <c r="N414" i="5"/>
  <c r="O414" i="5" s="1"/>
  <c r="N423" i="5"/>
  <c r="O423" i="5" s="1"/>
  <c r="AE435" i="5"/>
  <c r="AE444" i="5"/>
  <c r="AD444" i="5"/>
  <c r="AF444" i="5" s="1"/>
  <c r="AM444" i="5"/>
  <c r="AN444" i="5" s="1"/>
  <c r="AO444" i="5" s="1"/>
  <c r="AK467" i="5"/>
  <c r="AM467" i="5" s="1"/>
  <c r="AN467" i="5" s="1"/>
  <c r="AO467" i="5" s="1"/>
  <c r="AG511" i="5"/>
  <c r="AK511" i="5" s="1"/>
  <c r="AC511" i="5"/>
  <c r="AI511" i="5"/>
  <c r="AH511" i="5"/>
  <c r="N379" i="5"/>
  <c r="O379" i="5" s="1"/>
  <c r="Z391" i="5"/>
  <c r="AA391" i="5" s="1"/>
  <c r="N405" i="5"/>
  <c r="O405" i="5" s="1"/>
  <c r="N421" i="5"/>
  <c r="O421" i="5" s="1"/>
  <c r="N430" i="5"/>
  <c r="O430" i="5" s="1"/>
  <c r="AD435" i="5"/>
  <c r="AF435" i="5" s="1"/>
  <c r="O362" i="5"/>
  <c r="N396" i="5"/>
  <c r="O396" i="5" s="1"/>
  <c r="Z415" i="5"/>
  <c r="AA415" i="5" s="1"/>
  <c r="O417" i="5"/>
  <c r="N419" i="5"/>
  <c r="O419" i="5" s="1"/>
  <c r="N432" i="5"/>
  <c r="O432" i="5" s="1"/>
  <c r="AG439" i="5"/>
  <c r="AK439" i="5" s="1"/>
  <c r="AC439" i="5"/>
  <c r="AI439" i="5"/>
  <c r="AH439" i="5"/>
  <c r="AG447" i="5"/>
  <c r="AI447" i="5"/>
  <c r="AH447" i="5"/>
  <c r="AC447" i="5"/>
  <c r="AG471" i="5"/>
  <c r="AI471" i="5"/>
  <c r="AH471" i="5"/>
  <c r="AC471" i="5"/>
  <c r="AH525" i="5"/>
  <c r="AG525" i="5"/>
  <c r="AC525" i="5"/>
  <c r="AI525" i="5"/>
  <c r="O425" i="5"/>
  <c r="AG442" i="5"/>
  <c r="AC442" i="5"/>
  <c r="AH449" i="5"/>
  <c r="AI449" i="5"/>
  <c r="AG449" i="5"/>
  <c r="AK449" i="5" s="1"/>
  <c r="AM449" i="5" s="1"/>
  <c r="AN449" i="5" s="1"/>
  <c r="AO449" i="5" s="1"/>
  <c r="AI461" i="5"/>
  <c r="AE467" i="5"/>
  <c r="AD467" i="5"/>
  <c r="AF467" i="5" s="1"/>
  <c r="AG469" i="5"/>
  <c r="AI469" i="5"/>
  <c r="AH487" i="5"/>
  <c r="AK487" i="5" s="1"/>
  <c r="AC487" i="5"/>
  <c r="AM488" i="5"/>
  <c r="AN488" i="5" s="1"/>
  <c r="AO488" i="5" s="1"/>
  <c r="AC494" i="5"/>
  <c r="AI494" i="5"/>
  <c r="AH494" i="5"/>
  <c r="AG494" i="5"/>
  <c r="AK494" i="5" s="1"/>
  <c r="AG519" i="5"/>
  <c r="AI519" i="5"/>
  <c r="AG522" i="5"/>
  <c r="AK522" i="5" s="1"/>
  <c r="AC522" i="5"/>
  <c r="AD542" i="5"/>
  <c r="AF542" i="5" s="1"/>
  <c r="AE542" i="5"/>
  <c r="AC551" i="5"/>
  <c r="AG551" i="5"/>
  <c r="AI551" i="5"/>
  <c r="AH551" i="5"/>
  <c r="AI553" i="5"/>
  <c r="AG553" i="5"/>
  <c r="AH553" i="5"/>
  <c r="AC553" i="5"/>
  <c r="AC483" i="5"/>
  <c r="AH483" i="5"/>
  <c r="AK486" i="5"/>
  <c r="AE489" i="5"/>
  <c r="AD496" i="5"/>
  <c r="AF496" i="5" s="1"/>
  <c r="AE503" i="5"/>
  <c r="AK512" i="5"/>
  <c r="AD517" i="5"/>
  <c r="AF517" i="5" s="1"/>
  <c r="AM517" i="5"/>
  <c r="AN517" i="5" s="1"/>
  <c r="AO517" i="5" s="1"/>
  <c r="AE517" i="5"/>
  <c r="AH521" i="5"/>
  <c r="AC521" i="5"/>
  <c r="AI521" i="5"/>
  <c r="AG521" i="5"/>
  <c r="AK521" i="5" s="1"/>
  <c r="AG460" i="5"/>
  <c r="AC460" i="5"/>
  <c r="AG466" i="5"/>
  <c r="AK466" i="5" s="1"/>
  <c r="AI466" i="5"/>
  <c r="AD469" i="5"/>
  <c r="AF469" i="5" s="1"/>
  <c r="AE469" i="5"/>
  <c r="AD474" i="5"/>
  <c r="AF474" i="5" s="1"/>
  <c r="AE484" i="5"/>
  <c r="AM484" i="5"/>
  <c r="AN484" i="5" s="1"/>
  <c r="AO484" i="5" s="1"/>
  <c r="AD489" i="5"/>
  <c r="AF489" i="5" s="1"/>
  <c r="AE496" i="5"/>
  <c r="AD503" i="5"/>
  <c r="AF503" i="5" s="1"/>
  <c r="AG514" i="5"/>
  <c r="AK514" i="5" s="1"/>
  <c r="AI514" i="5"/>
  <c r="AC514" i="5"/>
  <c r="AD519" i="5"/>
  <c r="AF519" i="5" s="1"/>
  <c r="AE519" i="5"/>
  <c r="AI531" i="5"/>
  <c r="AC531" i="5"/>
  <c r="AH531" i="5"/>
  <c r="AD534" i="5"/>
  <c r="AF534" i="5" s="1"/>
  <c r="AE534" i="5"/>
  <c r="AG539" i="5"/>
  <c r="AI539" i="5"/>
  <c r="AC550" i="5"/>
  <c r="AG550" i="5"/>
  <c r="AI550" i="5"/>
  <c r="AH550" i="5"/>
  <c r="AH436" i="5"/>
  <c r="AC436" i="5"/>
  <c r="AK455" i="5"/>
  <c r="AI480" i="5"/>
  <c r="AC480" i="5"/>
  <c r="AG483" i="5"/>
  <c r="AG498" i="5"/>
  <c r="AI498" i="5"/>
  <c r="AH498" i="5"/>
  <c r="AH519" i="5"/>
  <c r="AH522" i="5"/>
  <c r="AC526" i="5"/>
  <c r="AI526" i="5"/>
  <c r="AG526" i="5"/>
  <c r="AH526" i="5"/>
  <c r="AI527" i="5"/>
  <c r="AG527" i="5"/>
  <c r="AC527" i="5"/>
  <c r="AG556" i="5"/>
  <c r="AC556" i="5"/>
  <c r="AI556" i="5"/>
  <c r="AH556" i="5"/>
  <c r="AC443" i="5"/>
  <c r="AI443" i="5"/>
  <c r="AI448" i="5"/>
  <c r="AH448" i="5"/>
  <c r="AC448" i="5"/>
  <c r="AG450" i="5"/>
  <c r="AI450" i="5"/>
  <c r="AC454" i="5"/>
  <c r="AG454" i="5"/>
  <c r="AK454" i="5" s="1"/>
  <c r="AH457" i="5"/>
  <c r="AC457" i="5"/>
  <c r="AG457" i="5"/>
  <c r="AK457" i="5" s="1"/>
  <c r="AC466" i="5"/>
  <c r="AE472" i="5"/>
  <c r="AI476" i="5"/>
  <c r="AG476" i="5"/>
  <c r="AC476" i="5"/>
  <c r="AH476" i="5"/>
  <c r="AI483" i="5"/>
  <c r="AD484" i="5"/>
  <c r="AF484" i="5" s="1"/>
  <c r="AG485" i="5"/>
  <c r="AK485" i="5" s="1"/>
  <c r="AC485" i="5"/>
  <c r="AI485" i="5"/>
  <c r="AD490" i="5"/>
  <c r="AF490" i="5" s="1"/>
  <c r="AH491" i="5"/>
  <c r="AC491" i="5"/>
  <c r="AG491" i="5"/>
  <c r="AK491" i="5" s="1"/>
  <c r="AH500" i="5"/>
  <c r="AG500" i="5"/>
  <c r="AK500" i="5" s="1"/>
  <c r="AC500" i="5"/>
  <c r="AC507" i="5"/>
  <c r="AG507" i="5"/>
  <c r="AI507" i="5"/>
  <c r="AE508" i="5"/>
  <c r="AD508" i="5"/>
  <c r="AF508" i="5" s="1"/>
  <c r="AM508" i="5"/>
  <c r="AN508" i="5" s="1"/>
  <c r="AO508" i="5" s="1"/>
  <c r="AI522" i="5"/>
  <c r="AG531" i="5"/>
  <c r="AK531" i="5" s="1"/>
  <c r="AG534" i="5"/>
  <c r="AC539" i="5"/>
  <c r="AC552" i="5"/>
  <c r="AI552" i="5"/>
  <c r="AH552" i="5"/>
  <c r="AG552" i="5"/>
  <c r="AK552" i="5" s="1"/>
  <c r="AH441" i="5"/>
  <c r="AC441" i="5"/>
  <c r="AG441" i="5"/>
  <c r="AI442" i="5"/>
  <c r="AG458" i="5"/>
  <c r="AK458" i="5" s="1"/>
  <c r="AC458" i="5"/>
  <c r="AH460" i="5"/>
  <c r="AH477" i="5"/>
  <c r="AK477" i="5" s="1"/>
  <c r="AM477" i="5" s="1"/>
  <c r="AN477" i="5" s="1"/>
  <c r="AO477" i="5" s="1"/>
  <c r="AI477" i="5"/>
  <c r="AH481" i="5"/>
  <c r="AG481" i="5"/>
  <c r="AG484" i="5"/>
  <c r="AK484" i="5" s="1"/>
  <c r="AC486" i="5"/>
  <c r="AH486" i="5"/>
  <c r="AD488" i="5"/>
  <c r="AF488" i="5" s="1"/>
  <c r="AE490" i="5"/>
  <c r="AC498" i="5"/>
  <c r="AI501" i="5"/>
  <c r="AG501" i="5"/>
  <c r="AH501" i="5"/>
  <c r="AC502" i="5"/>
  <c r="AH502" i="5"/>
  <c r="AG502" i="5"/>
  <c r="AK502" i="5" s="1"/>
  <c r="AK504" i="5"/>
  <c r="AC512" i="5"/>
  <c r="AK524" i="5"/>
  <c r="AE528" i="5"/>
  <c r="AK532" i="5"/>
  <c r="AH534" i="5"/>
  <c r="AH539" i="5"/>
  <c r="AD545" i="5"/>
  <c r="AF545" i="5" s="1"/>
  <c r="AE545" i="5"/>
  <c r="AG547" i="5"/>
  <c r="AH547" i="5"/>
  <c r="AI547" i="5"/>
  <c r="AC549" i="5"/>
  <c r="AG549" i="5"/>
  <c r="AI549" i="5"/>
  <c r="N394" i="5"/>
  <c r="N402" i="5"/>
  <c r="O402" i="5" s="1"/>
  <c r="N410" i="5"/>
  <c r="AC450" i="5"/>
  <c r="AI460" i="5"/>
  <c r="AC461" i="5"/>
  <c r="AD464" i="5"/>
  <c r="AF464" i="5" s="1"/>
  <c r="AI467" i="5"/>
  <c r="AH467" i="5"/>
  <c r="AD472" i="5"/>
  <c r="AF472" i="5" s="1"/>
  <c r="AH473" i="5"/>
  <c r="AG473" i="5"/>
  <c r="AC473" i="5"/>
  <c r="AI473" i="5"/>
  <c r="AG480" i="5"/>
  <c r="AH484" i="5"/>
  <c r="AH485" i="5"/>
  <c r="AI500" i="5"/>
  <c r="AH507" i="5"/>
  <c r="AH527" i="5"/>
  <c r="AI534" i="5"/>
  <c r="AH541" i="5"/>
  <c r="AC541" i="5"/>
  <c r="AG541" i="5"/>
  <c r="AK541" i="5" s="1"/>
  <c r="AG542" i="5"/>
  <c r="AH542" i="5"/>
  <c r="AI542" i="5"/>
  <c r="AD544" i="5"/>
  <c r="AF544" i="5" s="1"/>
  <c r="AM544" i="5"/>
  <c r="AN544" i="5" s="1"/>
  <c r="AO544" i="5" s="1"/>
  <c r="AE544" i="5"/>
  <c r="O418" i="5"/>
  <c r="Q424" i="5" s="1"/>
  <c r="P424" i="5" s="1"/>
  <c r="O431" i="5"/>
  <c r="Y434" i="5"/>
  <c r="Z434" i="5"/>
  <c r="AA434" i="5" s="1"/>
  <c r="AG435" i="5"/>
  <c r="AH435" i="5"/>
  <c r="AG436" i="5"/>
  <c r="AK436" i="5" s="1"/>
  <c r="AE452" i="5"/>
  <c r="AM452" i="5"/>
  <c r="AN452" i="5" s="1"/>
  <c r="AO452" i="5" s="1"/>
  <c r="AD452" i="5"/>
  <c r="AF452" i="5" s="1"/>
  <c r="AI455" i="5"/>
  <c r="AC455" i="5"/>
  <c r="AG461" i="5"/>
  <c r="AK461" i="5" s="1"/>
  <c r="AC462" i="5"/>
  <c r="AI462" i="5"/>
  <c r="AG462" i="5"/>
  <c r="AH465" i="5"/>
  <c r="AK465" i="5" s="1"/>
  <c r="AI465" i="5"/>
  <c r="AC465" i="5"/>
  <c r="AH466" i="5"/>
  <c r="AG474" i="5"/>
  <c r="AH474" i="5"/>
  <c r="AI474" i="5"/>
  <c r="AD477" i="5"/>
  <c r="AF477" i="5" s="1"/>
  <c r="AC478" i="5"/>
  <c r="AI478" i="5"/>
  <c r="AH480" i="5"/>
  <c r="AD481" i="5"/>
  <c r="AF481" i="5" s="1"/>
  <c r="AK482" i="5"/>
  <c r="AI484" i="5"/>
  <c r="AI491" i="5"/>
  <c r="AE492" i="5"/>
  <c r="AM492" i="5"/>
  <c r="AN492" i="5" s="1"/>
  <c r="AO492" i="5" s="1"/>
  <c r="AC495" i="5"/>
  <c r="AG495" i="5"/>
  <c r="AK495" i="5" s="1"/>
  <c r="AI496" i="5"/>
  <c r="AH496" i="5"/>
  <c r="AK496" i="5" s="1"/>
  <c r="AM496" i="5" s="1"/>
  <c r="AN496" i="5" s="1"/>
  <c r="AO496" i="5" s="1"/>
  <c r="AK499" i="5"/>
  <c r="AD501" i="5"/>
  <c r="AF501" i="5" s="1"/>
  <c r="AK508" i="5"/>
  <c r="AI517" i="5"/>
  <c r="AG517" i="5"/>
  <c r="AK517" i="5" s="1"/>
  <c r="AC547" i="5"/>
  <c r="AH549" i="5"/>
  <c r="AD555" i="5"/>
  <c r="AF555" i="5" s="1"/>
  <c r="AE555" i="5"/>
  <c r="AC567" i="5"/>
  <c r="AG567" i="5"/>
  <c r="AH567" i="5"/>
  <c r="AG568" i="5"/>
  <c r="AK568" i="5" s="1"/>
  <c r="AI568" i="5"/>
  <c r="AC568" i="5"/>
  <c r="AH568" i="5"/>
  <c r="AM572" i="5"/>
  <c r="AN572" i="5" s="1"/>
  <c r="AO572" i="5" s="1"/>
  <c r="AE572" i="5"/>
  <c r="AK576" i="5"/>
  <c r="AE587" i="5"/>
  <c r="AD587" i="5"/>
  <c r="AF587" i="5" s="1"/>
  <c r="AI464" i="5"/>
  <c r="AH464" i="5"/>
  <c r="AC475" i="5"/>
  <c r="AC479" i="5"/>
  <c r="AI479" i="5"/>
  <c r="AK479" i="5" s="1"/>
  <c r="AC482" i="5"/>
  <c r="AG493" i="5"/>
  <c r="AK493" i="5" s="1"/>
  <c r="AM493" i="5" s="1"/>
  <c r="AN493" i="5" s="1"/>
  <c r="AO493" i="5" s="1"/>
  <c r="AG497" i="5"/>
  <c r="AK497" i="5" s="1"/>
  <c r="AC499" i="5"/>
  <c r="AI515" i="5"/>
  <c r="AG515" i="5"/>
  <c r="AK515" i="5" s="1"/>
  <c r="AM515" i="5" s="1"/>
  <c r="AN515" i="5" s="1"/>
  <c r="AO515" i="5" s="1"/>
  <c r="AC524" i="5"/>
  <c r="AI528" i="5"/>
  <c r="AH528" i="5"/>
  <c r="AK528" i="5" s="1"/>
  <c r="AM528" i="5" s="1"/>
  <c r="AN528" i="5" s="1"/>
  <c r="AO528" i="5" s="1"/>
  <c r="AK546" i="5"/>
  <c r="AM546" i="5" s="1"/>
  <c r="AN546" i="5" s="1"/>
  <c r="AO546" i="5" s="1"/>
  <c r="AD572" i="5"/>
  <c r="AF572" i="5" s="1"/>
  <c r="AG580" i="5"/>
  <c r="AI580" i="5"/>
  <c r="AC580" i="5"/>
  <c r="AE581" i="5"/>
  <c r="AD581" i="5"/>
  <c r="AF581" i="5" s="1"/>
  <c r="AE604" i="5"/>
  <c r="AD604" i="5"/>
  <c r="AF604" i="5" s="1"/>
  <c r="AH566" i="5"/>
  <c r="AC566" i="5"/>
  <c r="AI566" i="5"/>
  <c r="AK581" i="5"/>
  <c r="AM581" i="5" s="1"/>
  <c r="AN581" i="5" s="1"/>
  <c r="AO581" i="5" s="1"/>
  <c r="AC616" i="5"/>
  <c r="AG616" i="5"/>
  <c r="AI616" i="5"/>
  <c r="AH616" i="5"/>
  <c r="AC592" i="5"/>
  <c r="AI592" i="5"/>
  <c r="AG592" i="5"/>
  <c r="AH592" i="5"/>
  <c r="AH555" i="5"/>
  <c r="AK555" i="5" s="1"/>
  <c r="AM555" i="5" s="1"/>
  <c r="AN555" i="5" s="1"/>
  <c r="AO555" i="5" s="1"/>
  <c r="AI558" i="5"/>
  <c r="AH558" i="5"/>
  <c r="AG558" i="5"/>
  <c r="AC560" i="5"/>
  <c r="AI560" i="5"/>
  <c r="AI561" i="5"/>
  <c r="AC561" i="5"/>
  <c r="AH561" i="5"/>
  <c r="AH562" i="5"/>
  <c r="AC562" i="5"/>
  <c r="AG562" i="5"/>
  <c r="AC564" i="5"/>
  <c r="AH564" i="5"/>
  <c r="AG564" i="5"/>
  <c r="AK566" i="5"/>
  <c r="AC583" i="5"/>
  <c r="AG583" i="5"/>
  <c r="AI583" i="5"/>
  <c r="AH583" i="5"/>
  <c r="AH513" i="5"/>
  <c r="AI513" i="5"/>
  <c r="AG530" i="5"/>
  <c r="AI530" i="5"/>
  <c r="AH538" i="5"/>
  <c r="AK538" i="5" s="1"/>
  <c r="AC538" i="5"/>
  <c r="AC540" i="5"/>
  <c r="AM548" i="5"/>
  <c r="AN548" i="5" s="1"/>
  <c r="AO548" i="5" s="1"/>
  <c r="AH554" i="5"/>
  <c r="AI554" i="5"/>
  <c r="AG554" i="5"/>
  <c r="AK554" i="5" s="1"/>
  <c r="AI555" i="5"/>
  <c r="AE578" i="5"/>
  <c r="AD578" i="5"/>
  <c r="AF578" i="5" s="1"/>
  <c r="AD602" i="5"/>
  <c r="AF602" i="5" s="1"/>
  <c r="AE602" i="5"/>
  <c r="AI440" i="5"/>
  <c r="AK440" i="5" s="1"/>
  <c r="AC440" i="5"/>
  <c r="AC518" i="5"/>
  <c r="AI520" i="5"/>
  <c r="AK520" i="5" s="1"/>
  <c r="AC520" i="5"/>
  <c r="AC558" i="5"/>
  <c r="AI562" i="5"/>
  <c r="AI564" i="5"/>
  <c r="AI569" i="5"/>
  <c r="AH569" i="5"/>
  <c r="AC569" i="5"/>
  <c r="AG569" i="5"/>
  <c r="AD577" i="5"/>
  <c r="AF577" i="5" s="1"/>
  <c r="AM577" i="5"/>
  <c r="AN577" i="5" s="1"/>
  <c r="AO577" i="5" s="1"/>
  <c r="AE577" i="5"/>
  <c r="AK578" i="5"/>
  <c r="AM578" i="5" s="1"/>
  <c r="AN578" i="5" s="1"/>
  <c r="AO578" i="5" s="1"/>
  <c r="AH621" i="5"/>
  <c r="AG621" i="5"/>
  <c r="AI621" i="5"/>
  <c r="AC621" i="5"/>
  <c r="AC468" i="5"/>
  <c r="AC470" i="5"/>
  <c r="AI472" i="5"/>
  <c r="AG472" i="5"/>
  <c r="AK472" i="5" s="1"/>
  <c r="AM472" i="5" s="1"/>
  <c r="AN472" i="5" s="1"/>
  <c r="AO472" i="5" s="1"/>
  <c r="AK489" i="5"/>
  <c r="AM489" i="5" s="1"/>
  <c r="AN489" i="5" s="1"/>
  <c r="AO489" i="5" s="1"/>
  <c r="AG490" i="5"/>
  <c r="AH490" i="5"/>
  <c r="AE493" i="5"/>
  <c r="AC497" i="5"/>
  <c r="AK503" i="5"/>
  <c r="AM503" i="5" s="1"/>
  <c r="AN503" i="5" s="1"/>
  <c r="AO503" i="5" s="1"/>
  <c r="AG506" i="5"/>
  <c r="AK506" i="5" s="1"/>
  <c r="AC506" i="5"/>
  <c r="AC510" i="5"/>
  <c r="AG510" i="5"/>
  <c r="AK510" i="5" s="1"/>
  <c r="AI512" i="5"/>
  <c r="AH512" i="5"/>
  <c r="AH529" i="5"/>
  <c r="AI529" i="5"/>
  <c r="AK529" i="5" s="1"/>
  <c r="AM529" i="5" s="1"/>
  <c r="AN529" i="5" s="1"/>
  <c r="AO529" i="5" s="1"/>
  <c r="AC530" i="5"/>
  <c r="AC532" i="5"/>
  <c r="AC536" i="5"/>
  <c r="AI536" i="5"/>
  <c r="AG536" i="5"/>
  <c r="AK536" i="5" s="1"/>
  <c r="AG540" i="5"/>
  <c r="AK540" i="5" s="1"/>
  <c r="AE546" i="5"/>
  <c r="AD546" i="5"/>
  <c r="AF546" i="5" s="1"/>
  <c r="AC554" i="5"/>
  <c r="AG560" i="5"/>
  <c r="AK560" i="5" s="1"/>
  <c r="AG561" i="5"/>
  <c r="AE570" i="5"/>
  <c r="AD582" i="5"/>
  <c r="AF582" i="5" s="1"/>
  <c r="AE582" i="5"/>
  <c r="AG596" i="5"/>
  <c r="AI596" i="5"/>
  <c r="AC596" i="5"/>
  <c r="AH596" i="5"/>
  <c r="AK598" i="5"/>
  <c r="AH557" i="5"/>
  <c r="AC557" i="5"/>
  <c r="AC559" i="5"/>
  <c r="AI559" i="5"/>
  <c r="AC576" i="5"/>
  <c r="AH576" i="5"/>
  <c r="AI576" i="5"/>
  <c r="AC590" i="5"/>
  <c r="AG590" i="5"/>
  <c r="AH590" i="5"/>
  <c r="AH597" i="5"/>
  <c r="AG605" i="5"/>
  <c r="AK605" i="5" s="1"/>
  <c r="AC608" i="5"/>
  <c r="AH608" i="5"/>
  <c r="AG608" i="5"/>
  <c r="AK623" i="5"/>
  <c r="AG585" i="5"/>
  <c r="AK585" i="5" s="1"/>
  <c r="AM593" i="5"/>
  <c r="AN593" i="5" s="1"/>
  <c r="AO593" i="5" s="1"/>
  <c r="AG599" i="5"/>
  <c r="AM610" i="5"/>
  <c r="AN610" i="5" s="1"/>
  <c r="AO610" i="5" s="1"/>
  <c r="AE610" i="5"/>
  <c r="AC613" i="5"/>
  <c r="AG613" i="5"/>
  <c r="AI613" i="5"/>
  <c r="AH613" i="5"/>
  <c r="AG563" i="5"/>
  <c r="AC563" i="5"/>
  <c r="AC565" i="5"/>
  <c r="AD586" i="5"/>
  <c r="AF586" i="5" s="1"/>
  <c r="AE586" i="5"/>
  <c r="AG587" i="5"/>
  <c r="AH587" i="5"/>
  <c r="AI587" i="5"/>
  <c r="AK589" i="5"/>
  <c r="AG595" i="5"/>
  <c r="AH595" i="5"/>
  <c r="AC595" i="5"/>
  <c r="AK600" i="5"/>
  <c r="AD610" i="5"/>
  <c r="AF610" i="5" s="1"/>
  <c r="AG612" i="5"/>
  <c r="AC612" i="5"/>
  <c r="AI612" i="5"/>
  <c r="AH612" i="5"/>
  <c r="AC626" i="5"/>
  <c r="AG626" i="5"/>
  <c r="AI626" i="5"/>
  <c r="AH626" i="5"/>
  <c r="AE611" i="5"/>
  <c r="AD622" i="5"/>
  <c r="AF622" i="5" s="1"/>
  <c r="AE622" i="5"/>
  <c r="AG624" i="5"/>
  <c r="AC624" i="5"/>
  <c r="AI624" i="5"/>
  <c r="AH624" i="5"/>
  <c r="AC628" i="5"/>
  <c r="AG628" i="5"/>
  <c r="AH628" i="5"/>
  <c r="AI628" i="5"/>
  <c r="AC543" i="5"/>
  <c r="AH543" i="5"/>
  <c r="AK543" i="5" s="1"/>
  <c r="AI557" i="5"/>
  <c r="AG559" i="5"/>
  <c r="AI565" i="5"/>
  <c r="AK565" i="5" s="1"/>
  <c r="AG571" i="5"/>
  <c r="AI571" i="5"/>
  <c r="AH571" i="5"/>
  <c r="AC571" i="5"/>
  <c r="AG577" i="5"/>
  <c r="AK577" i="5" s="1"/>
  <c r="AG579" i="5"/>
  <c r="AH579" i="5"/>
  <c r="AH581" i="5"/>
  <c r="AI582" i="5"/>
  <c r="AK582" i="5" s="1"/>
  <c r="AM582" i="5" s="1"/>
  <c r="AN582" i="5" s="1"/>
  <c r="AO582" i="5" s="1"/>
  <c r="AC584" i="5"/>
  <c r="AI584" i="5"/>
  <c r="AH584" i="5"/>
  <c r="AK584" i="5" s="1"/>
  <c r="AG588" i="5"/>
  <c r="AH588" i="5"/>
  <c r="AC588" i="5"/>
  <c r="AC597" i="5"/>
  <c r="AG597" i="5"/>
  <c r="AK597" i="5" s="1"/>
  <c r="AH598" i="5"/>
  <c r="AI598" i="5"/>
  <c r="AD603" i="5"/>
  <c r="AF603" i="5" s="1"/>
  <c r="AI585" i="5"/>
  <c r="AC585" i="5"/>
  <c r="AC599" i="5"/>
  <c r="AI599" i="5"/>
  <c r="AG604" i="5"/>
  <c r="AI604" i="5"/>
  <c r="AH604" i="5"/>
  <c r="AC605" i="5"/>
  <c r="AI605" i="5"/>
  <c r="AG620" i="5"/>
  <c r="AK620" i="5" s="1"/>
  <c r="AC620" i="5"/>
  <c r="AH620" i="5"/>
  <c r="AC504" i="5"/>
  <c r="AC505" i="5"/>
  <c r="AC537" i="5"/>
  <c r="AI563" i="5"/>
  <c r="AC574" i="5"/>
  <c r="AC575" i="5"/>
  <c r="AH575" i="5"/>
  <c r="AK575" i="5" s="1"/>
  <c r="AI575" i="5"/>
  <c r="AC579" i="5"/>
  <c r="AC589" i="5"/>
  <c r="AI589" i="5"/>
  <c r="AE593" i="5"/>
  <c r="AC598" i="5"/>
  <c r="AM600" i="5"/>
  <c r="AN600" i="5" s="1"/>
  <c r="AO600" i="5" s="1"/>
  <c r="AE600" i="5"/>
  <c r="AG606" i="5"/>
  <c r="AI606" i="5"/>
  <c r="AH606" i="5"/>
  <c r="AC606" i="5"/>
  <c r="AC627" i="5"/>
  <c r="AI627" i="5"/>
  <c r="AH627" i="5"/>
  <c r="AG627" i="5"/>
  <c r="AE634" i="5"/>
  <c r="AI638" i="5"/>
  <c r="AG638" i="5"/>
  <c r="AH638" i="5"/>
  <c r="AC638" i="5"/>
  <c r="AH570" i="5"/>
  <c r="AK570" i="5" s="1"/>
  <c r="AM570" i="5" s="1"/>
  <c r="AN570" i="5" s="1"/>
  <c r="AO570" i="5" s="1"/>
  <c r="AI570" i="5"/>
  <c r="AC573" i="5"/>
  <c r="AC591" i="5"/>
  <c r="AH591" i="5"/>
  <c r="AG593" i="5"/>
  <c r="AK593" i="5" s="1"/>
  <c r="AI601" i="5"/>
  <c r="AG601" i="5"/>
  <c r="AI622" i="5"/>
  <c r="AH622" i="5"/>
  <c r="AM623" i="5"/>
  <c r="AN623" i="5" s="1"/>
  <c r="AO623" i="5" s="1"/>
  <c r="AD623" i="5"/>
  <c r="AF623" i="5" s="1"/>
  <c r="AE623" i="5"/>
  <c r="AG640" i="5"/>
  <c r="AC640" i="5"/>
  <c r="AH640" i="5"/>
  <c r="AI609" i="5"/>
  <c r="AH609" i="5"/>
  <c r="AG609" i="5"/>
  <c r="AH614" i="5"/>
  <c r="AI614" i="5"/>
  <c r="AK614" i="5" s="1"/>
  <c r="AH623" i="5"/>
  <c r="AI630" i="5"/>
  <c r="AG630" i="5"/>
  <c r="AK630" i="5" s="1"/>
  <c r="AH630" i="5"/>
  <c r="AC630" i="5"/>
  <c r="AI635" i="5"/>
  <c r="AC635" i="5"/>
  <c r="AH635" i="5"/>
  <c r="AG635" i="5"/>
  <c r="AK573" i="5"/>
  <c r="AK591" i="5"/>
  <c r="AK607" i="5"/>
  <c r="AM615" i="5"/>
  <c r="AN615" i="5" s="1"/>
  <c r="AO615" i="5" s="1"/>
  <c r="AD615" i="5"/>
  <c r="AF615" i="5" s="1"/>
  <c r="AE615" i="5"/>
  <c r="AK618" i="5"/>
  <c r="AM618" i="5" s="1"/>
  <c r="AN618" i="5" s="1"/>
  <c r="AO618" i="5" s="1"/>
  <c r="AG622" i="5"/>
  <c r="AK622" i="5" s="1"/>
  <c r="AM622" i="5" s="1"/>
  <c r="AN622" i="5" s="1"/>
  <c r="AO622" i="5" s="1"/>
  <c r="AI623" i="5"/>
  <c r="AH631" i="5"/>
  <c r="AG631" i="5"/>
  <c r="AI631" i="5"/>
  <c r="AC631" i="5"/>
  <c r="AI640" i="5"/>
  <c r="AH601" i="5"/>
  <c r="AC609" i="5"/>
  <c r="AC614" i="5"/>
  <c r="AE617" i="5"/>
  <c r="AE619" i="5"/>
  <c r="AE629" i="5"/>
  <c r="AM607" i="5"/>
  <c r="AN607" i="5" s="1"/>
  <c r="AO607" i="5" s="1"/>
  <c r="AD607" i="5"/>
  <c r="AF607" i="5" s="1"/>
  <c r="AG611" i="5"/>
  <c r="AK611" i="5" s="1"/>
  <c r="AM611" i="5" s="1"/>
  <c r="AN611" i="5" s="1"/>
  <c r="AO611" i="5" s="1"/>
  <c r="AH611" i="5"/>
  <c r="AG603" i="5"/>
  <c r="AH603" i="5"/>
  <c r="AE637" i="5"/>
  <c r="AD637" i="5"/>
  <c r="AF637" i="5" s="1"/>
  <c r="AE641" i="5"/>
  <c r="AD641" i="5"/>
  <c r="AF641" i="5" s="1"/>
  <c r="AI645" i="5"/>
  <c r="AH645" i="5"/>
  <c r="AG645" i="5"/>
  <c r="AK645" i="5" s="1"/>
  <c r="AC645" i="5"/>
  <c r="O8" i="7"/>
  <c r="S23" i="7"/>
  <c r="R23" i="7"/>
  <c r="R71" i="7"/>
  <c r="S73" i="7"/>
  <c r="R65" i="7"/>
  <c r="R70" i="7"/>
  <c r="R62" i="7"/>
  <c r="R60" i="7"/>
  <c r="R73" i="7"/>
  <c r="R59" i="7"/>
  <c r="R61" i="7"/>
  <c r="R68" i="7"/>
  <c r="R66" i="7"/>
  <c r="S143" i="7"/>
  <c r="R143" i="7"/>
  <c r="AH633" i="5"/>
  <c r="AG633" i="5"/>
  <c r="AI633" i="5"/>
  <c r="AG637" i="5"/>
  <c r="AI644" i="5"/>
  <c r="AH644" i="5"/>
  <c r="AG644" i="5"/>
  <c r="AK644" i="5" s="1"/>
  <c r="AC644" i="5"/>
  <c r="O14" i="7"/>
  <c r="AK634" i="5"/>
  <c r="AM634" i="5" s="1"/>
  <c r="AN634" i="5" s="1"/>
  <c r="AO634" i="5" s="1"/>
  <c r="AH637" i="5"/>
  <c r="AI625" i="5"/>
  <c r="AK625" i="5" s="1"/>
  <c r="AM625" i="5" s="1"/>
  <c r="AN625" i="5" s="1"/>
  <c r="AO625" i="5" s="1"/>
  <c r="AI629" i="5"/>
  <c r="AK629" i="5" s="1"/>
  <c r="AM629" i="5" s="1"/>
  <c r="AN629" i="5" s="1"/>
  <c r="AO629" i="5" s="1"/>
  <c r="AC633" i="5"/>
  <c r="AM636" i="5"/>
  <c r="AN636" i="5" s="1"/>
  <c r="AO636" i="5" s="1"/>
  <c r="AD636" i="5"/>
  <c r="AF636" i="5" s="1"/>
  <c r="AI637" i="5"/>
  <c r="AI603" i="5"/>
  <c r="AG617" i="5"/>
  <c r="AK617" i="5" s="1"/>
  <c r="AM617" i="5" s="1"/>
  <c r="AN617" i="5" s="1"/>
  <c r="AO617" i="5" s="1"/>
  <c r="AG619" i="5"/>
  <c r="AK619" i="5" s="1"/>
  <c r="AM619" i="5" s="1"/>
  <c r="AN619" i="5" s="1"/>
  <c r="AO619" i="5" s="1"/>
  <c r="AH619" i="5"/>
  <c r="AG632" i="5"/>
  <c r="AH632" i="5"/>
  <c r="AI632" i="5"/>
  <c r="AI578" i="5"/>
  <c r="AI586" i="5"/>
  <c r="AK586" i="5" s="1"/>
  <c r="AM586" i="5" s="1"/>
  <c r="AN586" i="5" s="1"/>
  <c r="AO586" i="5" s="1"/>
  <c r="AI594" i="5"/>
  <c r="AK594" i="5" s="1"/>
  <c r="AM594" i="5" s="1"/>
  <c r="AN594" i="5" s="1"/>
  <c r="AO594" i="5" s="1"/>
  <c r="AI602" i="5"/>
  <c r="AK602" i="5" s="1"/>
  <c r="AM602" i="5" s="1"/>
  <c r="AN602" i="5" s="1"/>
  <c r="AO602" i="5" s="1"/>
  <c r="AI610" i="5"/>
  <c r="AK610" i="5" s="1"/>
  <c r="AI618" i="5"/>
  <c r="AG639" i="5"/>
  <c r="AC639" i="5"/>
  <c r="AH639" i="5"/>
  <c r="AC642" i="5"/>
  <c r="AH642" i="5"/>
  <c r="AG642" i="5"/>
  <c r="R21" i="7"/>
  <c r="R13" i="7"/>
  <c r="S22" i="7"/>
  <c r="R20" i="7"/>
  <c r="R14" i="7"/>
  <c r="R18" i="7"/>
  <c r="R15" i="7"/>
  <c r="R16" i="7"/>
  <c r="R19" i="7"/>
  <c r="R22" i="7"/>
  <c r="R17" i="7"/>
  <c r="O49" i="7"/>
  <c r="AH634" i="5"/>
  <c r="R88" i="7"/>
  <c r="S88" i="7"/>
  <c r="AI641" i="5"/>
  <c r="AH641" i="5"/>
  <c r="AK641" i="5" s="1"/>
  <c r="AM641" i="5" s="1"/>
  <c r="AN641" i="5" s="1"/>
  <c r="AO641" i="5" s="1"/>
  <c r="AC643" i="5"/>
  <c r="AI643" i="5"/>
  <c r="AG643" i="5"/>
  <c r="AK643" i="5" s="1"/>
  <c r="R12" i="7"/>
  <c r="S12" i="7"/>
  <c r="O2" i="7"/>
  <c r="N46" i="7"/>
  <c r="O46" i="7" s="1"/>
  <c r="O75" i="7"/>
  <c r="N75" i="7"/>
  <c r="O118" i="7"/>
  <c r="Q118" i="7" s="1"/>
  <c r="R125" i="7"/>
  <c r="N147" i="7"/>
  <c r="O147" i="7" s="1"/>
  <c r="S26" i="8"/>
  <c r="X26" i="8" s="1"/>
  <c r="R26" i="8"/>
  <c r="O61" i="8"/>
  <c r="S69" i="8"/>
  <c r="X69" i="8" s="1"/>
  <c r="R68" i="8"/>
  <c r="R67" i="8"/>
  <c r="R66" i="8"/>
  <c r="R65" i="8"/>
  <c r="R64" i="8"/>
  <c r="R63" i="8"/>
  <c r="R62" i="8"/>
  <c r="R69" i="8"/>
  <c r="R61" i="8"/>
  <c r="R60" i="8"/>
  <c r="O33" i="7"/>
  <c r="O55" i="7"/>
  <c r="N55" i="7"/>
  <c r="S57" i="7"/>
  <c r="R57" i="7"/>
  <c r="N61" i="7"/>
  <c r="O61" i="7" s="1"/>
  <c r="N83" i="7"/>
  <c r="O83" i="7" s="1"/>
  <c r="O142" i="7"/>
  <c r="Q142" i="7" s="1"/>
  <c r="P77" i="8"/>
  <c r="S97" i="8"/>
  <c r="X97" i="8" s="1"/>
  <c r="R97" i="8"/>
  <c r="N21" i="7"/>
  <c r="O21" i="7" s="1"/>
  <c r="N69" i="7"/>
  <c r="O69" i="7" s="1"/>
  <c r="N78" i="7"/>
  <c r="O78" i="7" s="1"/>
  <c r="O97" i="7"/>
  <c r="N97" i="7"/>
  <c r="O148" i="7"/>
  <c r="S8" i="8"/>
  <c r="X8" i="8" s="1"/>
  <c r="R8" i="8"/>
  <c r="P33" i="8"/>
  <c r="S33" i="8" s="1"/>
  <c r="X33" i="8" s="1"/>
  <c r="R30" i="8"/>
  <c r="R31" i="8"/>
  <c r="R32" i="8"/>
  <c r="R33" i="8"/>
  <c r="R34" i="8"/>
  <c r="R35" i="8"/>
  <c r="R27" i="8"/>
  <c r="S36" i="8"/>
  <c r="X36" i="8" s="1"/>
  <c r="R28" i="8"/>
  <c r="R36" i="8"/>
  <c r="R29" i="8"/>
  <c r="S80" i="8"/>
  <c r="X80" i="8" s="1"/>
  <c r="R76" i="8"/>
  <c r="R72" i="8"/>
  <c r="R80" i="8"/>
  <c r="R77" i="8"/>
  <c r="R73" i="8"/>
  <c r="R78" i="8"/>
  <c r="R74" i="8"/>
  <c r="R79" i="8"/>
  <c r="R75" i="8"/>
  <c r="R71" i="8"/>
  <c r="O104" i="8"/>
  <c r="Q104" i="8" s="1"/>
  <c r="N8" i="7"/>
  <c r="N14" i="7"/>
  <c r="N18" i="7"/>
  <c r="O18" i="7" s="1"/>
  <c r="N40" i="7"/>
  <c r="O40" i="7" s="1"/>
  <c r="Q40" i="7" s="1"/>
  <c r="N64" i="7"/>
  <c r="O64" i="7" s="1"/>
  <c r="O76" i="7"/>
  <c r="N86" i="7"/>
  <c r="O86" i="7" s="1"/>
  <c r="N92" i="7"/>
  <c r="O92" i="7" s="1"/>
  <c r="O111" i="7"/>
  <c r="N111" i="7"/>
  <c r="O119" i="7"/>
  <c r="Q119" i="7" s="1"/>
  <c r="N126" i="7"/>
  <c r="O126" i="7" s="1"/>
  <c r="O133" i="7"/>
  <c r="N133" i="7"/>
  <c r="N148" i="7"/>
  <c r="P6" i="8"/>
  <c r="S6" i="8" s="1"/>
  <c r="X6" i="8" s="1"/>
  <c r="P75" i="8"/>
  <c r="S75" i="8" s="1"/>
  <c r="X75" i="8" s="1"/>
  <c r="N4" i="7"/>
  <c r="O4" i="7" s="1"/>
  <c r="N25" i="7"/>
  <c r="O25" i="7" s="1"/>
  <c r="N27" i="7"/>
  <c r="O27" i="7" s="1"/>
  <c r="O47" i="7"/>
  <c r="O84" i="7"/>
  <c r="O90" i="7"/>
  <c r="R127" i="7"/>
  <c r="R128" i="7"/>
  <c r="R120" i="7"/>
  <c r="R129" i="7"/>
  <c r="R121" i="7"/>
  <c r="R126" i="7"/>
  <c r="O146" i="7"/>
  <c r="O162" i="7"/>
  <c r="Q162" i="7" s="1"/>
  <c r="N162" i="7"/>
  <c r="P78" i="8"/>
  <c r="S78" i="8" s="1"/>
  <c r="X78" i="8" s="1"/>
  <c r="N11" i="7"/>
  <c r="O11" i="7"/>
  <c r="Q11" i="7" s="1"/>
  <c r="N17" i="7"/>
  <c r="O17" i="7" s="1"/>
  <c r="N20" i="7"/>
  <c r="O20" i="7" s="1"/>
  <c r="N32" i="7"/>
  <c r="O32" i="7" s="1"/>
  <c r="N47" i="7"/>
  <c r="N49" i="7"/>
  <c r="N56" i="7"/>
  <c r="O56" i="7" s="1"/>
  <c r="Q56" i="7" s="1"/>
  <c r="O60" i="7"/>
  <c r="N62" i="7"/>
  <c r="O62" i="7" s="1"/>
  <c r="N84" i="7"/>
  <c r="N90" i="7"/>
  <c r="N114" i="7"/>
  <c r="O114" i="7" s="1"/>
  <c r="R124" i="7"/>
  <c r="R131" i="7"/>
  <c r="N136" i="7"/>
  <c r="O136" i="7" s="1"/>
  <c r="N149" i="7"/>
  <c r="O149" i="7" s="1"/>
  <c r="R25" i="8"/>
  <c r="R19" i="8"/>
  <c r="S25" i="8"/>
  <c r="X25" i="8" s="1"/>
  <c r="R20" i="8"/>
  <c r="R21" i="8"/>
  <c r="R22" i="8"/>
  <c r="R23" i="8"/>
  <c r="R17" i="8"/>
  <c r="R16" i="8"/>
  <c r="R24" i="8"/>
  <c r="R18" i="8"/>
  <c r="P28" i="8"/>
  <c r="Q31" i="8"/>
  <c r="P31" i="8" s="1"/>
  <c r="Q32" i="8"/>
  <c r="Q33" i="8"/>
  <c r="Q34" i="8"/>
  <c r="P34" i="8" s="1"/>
  <c r="S34" i="8" s="1"/>
  <c r="X34" i="8" s="1"/>
  <c r="Q35" i="8"/>
  <c r="P35" i="8" s="1"/>
  <c r="S35" i="8" s="1"/>
  <c r="X35" i="8" s="1"/>
  <c r="Q27" i="8"/>
  <c r="P27" i="8" s="1"/>
  <c r="S27" i="8" s="1"/>
  <c r="X27" i="8" s="1"/>
  <c r="Q28" i="8"/>
  <c r="S105" i="8"/>
  <c r="X105" i="8" s="1"/>
  <c r="R105" i="8"/>
  <c r="N3" i="7"/>
  <c r="O3" i="7" s="1"/>
  <c r="N70" i="7"/>
  <c r="O70" i="7" s="1"/>
  <c r="O96" i="7"/>
  <c r="N98" i="7"/>
  <c r="O98" i="7" s="1"/>
  <c r="O104" i="7"/>
  <c r="Q104" i="7" s="1"/>
  <c r="N104" i="7"/>
  <c r="O112" i="7"/>
  <c r="S131" i="7"/>
  <c r="O134" i="7"/>
  <c r="N141" i="7"/>
  <c r="O141" i="7" s="1"/>
  <c r="O155" i="7"/>
  <c r="Q155" i="7" s="1"/>
  <c r="S7" i="8"/>
  <c r="X7" i="8" s="1"/>
  <c r="R6" i="8"/>
  <c r="R5" i="8"/>
  <c r="R4" i="8"/>
  <c r="R3" i="8"/>
  <c r="R2" i="8"/>
  <c r="R7" i="8"/>
  <c r="S59" i="8"/>
  <c r="X59" i="8" s="1"/>
  <c r="R59" i="8"/>
  <c r="P76" i="8"/>
  <c r="S76" i="8" s="1"/>
  <c r="X76" i="8" s="1"/>
  <c r="O26" i="9"/>
  <c r="N24" i="7"/>
  <c r="O24" i="7" s="1"/>
  <c r="O110" i="7"/>
  <c r="O125" i="7"/>
  <c r="N125" i="7"/>
  <c r="Q6" i="8"/>
  <c r="Q5" i="8"/>
  <c r="P5" i="8" s="1"/>
  <c r="S5" i="8" s="1"/>
  <c r="X5" i="8" s="1"/>
  <c r="Q4" i="8"/>
  <c r="P4" i="8" s="1"/>
  <c r="S4" i="8" s="1"/>
  <c r="X4" i="8" s="1"/>
  <c r="Q3" i="8"/>
  <c r="P3" i="8" s="1"/>
  <c r="S3" i="8" s="1"/>
  <c r="X3" i="8" s="1"/>
  <c r="Q2" i="8"/>
  <c r="P2" i="8" s="1"/>
  <c r="S2" i="8" s="1"/>
  <c r="X2" i="8" s="1"/>
  <c r="P29" i="8"/>
  <c r="S29" i="8" s="1"/>
  <c r="X29" i="8" s="1"/>
  <c r="P32" i="8"/>
  <c r="S32" i="8" s="1"/>
  <c r="X32" i="8" s="1"/>
  <c r="P42" i="8"/>
  <c r="P46" i="8"/>
  <c r="P79" i="8"/>
  <c r="S79" i="8" s="1"/>
  <c r="X79" i="8" s="1"/>
  <c r="O31" i="7"/>
  <c r="O39" i="7"/>
  <c r="Q39" i="7" s="1"/>
  <c r="O45" i="7"/>
  <c r="O53" i="7"/>
  <c r="O59" i="7"/>
  <c r="O67" i="7"/>
  <c r="O74" i="7"/>
  <c r="Q74" i="7" s="1"/>
  <c r="O81" i="7"/>
  <c r="O95" i="7"/>
  <c r="O103" i="7"/>
  <c r="Q103" i="7" s="1"/>
  <c r="Q41" i="8"/>
  <c r="P41" i="8" s="1"/>
  <c r="R42" i="8"/>
  <c r="O50" i="8"/>
  <c r="O54" i="8"/>
  <c r="O89" i="8"/>
  <c r="Q89" i="8" s="1"/>
  <c r="O4" i="9"/>
  <c r="O6" i="9"/>
  <c r="O12" i="9"/>
  <c r="Q12" i="9" s="1"/>
  <c r="O28" i="9"/>
  <c r="O39" i="9"/>
  <c r="Q39" i="9" s="1"/>
  <c r="N68" i="9"/>
  <c r="O68" i="9" s="1"/>
  <c r="Q40" i="8"/>
  <c r="P40" i="8" s="1"/>
  <c r="Q74" i="8"/>
  <c r="P74" i="8" s="1"/>
  <c r="S74" i="8" s="1"/>
  <c r="X74" i="8" s="1"/>
  <c r="Q78" i="8"/>
  <c r="N86" i="8"/>
  <c r="O86" i="8" s="1"/>
  <c r="O101" i="8"/>
  <c r="S112" i="8"/>
  <c r="X112" i="8" s="1"/>
  <c r="R112" i="8"/>
  <c r="N69" i="9"/>
  <c r="O69" i="9" s="1"/>
  <c r="R14" i="8"/>
  <c r="N21" i="8"/>
  <c r="O21" i="8" s="1"/>
  <c r="P38" i="8"/>
  <c r="Q39" i="8"/>
  <c r="P39" i="8" s="1"/>
  <c r="R47" i="8"/>
  <c r="O49" i="8"/>
  <c r="O53" i="8"/>
  <c r="O56" i="8"/>
  <c r="N61" i="8"/>
  <c r="R70" i="8"/>
  <c r="N96" i="8"/>
  <c r="O96" i="8" s="1"/>
  <c r="Q96" i="8" s="1"/>
  <c r="N101" i="8"/>
  <c r="N26" i="9"/>
  <c r="N48" i="9"/>
  <c r="O48" i="9" s="1"/>
  <c r="R73" i="9"/>
  <c r="S73" i="9"/>
  <c r="Q38" i="8"/>
  <c r="Q46" i="8"/>
  <c r="S47" i="8"/>
  <c r="X47" i="8" s="1"/>
  <c r="Q73" i="8"/>
  <c r="P73" i="8" s="1"/>
  <c r="S73" i="8" s="1"/>
  <c r="X73" i="8" s="1"/>
  <c r="Q77" i="8"/>
  <c r="N18" i="9"/>
  <c r="O18" i="9" s="1"/>
  <c r="O40" i="9"/>
  <c r="Q40" i="9" s="1"/>
  <c r="N40" i="9"/>
  <c r="O45" i="9"/>
  <c r="N55" i="9"/>
  <c r="O55" i="9" s="1"/>
  <c r="S104" i="9"/>
  <c r="R104" i="9"/>
  <c r="Q45" i="8"/>
  <c r="P45" i="8" s="1"/>
  <c r="O87" i="8"/>
  <c r="N106" i="8"/>
  <c r="O106" i="8"/>
  <c r="N161" i="7"/>
  <c r="O161" i="7" s="1"/>
  <c r="Q161" i="7" s="1"/>
  <c r="N16" i="8"/>
  <c r="O16" i="8" s="1"/>
  <c r="N17" i="8"/>
  <c r="O17" i="8" s="1"/>
  <c r="N18" i="8"/>
  <c r="O18" i="8" s="1"/>
  <c r="N24" i="8"/>
  <c r="O24" i="8" s="1"/>
  <c r="R37" i="8"/>
  <c r="Q44" i="8"/>
  <c r="P44" i="8" s="1"/>
  <c r="N52" i="8"/>
  <c r="O52" i="8" s="1"/>
  <c r="O55" i="8"/>
  <c r="N58" i="8"/>
  <c r="O58" i="8" s="1"/>
  <c r="Q58" i="8" s="1"/>
  <c r="N60" i="8"/>
  <c r="O60" i="8" s="1"/>
  <c r="Q72" i="8"/>
  <c r="P72" i="8" s="1"/>
  <c r="Q76" i="8"/>
  <c r="N87" i="8"/>
  <c r="N104" i="8"/>
  <c r="R109" i="8"/>
  <c r="R107" i="8"/>
  <c r="R111" i="8"/>
  <c r="R106" i="8"/>
  <c r="O8" i="9"/>
  <c r="N32" i="9"/>
  <c r="O32" i="9" s="1"/>
  <c r="S56" i="9"/>
  <c r="R48" i="9"/>
  <c r="R56" i="9"/>
  <c r="R49" i="9"/>
  <c r="R41" i="9"/>
  <c r="R50" i="9"/>
  <c r="R42" i="9"/>
  <c r="R54" i="9"/>
  <c r="R46" i="9"/>
  <c r="R53" i="9"/>
  <c r="R55" i="9"/>
  <c r="R51" i="9"/>
  <c r="R52" i="9"/>
  <c r="R44" i="9"/>
  <c r="N54" i="7"/>
  <c r="O54" i="7" s="1"/>
  <c r="N60" i="7"/>
  <c r="N68" i="7"/>
  <c r="O68" i="7" s="1"/>
  <c r="N82" i="7"/>
  <c r="O82" i="7" s="1"/>
  <c r="N89" i="7"/>
  <c r="O89" i="7" s="1"/>
  <c r="Q89" i="7" s="1"/>
  <c r="N96" i="7"/>
  <c r="N110" i="7"/>
  <c r="N118" i="7"/>
  <c r="N124" i="7"/>
  <c r="O124" i="7" s="1"/>
  <c r="N132" i="7"/>
  <c r="O132" i="7" s="1"/>
  <c r="N140" i="7"/>
  <c r="O140" i="7" s="1"/>
  <c r="N146" i="7"/>
  <c r="N154" i="7"/>
  <c r="O154" i="7" s="1"/>
  <c r="Q154" i="7" s="1"/>
  <c r="N160" i="7"/>
  <c r="O160" i="7" s="1"/>
  <c r="N15" i="8"/>
  <c r="O15" i="8" s="1"/>
  <c r="Q15" i="8" s="1"/>
  <c r="Q30" i="8"/>
  <c r="P30" i="8" s="1"/>
  <c r="S30" i="8" s="1"/>
  <c r="X30" i="8" s="1"/>
  <c r="Q43" i="8"/>
  <c r="P43" i="8" s="1"/>
  <c r="O48" i="8"/>
  <c r="Q48" i="8" s="1"/>
  <c r="R46" i="8" s="1"/>
  <c r="O51" i="8"/>
  <c r="N55" i="8"/>
  <c r="P71" i="8"/>
  <c r="N95" i="8"/>
  <c r="O95" i="8" s="1"/>
  <c r="O107" i="8"/>
  <c r="O109" i="8"/>
  <c r="S111" i="8"/>
  <c r="X111" i="8" s="1"/>
  <c r="O14" i="9"/>
  <c r="N24" i="9"/>
  <c r="O24" i="9" s="1"/>
  <c r="R128" i="9"/>
  <c r="R125" i="9"/>
  <c r="S131" i="9"/>
  <c r="R131" i="9"/>
  <c r="R126" i="9"/>
  <c r="R129" i="9"/>
  <c r="R124" i="9"/>
  <c r="R120" i="9"/>
  <c r="R127" i="9"/>
  <c r="R123" i="9"/>
  <c r="R121" i="9"/>
  <c r="R122" i="9"/>
  <c r="O57" i="8"/>
  <c r="Q75" i="8"/>
  <c r="O22" i="9"/>
  <c r="Q22" i="9" s="1"/>
  <c r="O36" i="9"/>
  <c r="O47" i="9"/>
  <c r="N50" i="9"/>
  <c r="O50" i="9"/>
  <c r="N81" i="9"/>
  <c r="O81" i="9" s="1"/>
  <c r="O51" i="9"/>
  <c r="O63" i="9"/>
  <c r="O71" i="9"/>
  <c r="O61" i="9"/>
  <c r="O84" i="9"/>
  <c r="R75" i="9"/>
  <c r="R88" i="9"/>
  <c r="R86" i="9"/>
  <c r="R81" i="9"/>
  <c r="N77" i="9"/>
  <c r="O77" i="9" s="1"/>
  <c r="N109" i="9"/>
  <c r="O109" i="9" s="1"/>
  <c r="Q156" i="9"/>
  <c r="Q157" i="9"/>
  <c r="P157" i="9" s="1"/>
  <c r="P156" i="9"/>
  <c r="O64" i="9"/>
  <c r="N64" i="9"/>
  <c r="O85" i="9"/>
  <c r="N118" i="9"/>
  <c r="O118" i="9" s="1"/>
  <c r="Q118" i="9" s="1"/>
  <c r="N3" i="9"/>
  <c r="O3" i="9" s="1"/>
  <c r="O9" i="9"/>
  <c r="O15" i="9"/>
  <c r="O29" i="9"/>
  <c r="N85" i="9"/>
  <c r="O97" i="9"/>
  <c r="N124" i="9"/>
  <c r="O124" i="9" s="1"/>
  <c r="S143" i="9"/>
  <c r="R143" i="9"/>
  <c r="R132" i="9"/>
  <c r="R137" i="9"/>
  <c r="R141" i="9"/>
  <c r="R133" i="9"/>
  <c r="O162" i="9"/>
  <c r="Q162" i="9" s="1"/>
  <c r="O25" i="9"/>
  <c r="O37" i="9"/>
  <c r="N46" i="9"/>
  <c r="O46" i="9" s="1"/>
  <c r="N60" i="9"/>
  <c r="O60" i="9" s="1"/>
  <c r="N70" i="9"/>
  <c r="O70" i="9" s="1"/>
  <c r="N90" i="9"/>
  <c r="O90" i="9" s="1"/>
  <c r="N151" i="9"/>
  <c r="O151" i="9"/>
  <c r="O11" i="9"/>
  <c r="Q11" i="9" s="1"/>
  <c r="O19" i="9"/>
  <c r="N25" i="9"/>
  <c r="O33" i="9"/>
  <c r="O43" i="9"/>
  <c r="N54" i="9"/>
  <c r="O54" i="9" s="1"/>
  <c r="N75" i="9"/>
  <c r="O75" i="9" s="1"/>
  <c r="O83" i="9"/>
  <c r="O111" i="9"/>
  <c r="S119" i="9"/>
  <c r="R119" i="9"/>
  <c r="O125" i="9"/>
  <c r="O158" i="9"/>
  <c r="Q158" i="9" s="1"/>
  <c r="N158" i="9"/>
  <c r="N74" i="9"/>
  <c r="O74" i="9" s="1"/>
  <c r="Q74" i="9" s="1"/>
  <c r="O89" i="9"/>
  <c r="Q89" i="9" s="1"/>
  <c r="R85" i="9" s="1"/>
  <c r="O95" i="9"/>
  <c r="N95" i="9"/>
  <c r="N117" i="9"/>
  <c r="O117" i="9" s="1"/>
  <c r="O147" i="9"/>
  <c r="P9" i="11"/>
  <c r="U9" i="11"/>
  <c r="R9" i="11" s="1"/>
  <c r="P18" i="11"/>
  <c r="S18" i="11" s="1"/>
  <c r="U28" i="12"/>
  <c r="Q26" i="12"/>
  <c r="U26" i="12"/>
  <c r="R26" i="12" s="1"/>
  <c r="U27" i="12"/>
  <c r="R27" i="12" s="1"/>
  <c r="P26" i="12"/>
  <c r="S26" i="12" s="1"/>
  <c r="Q27" i="12"/>
  <c r="P27" i="12" s="1"/>
  <c r="S27" i="12" s="1"/>
  <c r="P15" i="11"/>
  <c r="S15" i="11" s="1"/>
  <c r="U21" i="11"/>
  <c r="R21" i="11" s="1"/>
  <c r="N148" i="9"/>
  <c r="O148" i="9" s="1"/>
  <c r="R154" i="9"/>
  <c r="U31" i="11"/>
  <c r="P29" i="11"/>
  <c r="S29" i="11" s="1"/>
  <c r="U30" i="11"/>
  <c r="R30" i="11" s="1"/>
  <c r="Q29" i="11"/>
  <c r="Q30" i="11"/>
  <c r="U19" i="12"/>
  <c r="Q17" i="12"/>
  <c r="U17" i="12"/>
  <c r="R17" i="12" s="1"/>
  <c r="U18" i="12"/>
  <c r="R18" i="12" s="1"/>
  <c r="P17" i="12"/>
  <c r="S17" i="12" s="1"/>
  <c r="Q18" i="12"/>
  <c r="P18" i="12" s="1"/>
  <c r="O123" i="9"/>
  <c r="N123" i="9"/>
  <c r="O140" i="9"/>
  <c r="S154" i="9"/>
  <c r="N160" i="9"/>
  <c r="O160" i="9"/>
  <c r="Q24" i="11"/>
  <c r="P24" i="11" s="1"/>
  <c r="U23" i="11"/>
  <c r="R23" i="11" s="1"/>
  <c r="U24" i="11"/>
  <c r="R24" i="11" s="1"/>
  <c r="Q23" i="11"/>
  <c r="P23" i="11" s="1"/>
  <c r="S23" i="11" s="1"/>
  <c r="U38" i="11"/>
  <c r="R38" i="11" s="1"/>
  <c r="U39" i="11"/>
  <c r="R39" i="11" s="1"/>
  <c r="Q38" i="11"/>
  <c r="P38" i="11" s="1"/>
  <c r="S38" i="11" s="1"/>
  <c r="Q39" i="11"/>
  <c r="U55" i="11"/>
  <c r="Q53" i="11"/>
  <c r="P53" i="11" s="1"/>
  <c r="S53" i="11" s="1"/>
  <c r="U53" i="11"/>
  <c r="R53" i="11" s="1"/>
  <c r="U54" i="11"/>
  <c r="R54" i="11" s="1"/>
  <c r="Q54" i="11"/>
  <c r="P54" i="11" s="1"/>
  <c r="U25" i="12"/>
  <c r="Q23" i="12"/>
  <c r="U23" i="12"/>
  <c r="R23" i="12" s="1"/>
  <c r="U24" i="12"/>
  <c r="R24" i="12" s="1"/>
  <c r="P23" i="12"/>
  <c r="S23" i="12" s="1"/>
  <c r="Q24" i="12"/>
  <c r="P24" i="12" s="1"/>
  <c r="S24" i="12" s="1"/>
  <c r="U30" i="12"/>
  <c r="R30" i="12" s="1"/>
  <c r="Q29" i="12"/>
  <c r="Q30" i="12"/>
  <c r="U31" i="12"/>
  <c r="P29" i="12"/>
  <c r="S29" i="12" s="1"/>
  <c r="N11" i="9"/>
  <c r="N17" i="9"/>
  <c r="O17" i="9" s="1"/>
  <c r="N31" i="9"/>
  <c r="O31" i="9" s="1"/>
  <c r="N39" i="9"/>
  <c r="N45" i="9"/>
  <c r="N53" i="9"/>
  <c r="O53" i="9" s="1"/>
  <c r="N59" i="9"/>
  <c r="O59" i="9" s="1"/>
  <c r="N96" i="9"/>
  <c r="O96" i="9" s="1"/>
  <c r="N129" i="9"/>
  <c r="O129" i="9" s="1"/>
  <c r="N134" i="9"/>
  <c r="O134" i="9" s="1"/>
  <c r="O138" i="9"/>
  <c r="Q12" i="11"/>
  <c r="P12" i="11" s="1"/>
  <c r="S12" i="11" s="1"/>
  <c r="U11" i="11"/>
  <c r="R11" i="11" s="1"/>
  <c r="U13" i="11"/>
  <c r="Q11" i="11"/>
  <c r="P11" i="11" s="1"/>
  <c r="S11" i="11" s="1"/>
  <c r="U26" i="11"/>
  <c r="R26" i="11" s="1"/>
  <c r="U27" i="11"/>
  <c r="R27" i="11" s="1"/>
  <c r="Q26" i="11"/>
  <c r="P26" i="11" s="1"/>
  <c r="S26" i="11" s="1"/>
  <c r="U28" i="11"/>
  <c r="U7" i="12"/>
  <c r="Q5" i="12"/>
  <c r="P5" i="12" s="1"/>
  <c r="S5" i="12" s="1"/>
  <c r="U5" i="12"/>
  <c r="R5" i="12" s="1"/>
  <c r="U6" i="12"/>
  <c r="R6" i="12" s="1"/>
  <c r="Q6" i="12"/>
  <c r="P6" i="12" s="1"/>
  <c r="S6" i="12" s="1"/>
  <c r="N67" i="9"/>
  <c r="O67" i="9" s="1"/>
  <c r="O82" i="9"/>
  <c r="N103" i="9"/>
  <c r="O103" i="9" s="1"/>
  <c r="Q103" i="9" s="1"/>
  <c r="O110" i="9"/>
  <c r="R136" i="9"/>
  <c r="R139" i="9"/>
  <c r="R134" i="9"/>
  <c r="R140" i="9"/>
  <c r="R135" i="9"/>
  <c r="R142" i="9"/>
  <c r="R138" i="9"/>
  <c r="U14" i="11"/>
  <c r="R14" i="11" s="1"/>
  <c r="U15" i="11"/>
  <c r="R15" i="11" s="1"/>
  <c r="Q14" i="11"/>
  <c r="P14" i="11" s="1"/>
  <c r="Q15" i="11"/>
  <c r="U16" i="11"/>
  <c r="S20" i="11"/>
  <c r="P27" i="11"/>
  <c r="S27" i="11" s="1"/>
  <c r="P30" i="11"/>
  <c r="R29" i="12"/>
  <c r="R31" i="12"/>
  <c r="S31" i="12" s="1"/>
  <c r="U22" i="11"/>
  <c r="Q27" i="11"/>
  <c r="P39" i="11"/>
  <c r="S39" i="11" s="1"/>
  <c r="U52" i="11"/>
  <c r="Q50" i="11"/>
  <c r="P50" i="11" s="1"/>
  <c r="S50" i="11" s="1"/>
  <c r="U50" i="11"/>
  <c r="R50" i="11" s="1"/>
  <c r="U51" i="11"/>
  <c r="R51" i="11" s="1"/>
  <c r="Q51" i="11"/>
  <c r="P51" i="11" s="1"/>
  <c r="S51" i="11" s="1"/>
  <c r="U22" i="12"/>
  <c r="Q20" i="12"/>
  <c r="P20" i="12" s="1"/>
  <c r="S20" i="12" s="1"/>
  <c r="U20" i="12"/>
  <c r="R20" i="12" s="1"/>
  <c r="U21" i="12"/>
  <c r="R21" i="12" s="1"/>
  <c r="Q21" i="12"/>
  <c r="P21" i="12" s="1"/>
  <c r="S21" i="12" s="1"/>
  <c r="P33" i="11"/>
  <c r="S33" i="11" s="1"/>
  <c r="P45" i="11"/>
  <c r="S45" i="11" s="1"/>
  <c r="P48" i="11"/>
  <c r="U13" i="12"/>
  <c r="Q11" i="12"/>
  <c r="U11" i="12"/>
  <c r="R11" i="12" s="1"/>
  <c r="U12" i="12"/>
  <c r="R12" i="12" s="1"/>
  <c r="S12" i="12" s="1"/>
  <c r="P11" i="12"/>
  <c r="S11" i="12" s="1"/>
  <c r="U10" i="12"/>
  <c r="Q8" i="12"/>
  <c r="P8" i="12" s="1"/>
  <c r="S8" i="12" s="1"/>
  <c r="U8" i="12"/>
  <c r="R8" i="12" s="1"/>
  <c r="U9" i="12"/>
  <c r="R9" i="12" s="1"/>
  <c r="S44" i="12"/>
  <c r="Q6" i="11"/>
  <c r="P6" i="11" s="1"/>
  <c r="S6" i="11" s="1"/>
  <c r="P5" i="11"/>
  <c r="S5" i="11" s="1"/>
  <c r="Q5" i="11"/>
  <c r="U7" i="11"/>
  <c r="U34" i="11"/>
  <c r="Q33" i="11"/>
  <c r="Q32" i="11"/>
  <c r="P32" i="11" s="1"/>
  <c r="S32" i="11" s="1"/>
  <c r="P36" i="11"/>
  <c r="U43" i="11"/>
  <c r="Q41" i="11"/>
  <c r="U42" i="11"/>
  <c r="R42" i="11" s="1"/>
  <c r="P41" i="11"/>
  <c r="S41" i="11" s="1"/>
  <c r="Q42" i="11"/>
  <c r="P42" i="11" s="1"/>
  <c r="S42" i="11" s="1"/>
  <c r="U46" i="11"/>
  <c r="Q45" i="11"/>
  <c r="Q44" i="11"/>
  <c r="P44" i="11" s="1"/>
  <c r="S44" i="11" s="1"/>
  <c r="U4" i="12"/>
  <c r="Q2" i="12"/>
  <c r="U2" i="12"/>
  <c r="R2" i="12" s="1"/>
  <c r="U3" i="12"/>
  <c r="R3" i="12" s="1"/>
  <c r="P2" i="12"/>
  <c r="S2" i="12" s="1"/>
  <c r="P30" i="12"/>
  <c r="S30" i="12" s="1"/>
  <c r="O133" i="9"/>
  <c r="O155" i="9"/>
  <c r="Q155" i="9" s="1"/>
  <c r="R153" i="9" s="1"/>
  <c r="O161" i="9"/>
  <c r="Q161" i="9" s="1"/>
  <c r="U49" i="11"/>
  <c r="Q47" i="11"/>
  <c r="P47" i="11" s="1"/>
  <c r="S47" i="11" s="1"/>
  <c r="U47" i="11"/>
  <c r="R47" i="11" s="1"/>
  <c r="U48" i="11"/>
  <c r="R48" i="11" s="1"/>
  <c r="Q9" i="12"/>
  <c r="P9" i="12" s="1"/>
  <c r="S9" i="12" s="1"/>
  <c r="S38" i="12"/>
  <c r="U2" i="11"/>
  <c r="R2" i="11" s="1"/>
  <c r="U3" i="11"/>
  <c r="R3" i="11" s="1"/>
  <c r="S3" i="11" s="1"/>
  <c r="Q2" i="11"/>
  <c r="U5" i="11"/>
  <c r="R5" i="11" s="1"/>
  <c r="Q18" i="11"/>
  <c r="P17" i="11"/>
  <c r="S17" i="11" s="1"/>
  <c r="Q17" i="11"/>
  <c r="U19" i="11"/>
  <c r="U32" i="11"/>
  <c r="R32" i="11" s="1"/>
  <c r="U37" i="11"/>
  <c r="Q35" i="11"/>
  <c r="P35" i="11" s="1"/>
  <c r="S35" i="11" s="1"/>
  <c r="U35" i="11"/>
  <c r="R35" i="11" s="1"/>
  <c r="U36" i="11"/>
  <c r="R36" i="11" s="1"/>
  <c r="U44" i="11"/>
  <c r="R44" i="11" s="1"/>
  <c r="O141" i="9"/>
  <c r="N150" i="9"/>
  <c r="O150" i="9" s="1"/>
  <c r="P2" i="11"/>
  <c r="S2" i="11" s="1"/>
  <c r="P21" i="11"/>
  <c r="S21" i="11" s="1"/>
  <c r="Q3" i="12"/>
  <c r="P3" i="12" s="1"/>
  <c r="S3" i="12" s="1"/>
  <c r="U16" i="12"/>
  <c r="Q14" i="12"/>
  <c r="U14" i="12"/>
  <c r="R14" i="12" s="1"/>
  <c r="U15" i="12"/>
  <c r="R15" i="12" s="1"/>
  <c r="S15" i="12" s="1"/>
  <c r="P14" i="12"/>
  <c r="S14" i="12" s="1"/>
  <c r="U35" i="12"/>
  <c r="R35" i="12" s="1"/>
  <c r="Q39" i="12"/>
  <c r="P39" i="12"/>
  <c r="S39" i="12" s="1"/>
  <c r="Q45" i="12"/>
  <c r="P45" i="12" s="1"/>
  <c r="S45" i="12" s="1"/>
  <c r="U37" i="12"/>
  <c r="Q41" i="12"/>
  <c r="P41" i="12" s="1"/>
  <c r="S41" i="12" s="1"/>
  <c r="Q47" i="12"/>
  <c r="P47" i="12" s="1"/>
  <c r="S47" i="12" s="1"/>
  <c r="U43" i="12"/>
  <c r="U49" i="12"/>
  <c r="U32" i="12"/>
  <c r="R32" i="12" s="1"/>
  <c r="S32" i="12" s="1"/>
  <c r="U34" i="12"/>
  <c r="P42" i="12"/>
  <c r="P48" i="12"/>
  <c r="U55" i="12"/>
  <c r="Q54" i="12"/>
  <c r="P53" i="12"/>
  <c r="S53" i="12" s="1"/>
  <c r="U53" i="12"/>
  <c r="R53" i="12" s="1"/>
  <c r="U54" i="12"/>
  <c r="R54" i="12" s="1"/>
  <c r="P33" i="12"/>
  <c r="Q33" i="12"/>
  <c r="U36" i="12"/>
  <c r="R36" i="12" s="1"/>
  <c r="S36" i="12" s="1"/>
  <c r="U40" i="12"/>
  <c r="U46" i="12"/>
  <c r="P54" i="12"/>
  <c r="S54" i="12" s="1"/>
  <c r="N162" i="9"/>
  <c r="U8" i="11"/>
  <c r="R8" i="11" s="1"/>
  <c r="S8" i="11" s="1"/>
  <c r="Q9" i="11"/>
  <c r="U20" i="11"/>
  <c r="R20" i="11" s="1"/>
  <c r="Q21" i="11"/>
  <c r="U33" i="12"/>
  <c r="R33" i="12" s="1"/>
  <c r="Q35" i="12"/>
  <c r="P35" i="12" s="1"/>
  <c r="S35" i="12" s="1"/>
  <c r="U38" i="12"/>
  <c r="R38" i="12" s="1"/>
  <c r="U41" i="12"/>
  <c r="R41" i="12" s="1"/>
  <c r="U42" i="12"/>
  <c r="R42" i="12" s="1"/>
  <c r="U44" i="12"/>
  <c r="R44" i="12" s="1"/>
  <c r="U47" i="12"/>
  <c r="R47" i="12" s="1"/>
  <c r="U48" i="12"/>
  <c r="R48" i="12" s="1"/>
  <c r="U50" i="12"/>
  <c r="R50" i="12" s="1"/>
  <c r="S50" i="12" s="1"/>
  <c r="U51" i="12"/>
  <c r="R51" i="12" s="1"/>
  <c r="U52" i="12"/>
  <c r="Q51" i="12"/>
  <c r="P51" i="12"/>
  <c r="S89" i="7" l="1"/>
  <c r="R89" i="7"/>
  <c r="R77" i="7"/>
  <c r="R82" i="7"/>
  <c r="R83" i="7"/>
  <c r="R86" i="7"/>
  <c r="R80" i="7"/>
  <c r="R76" i="7"/>
  <c r="R78" i="7"/>
  <c r="R81" i="7"/>
  <c r="R87" i="7"/>
  <c r="R79" i="7"/>
  <c r="R75" i="7"/>
  <c r="R84" i="7"/>
  <c r="R85" i="7"/>
  <c r="R118" i="9"/>
  <c r="R111" i="9"/>
  <c r="R112" i="9"/>
  <c r="R113" i="9"/>
  <c r="R105" i="9"/>
  <c r="S118" i="9"/>
  <c r="R110" i="9"/>
  <c r="R116" i="9"/>
  <c r="R106" i="9"/>
  <c r="R109" i="9"/>
  <c r="R114" i="9"/>
  <c r="R115" i="9"/>
  <c r="R107" i="9"/>
  <c r="R117" i="9"/>
  <c r="R108" i="9"/>
  <c r="Q122" i="7"/>
  <c r="P122" i="7" s="1"/>
  <c r="S122" i="7" s="1"/>
  <c r="Q126" i="7"/>
  <c r="Q129" i="7"/>
  <c r="P129" i="7" s="1"/>
  <c r="S129" i="7" s="1"/>
  <c r="Q127" i="7"/>
  <c r="P127" i="7" s="1"/>
  <c r="S127" i="7" s="1"/>
  <c r="Q123" i="7"/>
  <c r="P123" i="7" s="1"/>
  <c r="S123" i="7" s="1"/>
  <c r="Q128" i="7"/>
  <c r="P128" i="7" s="1"/>
  <c r="S128" i="7" s="1"/>
  <c r="Q120" i="7"/>
  <c r="P120" i="7" s="1"/>
  <c r="S120" i="7" s="1"/>
  <c r="Q125" i="7"/>
  <c r="Q121" i="7"/>
  <c r="P121" i="7" s="1"/>
  <c r="S121" i="7" s="1"/>
  <c r="Q124" i="7"/>
  <c r="P124" i="7" s="1"/>
  <c r="S124" i="7" s="1"/>
  <c r="P86" i="8"/>
  <c r="Q86" i="8"/>
  <c r="Q84" i="8"/>
  <c r="P84" i="8" s="1"/>
  <c r="Q85" i="8"/>
  <c r="P85" i="8" s="1"/>
  <c r="Q82" i="8"/>
  <c r="P82" i="8" s="1"/>
  <c r="Q83" i="8"/>
  <c r="P83" i="8" s="1"/>
  <c r="Q87" i="8"/>
  <c r="P126" i="7"/>
  <c r="S126" i="7" s="1"/>
  <c r="R40" i="7"/>
  <c r="S40" i="7"/>
  <c r="S74" i="5"/>
  <c r="P59" i="9"/>
  <c r="Q71" i="9"/>
  <c r="Q63" i="9"/>
  <c r="Q67" i="9"/>
  <c r="Q61" i="9"/>
  <c r="Q66" i="9"/>
  <c r="P66" i="9" s="1"/>
  <c r="Q68" i="9"/>
  <c r="Q59" i="9"/>
  <c r="Q70" i="9"/>
  <c r="Q64" i="9"/>
  <c r="Q58" i="9"/>
  <c r="P58" i="9" s="1"/>
  <c r="Q69" i="9"/>
  <c r="Q62" i="9"/>
  <c r="P62" i="9" s="1"/>
  <c r="Q72" i="9"/>
  <c r="P72" i="9" s="1"/>
  <c r="Q60" i="9"/>
  <c r="Q65" i="9"/>
  <c r="P65" i="9" s="1"/>
  <c r="P124" i="9"/>
  <c r="S124" i="9" s="1"/>
  <c r="Q128" i="9"/>
  <c r="P128" i="9" s="1"/>
  <c r="S128" i="9" s="1"/>
  <c r="Q127" i="9"/>
  <c r="P127" i="9" s="1"/>
  <c r="S127" i="9" s="1"/>
  <c r="Q121" i="9"/>
  <c r="P121" i="9" s="1"/>
  <c r="S121" i="9" s="1"/>
  <c r="Q129" i="9"/>
  <c r="Q126" i="9"/>
  <c r="P126" i="9" s="1"/>
  <c r="S126" i="9" s="1"/>
  <c r="Q124" i="9"/>
  <c r="Q68" i="8"/>
  <c r="P68" i="8" s="1"/>
  <c r="S68" i="8" s="1"/>
  <c r="X68" i="8" s="1"/>
  <c r="Q67" i="8"/>
  <c r="P67" i="8" s="1"/>
  <c r="S67" i="8" s="1"/>
  <c r="X67" i="8" s="1"/>
  <c r="Q66" i="8"/>
  <c r="P66" i="8" s="1"/>
  <c r="S66" i="8" s="1"/>
  <c r="X66" i="8" s="1"/>
  <c r="Q65" i="8"/>
  <c r="P65" i="8" s="1"/>
  <c r="S65" i="8" s="1"/>
  <c r="X65" i="8" s="1"/>
  <c r="Q64" i="8"/>
  <c r="P64" i="8" s="1"/>
  <c r="S64" i="8" s="1"/>
  <c r="X64" i="8" s="1"/>
  <c r="Q63" i="8"/>
  <c r="P63" i="8" s="1"/>
  <c r="S63" i="8" s="1"/>
  <c r="X63" i="8" s="1"/>
  <c r="Q62" i="8"/>
  <c r="P62" i="8" s="1"/>
  <c r="S62" i="8" s="1"/>
  <c r="X62" i="8" s="1"/>
  <c r="Q61" i="8"/>
  <c r="Q60" i="8"/>
  <c r="P60" i="8"/>
  <c r="S60" i="8" s="1"/>
  <c r="X60" i="8" s="1"/>
  <c r="P17" i="8"/>
  <c r="S17" i="8" s="1"/>
  <c r="X17" i="8" s="1"/>
  <c r="S96" i="8"/>
  <c r="X96" i="8" s="1"/>
  <c r="R95" i="8"/>
  <c r="R94" i="8"/>
  <c r="R93" i="8"/>
  <c r="R92" i="8"/>
  <c r="R91" i="8"/>
  <c r="R90" i="8"/>
  <c r="R96" i="8"/>
  <c r="Q63" i="7"/>
  <c r="P63" i="7" s="1"/>
  <c r="S414" i="5"/>
  <c r="Q414" i="5"/>
  <c r="P414" i="5" s="1"/>
  <c r="Q415" i="5"/>
  <c r="P415" i="5" s="1"/>
  <c r="Q344" i="5"/>
  <c r="P344" i="5" s="1"/>
  <c r="S344" i="5" s="1"/>
  <c r="Q342" i="5"/>
  <c r="P342" i="5" s="1"/>
  <c r="Q333" i="5"/>
  <c r="Q272" i="5"/>
  <c r="S272" i="5"/>
  <c r="Q273" i="5"/>
  <c r="Q67" i="5"/>
  <c r="P67" i="5" s="1"/>
  <c r="Q59" i="5"/>
  <c r="P59" i="5" s="1"/>
  <c r="Q68" i="5"/>
  <c r="Q60" i="5"/>
  <c r="Q65" i="5"/>
  <c r="Q64" i="5"/>
  <c r="P64" i="5" s="1"/>
  <c r="Q63" i="5"/>
  <c r="P63" i="5" s="1"/>
  <c r="Q62" i="5"/>
  <c r="Q69" i="5"/>
  <c r="P69" i="5" s="1"/>
  <c r="Q66" i="5"/>
  <c r="Q72" i="5"/>
  <c r="P72" i="5" s="1"/>
  <c r="Q71" i="5"/>
  <c r="P71" i="5" s="1"/>
  <c r="Q70" i="5"/>
  <c r="P70" i="5" s="1"/>
  <c r="Q61" i="5"/>
  <c r="P61" i="5" s="1"/>
  <c r="Q58" i="5"/>
  <c r="P58" i="5" s="1"/>
  <c r="P21" i="5"/>
  <c r="Q24" i="8"/>
  <c r="Q23" i="8"/>
  <c r="P23" i="8" s="1"/>
  <c r="S23" i="8" s="1"/>
  <c r="X23" i="8" s="1"/>
  <c r="Q22" i="8"/>
  <c r="P22" i="8" s="1"/>
  <c r="S22" i="8" s="1"/>
  <c r="X22" i="8" s="1"/>
  <c r="Q21" i="8"/>
  <c r="Q20" i="8"/>
  <c r="P20" i="8" s="1"/>
  <c r="S20" i="8" s="1"/>
  <c r="X20" i="8" s="1"/>
  <c r="Q19" i="8"/>
  <c r="P19" i="8" s="1"/>
  <c r="S19" i="8" s="1"/>
  <c r="X19" i="8" s="1"/>
  <c r="Q18" i="8"/>
  <c r="P18" i="8" s="1"/>
  <c r="S18" i="8" s="1"/>
  <c r="X18" i="8" s="1"/>
  <c r="Q17" i="8"/>
  <c r="Q16" i="8"/>
  <c r="P16" i="8" s="1"/>
  <c r="S16" i="8" s="1"/>
  <c r="X16" i="8" s="1"/>
  <c r="S89" i="5"/>
  <c r="Q89" i="5"/>
  <c r="P89" i="5" s="1"/>
  <c r="Q88" i="5"/>
  <c r="S154" i="5"/>
  <c r="Q155" i="5"/>
  <c r="P155" i="5" s="1"/>
  <c r="Q154" i="5"/>
  <c r="Q99" i="5"/>
  <c r="Q91" i="5"/>
  <c r="Q100" i="5"/>
  <c r="P100" i="5" s="1"/>
  <c r="S100" i="5" s="1"/>
  <c r="Q92" i="5"/>
  <c r="P92" i="5" s="1"/>
  <c r="S92" i="5" s="1"/>
  <c r="Q101" i="5"/>
  <c r="P101" i="5" s="1"/>
  <c r="S101" i="5" s="1"/>
  <c r="Q93" i="5"/>
  <c r="P93" i="5" s="1"/>
  <c r="S93" i="5" s="1"/>
  <c r="Q97" i="5"/>
  <c r="P97" i="5" s="1"/>
  <c r="S97" i="5" s="1"/>
  <c r="Q102" i="5"/>
  <c r="Q94" i="5"/>
  <c r="Q95" i="5"/>
  <c r="P95" i="5" s="1"/>
  <c r="Q98" i="5"/>
  <c r="P98" i="5" s="1"/>
  <c r="S98" i="5" s="1"/>
  <c r="Q90" i="5"/>
  <c r="P90" i="5" s="1"/>
  <c r="S90" i="5" s="1"/>
  <c r="Q96" i="5"/>
  <c r="P96" i="5" s="1"/>
  <c r="P432" i="5"/>
  <c r="S403" i="5"/>
  <c r="P150" i="5"/>
  <c r="Q151" i="5"/>
  <c r="Q147" i="5"/>
  <c r="P147" i="5" s="1"/>
  <c r="Q144" i="5"/>
  <c r="P144" i="5" s="1"/>
  <c r="Q153" i="5"/>
  <c r="P153" i="5" s="1"/>
  <c r="Q149" i="5"/>
  <c r="P149" i="5" s="1"/>
  <c r="Q146" i="5"/>
  <c r="P182" i="5"/>
  <c r="Q181" i="5"/>
  <c r="Q184" i="5"/>
  <c r="P184" i="5" s="1"/>
  <c r="Q182" i="5"/>
  <c r="Q183" i="5"/>
  <c r="P183" i="5" s="1"/>
  <c r="P14" i="5"/>
  <c r="Q17" i="5"/>
  <c r="P17" i="5" s="1"/>
  <c r="S17" i="5" s="1"/>
  <c r="Q18" i="5"/>
  <c r="Q15" i="5"/>
  <c r="P15" i="5" s="1"/>
  <c r="Q20" i="5"/>
  <c r="P20" i="5" s="1"/>
  <c r="S20" i="5" s="1"/>
  <c r="Q13" i="5"/>
  <c r="P13" i="5" s="1"/>
  <c r="Q21" i="5"/>
  <c r="Q14" i="5"/>
  <c r="Q19" i="5"/>
  <c r="P19" i="5" s="1"/>
  <c r="S19" i="5" s="1"/>
  <c r="Q16" i="5"/>
  <c r="P62" i="5"/>
  <c r="Q419" i="5"/>
  <c r="P419" i="5" s="1"/>
  <c r="Q420" i="5"/>
  <c r="P420" i="5" s="1"/>
  <c r="Q421" i="5"/>
  <c r="P421" i="5" s="1"/>
  <c r="Q251" i="5"/>
  <c r="P251" i="5" s="1"/>
  <c r="Q256" i="5"/>
  <c r="P256" i="5" s="1"/>
  <c r="Q252" i="5"/>
  <c r="P252" i="5" s="1"/>
  <c r="Q253" i="5"/>
  <c r="Q255" i="5"/>
  <c r="P255" i="5" s="1"/>
  <c r="Q254" i="5"/>
  <c r="P254" i="5" s="1"/>
  <c r="S265" i="5"/>
  <c r="Q265" i="5"/>
  <c r="Q266" i="5"/>
  <c r="Q231" i="5"/>
  <c r="P231" i="5" s="1"/>
  <c r="S230" i="5"/>
  <c r="Q230" i="5"/>
  <c r="P173" i="5"/>
  <c r="S173" i="5" s="1"/>
  <c r="Q171" i="5"/>
  <c r="P171" i="5" s="1"/>
  <c r="Q174" i="5"/>
  <c r="Q172" i="5"/>
  <c r="P172" i="5" s="1"/>
  <c r="S172" i="5" s="1"/>
  <c r="Q173" i="5"/>
  <c r="Q170" i="5"/>
  <c r="P170" i="5" s="1"/>
  <c r="P99" i="5"/>
  <c r="S99" i="5" s="1"/>
  <c r="S12" i="5"/>
  <c r="P12" i="5"/>
  <c r="Q12" i="5"/>
  <c r="Q11" i="5"/>
  <c r="P21" i="8"/>
  <c r="S21" i="8" s="1"/>
  <c r="X21" i="8" s="1"/>
  <c r="Q96" i="9"/>
  <c r="P96" i="9" s="1"/>
  <c r="S96" i="9" s="1"/>
  <c r="Q97" i="9"/>
  <c r="Q98" i="9"/>
  <c r="P98" i="9" s="1"/>
  <c r="Q90" i="9"/>
  <c r="Q93" i="9"/>
  <c r="P93" i="9" s="1"/>
  <c r="P90" i="9"/>
  <c r="Q101" i="9"/>
  <c r="P101" i="9" s="1"/>
  <c r="Q94" i="9"/>
  <c r="P94" i="9" s="1"/>
  <c r="Q99" i="9"/>
  <c r="P99" i="9" s="1"/>
  <c r="Q92" i="9"/>
  <c r="P92" i="9" s="1"/>
  <c r="Q102" i="9"/>
  <c r="P102" i="9" s="1"/>
  <c r="Q100" i="9"/>
  <c r="P100" i="9" s="1"/>
  <c r="Q95" i="9"/>
  <c r="Q91" i="9"/>
  <c r="P91" i="9" s="1"/>
  <c r="P68" i="9"/>
  <c r="S68" i="9" s="1"/>
  <c r="Q47" i="9"/>
  <c r="P70" i="9"/>
  <c r="Q20" i="7"/>
  <c r="Q430" i="5"/>
  <c r="Q428" i="5"/>
  <c r="P428" i="5" s="1"/>
  <c r="Q432" i="5"/>
  <c r="Q429" i="5"/>
  <c r="P429" i="5" s="1"/>
  <c r="Q431" i="5"/>
  <c r="S273" i="5"/>
  <c r="P273" i="5"/>
  <c r="P235" i="5"/>
  <c r="S295" i="5"/>
  <c r="Q294" i="5"/>
  <c r="Q295" i="5"/>
  <c r="P295" i="5" s="1"/>
  <c r="P233" i="5"/>
  <c r="Q236" i="5"/>
  <c r="Q232" i="5"/>
  <c r="P232" i="5" s="1"/>
  <c r="Q239" i="5"/>
  <c r="P239" i="5" s="1"/>
  <c r="Q237" i="5"/>
  <c r="P237" i="5" s="1"/>
  <c r="Q234" i="5"/>
  <c r="P234" i="5" s="1"/>
  <c r="Q238" i="5"/>
  <c r="P238" i="5" s="1"/>
  <c r="Q235" i="5"/>
  <c r="Q240" i="5"/>
  <c r="Q233" i="5"/>
  <c r="P168" i="5"/>
  <c r="P122" i="5"/>
  <c r="Q124" i="5"/>
  <c r="P124" i="5" s="1"/>
  <c r="Q126" i="5"/>
  <c r="P126" i="5" s="1"/>
  <c r="Q125" i="5"/>
  <c r="P125" i="5" s="1"/>
  <c r="Q121" i="5"/>
  <c r="P121" i="5" s="1"/>
  <c r="Q127" i="5"/>
  <c r="P127" i="5" s="1"/>
  <c r="Q122" i="5"/>
  <c r="Q129" i="5"/>
  <c r="Q128" i="5"/>
  <c r="P128" i="5" s="1"/>
  <c r="Q123" i="5"/>
  <c r="P123" i="5" s="1"/>
  <c r="Q120" i="5"/>
  <c r="P120" i="5" s="1"/>
  <c r="Q111" i="5"/>
  <c r="P111" i="5" s="1"/>
  <c r="Q106" i="5"/>
  <c r="P106" i="5" s="1"/>
  <c r="Q105" i="5"/>
  <c r="P105" i="5" s="1"/>
  <c r="Q115" i="5"/>
  <c r="Q110" i="5"/>
  <c r="Q107" i="5"/>
  <c r="Q116" i="5"/>
  <c r="Q114" i="5"/>
  <c r="Q112" i="5"/>
  <c r="P112" i="5" s="1"/>
  <c r="Q108" i="5"/>
  <c r="P108" i="5" s="1"/>
  <c r="Q117" i="5"/>
  <c r="P117" i="5" s="1"/>
  <c r="Q109" i="5"/>
  <c r="P109" i="5" s="1"/>
  <c r="Q113" i="5"/>
  <c r="P113" i="5" s="1"/>
  <c r="P68" i="5"/>
  <c r="P10" i="5"/>
  <c r="S390" i="5"/>
  <c r="Q391" i="5"/>
  <c r="P391" i="5" s="1"/>
  <c r="Q390" i="5"/>
  <c r="P390" i="5" s="1"/>
  <c r="S74" i="9"/>
  <c r="R74" i="9"/>
  <c r="R71" i="9"/>
  <c r="R60" i="9"/>
  <c r="R65" i="9"/>
  <c r="R68" i="9"/>
  <c r="R63" i="9"/>
  <c r="R72" i="9"/>
  <c r="R61" i="9"/>
  <c r="R59" i="9"/>
  <c r="R67" i="9"/>
  <c r="R70" i="9"/>
  <c r="R58" i="9"/>
  <c r="R62" i="9"/>
  <c r="R64" i="9"/>
  <c r="R69" i="9"/>
  <c r="R66" i="9"/>
  <c r="Q82" i="9"/>
  <c r="Q83" i="9"/>
  <c r="Q75" i="9"/>
  <c r="P75" i="9" s="1"/>
  <c r="S75" i="9" s="1"/>
  <c r="Q84" i="9"/>
  <c r="Q76" i="9"/>
  <c r="P76" i="9" s="1"/>
  <c r="Q85" i="9"/>
  <c r="Q78" i="9"/>
  <c r="P78" i="9" s="1"/>
  <c r="Q87" i="9"/>
  <c r="P87" i="9" s="1"/>
  <c r="Q79" i="9"/>
  <c r="P79" i="9" s="1"/>
  <c r="Q77" i="9"/>
  <c r="P77" i="9" s="1"/>
  <c r="S77" i="9" s="1"/>
  <c r="Q81" i="9"/>
  <c r="Q80" i="9"/>
  <c r="P80" i="9" s="1"/>
  <c r="Q86" i="9"/>
  <c r="P86" i="9" s="1"/>
  <c r="S86" i="9" s="1"/>
  <c r="Q92" i="8"/>
  <c r="P92" i="8" s="1"/>
  <c r="S92" i="8" s="1"/>
  <c r="X92" i="8" s="1"/>
  <c r="Q91" i="8"/>
  <c r="P91" i="8" s="1"/>
  <c r="S91" i="8" s="1"/>
  <c r="X91" i="8" s="1"/>
  <c r="Q93" i="8"/>
  <c r="P93" i="8" s="1"/>
  <c r="S93" i="8" s="1"/>
  <c r="X93" i="8" s="1"/>
  <c r="Q94" i="8"/>
  <c r="P94" i="8" s="1"/>
  <c r="S94" i="8" s="1"/>
  <c r="X94" i="8" s="1"/>
  <c r="Q90" i="8"/>
  <c r="P90" i="8" s="1"/>
  <c r="S90" i="8" s="1"/>
  <c r="X90" i="8" s="1"/>
  <c r="Q95" i="8"/>
  <c r="P95" i="8" s="1"/>
  <c r="S95" i="8" s="1"/>
  <c r="X95" i="8" s="1"/>
  <c r="Q158" i="7"/>
  <c r="P158" i="7" s="1"/>
  <c r="Q156" i="7"/>
  <c r="P156" i="7" s="1"/>
  <c r="S156" i="7" s="1"/>
  <c r="Q157" i="7"/>
  <c r="P157" i="7" s="1"/>
  <c r="S157" i="7" s="1"/>
  <c r="Q159" i="7"/>
  <c r="P159" i="7" s="1"/>
  <c r="S159" i="7" s="1"/>
  <c r="Q160" i="7"/>
  <c r="P160" i="7" s="1"/>
  <c r="S160" i="7" s="1"/>
  <c r="R156" i="7"/>
  <c r="R157" i="7"/>
  <c r="R158" i="7"/>
  <c r="R159" i="7"/>
  <c r="S161" i="7"/>
  <c r="R161" i="7"/>
  <c r="R160" i="7"/>
  <c r="R56" i="7"/>
  <c r="R49" i="7"/>
  <c r="R41" i="7"/>
  <c r="R50" i="7"/>
  <c r="R42" i="7"/>
  <c r="R51" i="7"/>
  <c r="S56" i="7"/>
  <c r="R48" i="7"/>
  <c r="R54" i="7"/>
  <c r="R52" i="7"/>
  <c r="R47" i="7"/>
  <c r="R45" i="7"/>
  <c r="R53" i="7"/>
  <c r="R43" i="7"/>
  <c r="R55" i="7"/>
  <c r="R46" i="7"/>
  <c r="R44" i="7"/>
  <c r="Q125" i="9"/>
  <c r="P134" i="9"/>
  <c r="S134" i="9" s="1"/>
  <c r="Q134" i="9"/>
  <c r="Q17" i="9"/>
  <c r="P17" i="9" s="1"/>
  <c r="S17" i="9" s="1"/>
  <c r="Q16" i="9"/>
  <c r="P16" i="9" s="1"/>
  <c r="Q18" i="9"/>
  <c r="P18" i="9" s="1"/>
  <c r="S18" i="9" s="1"/>
  <c r="P60" i="9"/>
  <c r="S60" i="9" s="1"/>
  <c r="Q33" i="9"/>
  <c r="Q25" i="9"/>
  <c r="Q34" i="9"/>
  <c r="P34" i="9" s="1"/>
  <c r="Q26" i="9"/>
  <c r="Q35" i="9"/>
  <c r="P35" i="9" s="1"/>
  <c r="Q27" i="9"/>
  <c r="P27" i="9" s="1"/>
  <c r="Q31" i="9"/>
  <c r="Q38" i="9"/>
  <c r="P38" i="9" s="1"/>
  <c r="Q36" i="9"/>
  <c r="Q32" i="9"/>
  <c r="P32" i="9" s="1"/>
  <c r="S32" i="9" s="1"/>
  <c r="Q30" i="9"/>
  <c r="P30" i="9" s="1"/>
  <c r="Q29" i="9"/>
  <c r="Q24" i="9"/>
  <c r="P24" i="9" s="1"/>
  <c r="S24" i="9" s="1"/>
  <c r="Q37" i="9"/>
  <c r="P37" i="9" s="1"/>
  <c r="S37" i="9" s="1"/>
  <c r="Q28" i="9"/>
  <c r="Q45" i="7"/>
  <c r="Q34" i="7"/>
  <c r="P34" i="7" s="1"/>
  <c r="Q26" i="7"/>
  <c r="P26" i="7" s="1"/>
  <c r="Q35" i="7"/>
  <c r="P35" i="7" s="1"/>
  <c r="Q27" i="7"/>
  <c r="P27" i="7" s="1"/>
  <c r="S27" i="7" s="1"/>
  <c r="Q33" i="7"/>
  <c r="Q25" i="7"/>
  <c r="P25" i="7" s="1"/>
  <c r="S25" i="7" s="1"/>
  <c r="Q37" i="7"/>
  <c r="P37" i="7" s="1"/>
  <c r="Q32" i="7"/>
  <c r="P32" i="7" s="1"/>
  <c r="S32" i="7" s="1"/>
  <c r="Q30" i="7"/>
  <c r="P30" i="7" s="1"/>
  <c r="Q38" i="7"/>
  <c r="P38" i="7" s="1"/>
  <c r="Q28" i="7"/>
  <c r="P28" i="7" s="1"/>
  <c r="Q31" i="7"/>
  <c r="Q36" i="7"/>
  <c r="P36" i="7" s="1"/>
  <c r="Q29" i="7"/>
  <c r="P29" i="7" s="1"/>
  <c r="Q24" i="7"/>
  <c r="P24" i="7" s="1"/>
  <c r="S24" i="7" s="1"/>
  <c r="Q111" i="7"/>
  <c r="Q116" i="7"/>
  <c r="P116" i="7" s="1"/>
  <c r="Q109" i="7"/>
  <c r="P109" i="7" s="1"/>
  <c r="Q150" i="7"/>
  <c r="P150" i="7" s="1"/>
  <c r="P413" i="5"/>
  <c r="P244" i="5"/>
  <c r="Q247" i="5"/>
  <c r="P247" i="5" s="1"/>
  <c r="Q248" i="5"/>
  <c r="P248" i="5" s="1"/>
  <c r="Q244" i="5"/>
  <c r="Q245" i="5"/>
  <c r="P245" i="5" s="1"/>
  <c r="Q246" i="5"/>
  <c r="P246" i="5" s="1"/>
  <c r="Q243" i="5"/>
  <c r="P243" i="5" s="1"/>
  <c r="P157" i="5"/>
  <c r="S157" i="5" s="1"/>
  <c r="Q160" i="5"/>
  <c r="P160" i="5" s="1"/>
  <c r="S160" i="5" s="1"/>
  <c r="Q156" i="5"/>
  <c r="P156" i="5" s="1"/>
  <c r="S156" i="5" s="1"/>
  <c r="Q157" i="5"/>
  <c r="Q158" i="5"/>
  <c r="Q159" i="5"/>
  <c r="P159" i="5" s="1"/>
  <c r="P3" i="5"/>
  <c r="Q4" i="5"/>
  <c r="P4" i="5" s="1"/>
  <c r="Q5" i="5"/>
  <c r="P5" i="5" s="1"/>
  <c r="Q7" i="5"/>
  <c r="P7" i="5" s="1"/>
  <c r="Q3" i="5"/>
  <c r="Q9" i="5"/>
  <c r="P9" i="5" s="1"/>
  <c r="Q10" i="5"/>
  <c r="Q2" i="5"/>
  <c r="P2" i="5" s="1"/>
  <c r="Q8" i="5"/>
  <c r="Q6" i="5"/>
  <c r="P6" i="5" s="1"/>
  <c r="P65" i="5"/>
  <c r="Q35" i="5"/>
  <c r="Q27" i="5"/>
  <c r="Q33" i="5"/>
  <c r="P33" i="5" s="1"/>
  <c r="Q25" i="5"/>
  <c r="Q31" i="5"/>
  <c r="P31" i="5" s="1"/>
  <c r="Q24" i="5"/>
  <c r="P24" i="5" s="1"/>
  <c r="Q26" i="5"/>
  <c r="P26" i="5" s="1"/>
  <c r="Q29" i="5"/>
  <c r="P29" i="5" s="1"/>
  <c r="Q36" i="5"/>
  <c r="Q32" i="5"/>
  <c r="Q38" i="5"/>
  <c r="P38" i="5" s="1"/>
  <c r="Q34" i="5"/>
  <c r="P34" i="5" s="1"/>
  <c r="Q28" i="5"/>
  <c r="Q37" i="5"/>
  <c r="P37" i="5" s="1"/>
  <c r="Q30" i="5"/>
  <c r="P30" i="5" s="1"/>
  <c r="Q149" i="9"/>
  <c r="P149" i="9" s="1"/>
  <c r="Q152" i="9"/>
  <c r="P152" i="9" s="1"/>
  <c r="S152" i="9" s="1"/>
  <c r="Q148" i="9"/>
  <c r="P148" i="9" s="1"/>
  <c r="S148" i="9" s="1"/>
  <c r="Q146" i="9"/>
  <c r="P146" i="9" s="1"/>
  <c r="Q147" i="9"/>
  <c r="Q153" i="9"/>
  <c r="P153" i="9" s="1"/>
  <c r="S153" i="9" s="1"/>
  <c r="Q151" i="9"/>
  <c r="Q144" i="9"/>
  <c r="P144" i="9" s="1"/>
  <c r="Q150" i="9"/>
  <c r="P150" i="9" s="1"/>
  <c r="S150" i="9" s="1"/>
  <c r="P81" i="9"/>
  <c r="S81" i="9" s="1"/>
  <c r="R10" i="8"/>
  <c r="S10" i="8" s="1"/>
  <c r="X10" i="8" s="1"/>
  <c r="R9" i="8"/>
  <c r="S9" i="8" s="1"/>
  <c r="X9" i="8" s="1"/>
  <c r="S15" i="8"/>
  <c r="X15" i="8" s="1"/>
  <c r="R15" i="8"/>
  <c r="R11" i="8"/>
  <c r="S11" i="8" s="1"/>
  <c r="X11" i="8" s="1"/>
  <c r="R12" i="8"/>
  <c r="S12" i="8" s="1"/>
  <c r="X12" i="8" s="1"/>
  <c r="R13" i="8"/>
  <c r="S13" i="8" s="1"/>
  <c r="X13" i="8" s="1"/>
  <c r="R58" i="8"/>
  <c r="S58" i="8"/>
  <c r="X58" i="8" s="1"/>
  <c r="R57" i="8"/>
  <c r="R56" i="8"/>
  <c r="R55" i="8"/>
  <c r="R54" i="8"/>
  <c r="R52" i="8"/>
  <c r="R53" i="8"/>
  <c r="R49" i="8"/>
  <c r="R50" i="8"/>
  <c r="R51" i="8"/>
  <c r="Q42" i="7"/>
  <c r="P42" i="7" s="1"/>
  <c r="S42" i="7" s="1"/>
  <c r="Q50" i="7"/>
  <c r="P50" i="7" s="1"/>
  <c r="S50" i="7" s="1"/>
  <c r="Q44" i="7"/>
  <c r="P44" i="7" s="1"/>
  <c r="S44" i="7" s="1"/>
  <c r="Q48" i="7"/>
  <c r="P48" i="7" s="1"/>
  <c r="S48" i="7" s="1"/>
  <c r="P430" i="5"/>
  <c r="R149" i="7"/>
  <c r="R150" i="7"/>
  <c r="R151" i="7"/>
  <c r="R154" i="7"/>
  <c r="R147" i="7"/>
  <c r="R148" i="7"/>
  <c r="R146" i="7"/>
  <c r="S154" i="7"/>
  <c r="R152" i="7"/>
  <c r="R144" i="7"/>
  <c r="R153" i="7"/>
  <c r="R145" i="7"/>
  <c r="P69" i="9"/>
  <c r="S69" i="9" s="1"/>
  <c r="R97" i="9"/>
  <c r="R98" i="9"/>
  <c r="R90" i="9"/>
  <c r="R99" i="9"/>
  <c r="R91" i="9"/>
  <c r="R103" i="9"/>
  <c r="R96" i="9"/>
  <c r="R101" i="9"/>
  <c r="R94" i="9"/>
  <c r="R102" i="9"/>
  <c r="R95" i="9"/>
  <c r="R100" i="9"/>
  <c r="R92" i="9"/>
  <c r="R93" i="9"/>
  <c r="S103" i="9"/>
  <c r="P31" i="9"/>
  <c r="P67" i="9"/>
  <c r="P129" i="9"/>
  <c r="S129" i="9" s="1"/>
  <c r="Q53" i="9"/>
  <c r="P53" i="9" s="1"/>
  <c r="S53" i="9" s="1"/>
  <c r="Q43" i="9"/>
  <c r="Q45" i="9"/>
  <c r="Q50" i="9"/>
  <c r="Q46" i="9"/>
  <c r="P46" i="9" s="1"/>
  <c r="S46" i="9" s="1"/>
  <c r="Q51" i="9"/>
  <c r="Q55" i="9"/>
  <c r="P55" i="9" s="1"/>
  <c r="S55" i="9" s="1"/>
  <c r="Q2" i="9"/>
  <c r="P2" i="9" s="1"/>
  <c r="Q5" i="9"/>
  <c r="P5" i="9" s="1"/>
  <c r="Q6" i="9"/>
  <c r="P6" i="9" s="1"/>
  <c r="S6" i="9" s="1"/>
  <c r="Q10" i="9"/>
  <c r="P10" i="9" s="1"/>
  <c r="Q4" i="9"/>
  <c r="Q9" i="9"/>
  <c r="Q7" i="9"/>
  <c r="P7" i="9" s="1"/>
  <c r="Q3" i="9"/>
  <c r="P3" i="9" s="1"/>
  <c r="S3" i="9" s="1"/>
  <c r="Q8" i="9"/>
  <c r="P109" i="9"/>
  <c r="S109" i="9" s="1"/>
  <c r="Q113" i="9"/>
  <c r="P113" i="9" s="1"/>
  <c r="S113" i="9" s="1"/>
  <c r="Q110" i="9"/>
  <c r="P110" i="9" s="1"/>
  <c r="S110" i="9" s="1"/>
  <c r="Q106" i="9"/>
  <c r="P106" i="9" s="1"/>
  <c r="S106" i="9" s="1"/>
  <c r="Q109" i="9"/>
  <c r="Q111" i="9"/>
  <c r="Q107" i="9"/>
  <c r="P107" i="9" s="1"/>
  <c r="S107" i="9" s="1"/>
  <c r="Q105" i="9"/>
  <c r="P105" i="9" s="1"/>
  <c r="S105" i="9" s="1"/>
  <c r="Q108" i="9"/>
  <c r="P108" i="9" s="1"/>
  <c r="S108" i="9" s="1"/>
  <c r="Q115" i="9"/>
  <c r="P115" i="9" s="1"/>
  <c r="S115" i="9" s="1"/>
  <c r="Q116" i="9"/>
  <c r="P116" i="9" s="1"/>
  <c r="S116" i="9" s="1"/>
  <c r="Q112" i="9"/>
  <c r="P112" i="9" s="1"/>
  <c r="S112" i="9" s="1"/>
  <c r="Q117" i="9"/>
  <c r="P117" i="9" s="1"/>
  <c r="S117" i="9" s="1"/>
  <c r="Q114" i="9"/>
  <c r="P114" i="9" s="1"/>
  <c r="S114" i="9" s="1"/>
  <c r="Q21" i="9"/>
  <c r="P21" i="9" s="1"/>
  <c r="Q134" i="7"/>
  <c r="Q135" i="7"/>
  <c r="P135" i="7" s="1"/>
  <c r="Q136" i="7"/>
  <c r="P136" i="7" s="1"/>
  <c r="S136" i="7" s="1"/>
  <c r="Q141" i="7"/>
  <c r="P141" i="7" s="1"/>
  <c r="S141" i="7" s="1"/>
  <c r="Q133" i="7"/>
  <c r="Q139" i="7"/>
  <c r="P139" i="7" s="1"/>
  <c r="Q137" i="7"/>
  <c r="P137" i="7" s="1"/>
  <c r="Q140" i="7"/>
  <c r="P140" i="7" s="1"/>
  <c r="S140" i="7" s="1"/>
  <c r="Q138" i="7"/>
  <c r="P138" i="7" s="1"/>
  <c r="Q132" i="7"/>
  <c r="P132" i="7" s="1"/>
  <c r="S132" i="7" s="1"/>
  <c r="P24" i="8"/>
  <c r="S24" i="8" s="1"/>
  <c r="X24" i="8" s="1"/>
  <c r="P20" i="7"/>
  <c r="S20" i="7" s="1"/>
  <c r="Q403" i="5"/>
  <c r="P403" i="5" s="1"/>
  <c r="S402" i="5"/>
  <c r="Q402" i="5"/>
  <c r="P378" i="5"/>
  <c r="Q380" i="5"/>
  <c r="P380" i="5" s="1"/>
  <c r="Q377" i="5"/>
  <c r="P377" i="5" s="1"/>
  <c r="Q389" i="5"/>
  <c r="P389" i="5" s="1"/>
  <c r="Q383" i="5"/>
  <c r="P383" i="5" s="1"/>
  <c r="Q381" i="5"/>
  <c r="P381" i="5" s="1"/>
  <c r="Q382" i="5"/>
  <c r="P382" i="5" s="1"/>
  <c r="Q387" i="5"/>
  <c r="P387" i="5" s="1"/>
  <c r="Q379" i="5"/>
  <c r="P379" i="5" s="1"/>
  <c r="Q385" i="5"/>
  <c r="P385" i="5" s="1"/>
  <c r="Q378" i="5"/>
  <c r="Q386" i="5"/>
  <c r="Q388" i="5"/>
  <c r="P388" i="5" s="1"/>
  <c r="Q384" i="5"/>
  <c r="P384" i="5" s="1"/>
  <c r="Q329" i="5"/>
  <c r="P329" i="5" s="1"/>
  <c r="S328" i="5"/>
  <c r="Q328" i="5"/>
  <c r="P260" i="5"/>
  <c r="Q260" i="5"/>
  <c r="Q264" i="5"/>
  <c r="P264" i="5" s="1"/>
  <c r="Q262" i="5"/>
  <c r="P262" i="5" s="1"/>
  <c r="Q259" i="5"/>
  <c r="P259" i="5" s="1"/>
  <c r="Q263" i="5"/>
  <c r="P263" i="5" s="1"/>
  <c r="Q261" i="5"/>
  <c r="P261" i="5" s="1"/>
  <c r="P219" i="5"/>
  <c r="P60" i="5"/>
  <c r="P116" i="5"/>
  <c r="P25" i="5"/>
  <c r="P26" i="9"/>
  <c r="S26" i="9" s="1"/>
  <c r="R104" i="7"/>
  <c r="S104" i="7"/>
  <c r="Q147" i="7"/>
  <c r="P147" i="7" s="1"/>
  <c r="S147" i="7" s="1"/>
  <c r="P61" i="8"/>
  <c r="S61" i="8" s="1"/>
  <c r="X61" i="8" s="1"/>
  <c r="Q140" i="9"/>
  <c r="Q136" i="9"/>
  <c r="P136" i="9" s="1"/>
  <c r="S136" i="9" s="1"/>
  <c r="Q132" i="9"/>
  <c r="P132" i="9" s="1"/>
  <c r="S132" i="9" s="1"/>
  <c r="Q137" i="9"/>
  <c r="P137" i="9" s="1"/>
  <c r="S137" i="9" s="1"/>
  <c r="Q141" i="9"/>
  <c r="P141" i="9" s="1"/>
  <c r="S141" i="9" s="1"/>
  <c r="S36" i="11"/>
  <c r="R152" i="9"/>
  <c r="Q98" i="8"/>
  <c r="P98" i="8" s="1"/>
  <c r="P50" i="8"/>
  <c r="S50" i="8" s="1"/>
  <c r="X50" i="8" s="1"/>
  <c r="Q65" i="7"/>
  <c r="P65" i="7" s="1"/>
  <c r="S65" i="7" s="1"/>
  <c r="Q59" i="7"/>
  <c r="P59" i="7" s="1"/>
  <c r="S59" i="7" s="1"/>
  <c r="S46" i="8"/>
  <c r="X46" i="8" s="1"/>
  <c r="R155" i="7"/>
  <c r="S155" i="7"/>
  <c r="R147" i="9"/>
  <c r="S9" i="11"/>
  <c r="P111" i="9"/>
  <c r="S111" i="9" s="1"/>
  <c r="S42" i="8"/>
  <c r="X42" i="8" s="1"/>
  <c r="Q62" i="7"/>
  <c r="P62" i="7" s="1"/>
  <c r="S62" i="7" s="1"/>
  <c r="Q106" i="7"/>
  <c r="P106" i="7" s="1"/>
  <c r="S77" i="8"/>
  <c r="X77" i="8" s="1"/>
  <c r="S48" i="12"/>
  <c r="R151" i="9"/>
  <c r="Q114" i="7"/>
  <c r="P114" i="7" s="1"/>
  <c r="S114" i="7" s="1"/>
  <c r="S33" i="12"/>
  <c r="Q139" i="9"/>
  <c r="P139" i="9" s="1"/>
  <c r="S139" i="9" s="1"/>
  <c r="R156" i="9"/>
  <c r="R160" i="9"/>
  <c r="R161" i="9"/>
  <c r="R159" i="9"/>
  <c r="R157" i="9"/>
  <c r="S157" i="9" s="1"/>
  <c r="S161" i="9"/>
  <c r="R158" i="9"/>
  <c r="S48" i="11"/>
  <c r="S30" i="11"/>
  <c r="S18" i="12"/>
  <c r="R146" i="9"/>
  <c r="P19" i="9"/>
  <c r="R79" i="9"/>
  <c r="R82" i="9"/>
  <c r="R84" i="9"/>
  <c r="P47" i="9"/>
  <c r="S47" i="9" s="1"/>
  <c r="Q44" i="9"/>
  <c r="P44" i="9" s="1"/>
  <c r="S44" i="9" s="1"/>
  <c r="P109" i="8"/>
  <c r="S109" i="8" s="1"/>
  <c r="X109" i="8" s="1"/>
  <c r="R44" i="8"/>
  <c r="S44" i="8" s="1"/>
  <c r="X44" i="8" s="1"/>
  <c r="S72" i="8"/>
  <c r="X72" i="8" s="1"/>
  <c r="Q15" i="9"/>
  <c r="R40" i="8"/>
  <c r="S74" i="7"/>
  <c r="R74" i="7"/>
  <c r="Q49" i="7"/>
  <c r="P49" i="7" s="1"/>
  <c r="S49" i="7" s="1"/>
  <c r="Q52" i="7"/>
  <c r="P52" i="7" s="1"/>
  <c r="S52" i="7" s="1"/>
  <c r="Q115" i="7"/>
  <c r="P115" i="7" s="1"/>
  <c r="S115" i="7" s="1"/>
  <c r="Q72" i="7"/>
  <c r="P72" i="7" s="1"/>
  <c r="S72" i="7" s="1"/>
  <c r="Q145" i="7"/>
  <c r="P145" i="7" s="1"/>
  <c r="AK642" i="5"/>
  <c r="AK637" i="5"/>
  <c r="AM637" i="5" s="1"/>
  <c r="AN637" i="5" s="1"/>
  <c r="AO637" i="5" s="1"/>
  <c r="R58" i="7"/>
  <c r="R63" i="7"/>
  <c r="AE609" i="5"/>
  <c r="AD609" i="5"/>
  <c r="AF609" i="5" s="1"/>
  <c r="AK635" i="5"/>
  <c r="AK627" i="5"/>
  <c r="AK626" i="5"/>
  <c r="AE595" i="5"/>
  <c r="AD595" i="5"/>
  <c r="AF595" i="5" s="1"/>
  <c r="AM596" i="5"/>
  <c r="AN596" i="5" s="1"/>
  <c r="AO596" i="5" s="1"/>
  <c r="AE596" i="5"/>
  <c r="AD596" i="5"/>
  <c r="AF596" i="5" s="1"/>
  <c r="AK561" i="5"/>
  <c r="AK490" i="5"/>
  <c r="AM490" i="5" s="1"/>
  <c r="AN490" i="5" s="1"/>
  <c r="AO490" i="5" s="1"/>
  <c r="AK621" i="5"/>
  <c r="AD583" i="5"/>
  <c r="AF583" i="5" s="1"/>
  <c r="AE583" i="5"/>
  <c r="AM616" i="5"/>
  <c r="AN616" i="5" s="1"/>
  <c r="AO616" i="5" s="1"/>
  <c r="AE616" i="5"/>
  <c r="AD616" i="5"/>
  <c r="AF616" i="5" s="1"/>
  <c r="AK462" i="5"/>
  <c r="AK480" i="5"/>
  <c r="AK547" i="5"/>
  <c r="AK441" i="5"/>
  <c r="AK534" i="5"/>
  <c r="AM534" i="5" s="1"/>
  <c r="AN534" i="5" s="1"/>
  <c r="AO534" i="5" s="1"/>
  <c r="AE507" i="5"/>
  <c r="AD507" i="5"/>
  <c r="AF507" i="5" s="1"/>
  <c r="AK527" i="5"/>
  <c r="AK539" i="5"/>
  <c r="AE522" i="5"/>
  <c r="AM522" i="5"/>
  <c r="AN522" i="5" s="1"/>
  <c r="AO522" i="5" s="1"/>
  <c r="AD522" i="5"/>
  <c r="AF522" i="5" s="1"/>
  <c r="Q423" i="5"/>
  <c r="P423" i="5" s="1"/>
  <c r="AE456" i="5"/>
  <c r="AD456" i="5"/>
  <c r="AF456" i="5" s="1"/>
  <c r="AK533" i="5"/>
  <c r="AM533" i="5" s="1"/>
  <c r="AN533" i="5" s="1"/>
  <c r="AO533" i="5" s="1"/>
  <c r="Q360" i="5"/>
  <c r="P360" i="5" s="1"/>
  <c r="Q361" i="5"/>
  <c r="P361" i="5" s="1"/>
  <c r="S360" i="5"/>
  <c r="P375" i="5"/>
  <c r="Q337" i="5"/>
  <c r="P337" i="5" s="1"/>
  <c r="R306" i="5"/>
  <c r="R298" i="5"/>
  <c r="R311" i="5"/>
  <c r="R305" i="5"/>
  <c r="R297" i="5"/>
  <c r="R301" i="5"/>
  <c r="R308" i="5"/>
  <c r="Y345" i="5"/>
  <c r="Z345" i="5"/>
  <c r="AA345" i="5" s="1"/>
  <c r="Q274" i="5"/>
  <c r="P274" i="5" s="1"/>
  <c r="Q348" i="5"/>
  <c r="P348" i="5" s="1"/>
  <c r="Q355" i="5"/>
  <c r="P355" i="5" s="1"/>
  <c r="Q279" i="5"/>
  <c r="Z294" i="5"/>
  <c r="AA294" i="5" s="1"/>
  <c r="Y294" i="5"/>
  <c r="P133" i="5"/>
  <c r="Q185" i="5"/>
  <c r="P185" i="5" s="1"/>
  <c r="Y209" i="5"/>
  <c r="Z209" i="5"/>
  <c r="AA209" i="5" s="1"/>
  <c r="P158" i="5"/>
  <c r="Q148" i="5"/>
  <c r="P148" i="5" s="1"/>
  <c r="AC143" i="5"/>
  <c r="AI143" i="5"/>
  <c r="AH143" i="5"/>
  <c r="AG143" i="5"/>
  <c r="S118" i="5"/>
  <c r="Q119" i="5"/>
  <c r="P119" i="5" s="1"/>
  <c r="Q118" i="5"/>
  <c r="Q133" i="5"/>
  <c r="Q136" i="5"/>
  <c r="P136" i="5" s="1"/>
  <c r="P86" i="5"/>
  <c r="Z130" i="5"/>
  <c r="AA130" i="5" s="1"/>
  <c r="Y130" i="5"/>
  <c r="Q194" i="5"/>
  <c r="P194" i="5" s="1"/>
  <c r="Q189" i="5"/>
  <c r="P189" i="5" s="1"/>
  <c r="P167" i="5"/>
  <c r="P27" i="5"/>
  <c r="Q106" i="8"/>
  <c r="P106" i="8" s="1"/>
  <c r="S106" i="8" s="1"/>
  <c r="X106" i="8" s="1"/>
  <c r="Q109" i="8"/>
  <c r="Q108" i="8"/>
  <c r="P108" i="8" s="1"/>
  <c r="S108" i="8" s="1"/>
  <c r="X108" i="8" s="1"/>
  <c r="Q110" i="8"/>
  <c r="P110" i="8" s="1"/>
  <c r="S110" i="8" s="1"/>
  <c r="X110" i="8" s="1"/>
  <c r="Q107" i="8"/>
  <c r="AM575" i="5"/>
  <c r="AN575" i="5" s="1"/>
  <c r="AO575" i="5" s="1"/>
  <c r="AD575" i="5"/>
  <c r="AF575" i="5" s="1"/>
  <c r="AE575" i="5"/>
  <c r="AD620" i="5"/>
  <c r="AF620" i="5" s="1"/>
  <c r="AM620" i="5"/>
  <c r="AN620" i="5" s="1"/>
  <c r="AO620" i="5" s="1"/>
  <c r="AE620" i="5"/>
  <c r="AM584" i="5"/>
  <c r="AN584" i="5" s="1"/>
  <c r="AO584" i="5" s="1"/>
  <c r="AD584" i="5"/>
  <c r="AF584" i="5" s="1"/>
  <c r="AE584" i="5"/>
  <c r="AE626" i="5"/>
  <c r="AD626" i="5"/>
  <c r="AF626" i="5" s="1"/>
  <c r="AM626" i="5"/>
  <c r="AN626" i="5" s="1"/>
  <c r="AO626" i="5" s="1"/>
  <c r="AE565" i="5"/>
  <c r="AD565" i="5"/>
  <c r="AF565" i="5" s="1"/>
  <c r="AM565" i="5"/>
  <c r="AN565" i="5" s="1"/>
  <c r="AO565" i="5" s="1"/>
  <c r="AD608" i="5"/>
  <c r="AF608" i="5" s="1"/>
  <c r="AE608" i="5"/>
  <c r="AM576" i="5"/>
  <c r="AN576" i="5" s="1"/>
  <c r="AO576" i="5" s="1"/>
  <c r="AD576" i="5"/>
  <c r="AF576" i="5" s="1"/>
  <c r="AE576" i="5"/>
  <c r="AM536" i="5"/>
  <c r="AN536" i="5" s="1"/>
  <c r="AO536" i="5" s="1"/>
  <c r="AD536" i="5"/>
  <c r="AF536" i="5" s="1"/>
  <c r="AE536" i="5"/>
  <c r="AM510" i="5"/>
  <c r="AN510" i="5" s="1"/>
  <c r="AO510" i="5" s="1"/>
  <c r="AE510" i="5"/>
  <c r="AD510" i="5"/>
  <c r="AF510" i="5" s="1"/>
  <c r="AM440" i="5"/>
  <c r="AN440" i="5" s="1"/>
  <c r="AO440" i="5" s="1"/>
  <c r="AE440" i="5"/>
  <c r="AD440" i="5"/>
  <c r="AF440" i="5" s="1"/>
  <c r="AE561" i="5"/>
  <c r="AM561" i="5"/>
  <c r="AN561" i="5" s="1"/>
  <c r="AO561" i="5" s="1"/>
  <c r="AD561" i="5"/>
  <c r="AF561" i="5" s="1"/>
  <c r="AD482" i="5"/>
  <c r="AF482" i="5" s="1"/>
  <c r="AM482" i="5"/>
  <c r="AN482" i="5" s="1"/>
  <c r="AO482" i="5" s="1"/>
  <c r="AE482" i="5"/>
  <c r="AD461" i="5"/>
  <c r="AF461" i="5" s="1"/>
  <c r="AE461" i="5"/>
  <c r="AM461" i="5"/>
  <c r="AN461" i="5" s="1"/>
  <c r="AO461" i="5" s="1"/>
  <c r="AM512" i="5"/>
  <c r="AN512" i="5" s="1"/>
  <c r="AO512" i="5" s="1"/>
  <c r="AD512" i="5"/>
  <c r="AF512" i="5" s="1"/>
  <c r="AE512" i="5"/>
  <c r="AD498" i="5"/>
  <c r="AF498" i="5" s="1"/>
  <c r="AE498" i="5"/>
  <c r="AD441" i="5"/>
  <c r="AF441" i="5" s="1"/>
  <c r="AE441" i="5"/>
  <c r="AM441" i="5"/>
  <c r="AN441" i="5" s="1"/>
  <c r="AO441" i="5" s="1"/>
  <c r="AE500" i="5"/>
  <c r="AD500" i="5"/>
  <c r="AF500" i="5" s="1"/>
  <c r="AM500" i="5"/>
  <c r="AN500" i="5" s="1"/>
  <c r="AO500" i="5" s="1"/>
  <c r="AD485" i="5"/>
  <c r="AF485" i="5" s="1"/>
  <c r="AE485" i="5"/>
  <c r="AM485" i="5"/>
  <c r="AN485" i="5" s="1"/>
  <c r="AO485" i="5" s="1"/>
  <c r="AE443" i="5"/>
  <c r="AD443" i="5"/>
  <c r="AF443" i="5" s="1"/>
  <c r="AM443" i="5"/>
  <c r="AN443" i="5" s="1"/>
  <c r="AO443" i="5" s="1"/>
  <c r="AE436" i="5"/>
  <c r="AD436" i="5"/>
  <c r="AF436" i="5" s="1"/>
  <c r="AM436" i="5"/>
  <c r="AN436" i="5" s="1"/>
  <c r="AO436" i="5" s="1"/>
  <c r="AE487" i="5"/>
  <c r="AM487" i="5"/>
  <c r="AN487" i="5" s="1"/>
  <c r="AO487" i="5" s="1"/>
  <c r="AD487" i="5"/>
  <c r="AF487" i="5" s="1"/>
  <c r="AM439" i="5"/>
  <c r="AN439" i="5" s="1"/>
  <c r="AO439" i="5" s="1"/>
  <c r="AD439" i="5"/>
  <c r="AF439" i="5" s="1"/>
  <c r="AE439" i="5"/>
  <c r="AG391" i="5"/>
  <c r="AK391" i="5" s="1"/>
  <c r="AI391" i="5"/>
  <c r="AH391" i="5"/>
  <c r="AC391" i="5"/>
  <c r="AE511" i="5"/>
  <c r="AD511" i="5"/>
  <c r="AF511" i="5" s="1"/>
  <c r="AM511" i="5"/>
  <c r="AN511" i="5" s="1"/>
  <c r="AO511" i="5" s="1"/>
  <c r="P394" i="5"/>
  <c r="AM438" i="5"/>
  <c r="AN438" i="5" s="1"/>
  <c r="AO438" i="5" s="1"/>
  <c r="AE438" i="5"/>
  <c r="AD438" i="5"/>
  <c r="AF438" i="5" s="1"/>
  <c r="Q433" i="5"/>
  <c r="Q434" i="5"/>
  <c r="P434" i="5" s="1"/>
  <c r="P433" i="5"/>
  <c r="S433" i="5"/>
  <c r="Q394" i="5"/>
  <c r="R370" i="5"/>
  <c r="R367" i="5"/>
  <c r="R376" i="5"/>
  <c r="R368" i="5"/>
  <c r="R371" i="5"/>
  <c r="R362" i="5"/>
  <c r="R375" i="5"/>
  <c r="R363" i="5"/>
  <c r="P240" i="5"/>
  <c r="Q352" i="5"/>
  <c r="P352" i="5" s="1"/>
  <c r="AH312" i="5"/>
  <c r="AI312" i="5"/>
  <c r="AG312" i="5"/>
  <c r="AK312" i="5" s="1"/>
  <c r="AC312" i="5"/>
  <c r="Q249" i="5"/>
  <c r="P249" i="5"/>
  <c r="S249" i="5"/>
  <c r="Q250" i="5"/>
  <c r="P250" i="5" s="1"/>
  <c r="Q208" i="5"/>
  <c r="P208" i="5"/>
  <c r="Q209" i="5"/>
  <c r="P209" i="5" s="1"/>
  <c r="S208" i="5"/>
  <c r="P174" i="5"/>
  <c r="S174" i="5" s="1"/>
  <c r="S198" i="5"/>
  <c r="Y168" i="5"/>
  <c r="Z168" i="5"/>
  <c r="AA168" i="5" s="1"/>
  <c r="P161" i="5"/>
  <c r="Q178" i="5"/>
  <c r="P178" i="5" s="1"/>
  <c r="Q167" i="5"/>
  <c r="P134" i="5"/>
  <c r="Q196" i="5"/>
  <c r="P196" i="5" s="1"/>
  <c r="Y346" i="5"/>
  <c r="Z346" i="5"/>
  <c r="AA346" i="5" s="1"/>
  <c r="Q73" i="5"/>
  <c r="S73" i="5"/>
  <c r="Q74" i="5"/>
  <c r="P74" i="5" s="1"/>
  <c r="P18" i="5"/>
  <c r="P35" i="5"/>
  <c r="R22" i="5"/>
  <c r="R13" i="5"/>
  <c r="R23" i="5"/>
  <c r="R15" i="5"/>
  <c r="R21" i="5"/>
  <c r="R17" i="5"/>
  <c r="R14" i="5"/>
  <c r="R16" i="5"/>
  <c r="R18" i="5"/>
  <c r="Q18" i="7"/>
  <c r="P18" i="7" s="1"/>
  <c r="S18" i="7" s="1"/>
  <c r="Q15" i="7"/>
  <c r="P15" i="7" s="1"/>
  <c r="S15" i="7" s="1"/>
  <c r="Q16" i="7"/>
  <c r="P16" i="7" s="1"/>
  <c r="S16" i="7" s="1"/>
  <c r="Q13" i="7"/>
  <c r="P13" i="7" s="1"/>
  <c r="S13" i="7" s="1"/>
  <c r="Q110" i="7"/>
  <c r="P110" i="7" s="1"/>
  <c r="S110" i="7" s="1"/>
  <c r="AD642" i="5"/>
  <c r="AF642" i="5" s="1"/>
  <c r="AM642" i="5"/>
  <c r="AN642" i="5" s="1"/>
  <c r="AO642" i="5" s="1"/>
  <c r="AE642" i="5"/>
  <c r="AK633" i="5"/>
  <c r="AD635" i="5"/>
  <c r="AF635" i="5" s="1"/>
  <c r="AM635" i="5"/>
  <c r="AN635" i="5" s="1"/>
  <c r="AO635" i="5" s="1"/>
  <c r="AE635" i="5"/>
  <c r="AE640" i="5"/>
  <c r="AD640" i="5"/>
  <c r="AF640" i="5" s="1"/>
  <c r="AK601" i="5"/>
  <c r="AM601" i="5" s="1"/>
  <c r="AN601" i="5" s="1"/>
  <c r="AO601" i="5" s="1"/>
  <c r="AD638" i="5"/>
  <c r="AF638" i="5" s="1"/>
  <c r="AE638" i="5"/>
  <c r="AD598" i="5"/>
  <c r="AF598" i="5" s="1"/>
  <c r="AE598" i="5"/>
  <c r="AM598" i="5"/>
  <c r="AN598" i="5" s="1"/>
  <c r="AO598" i="5" s="1"/>
  <c r="AD574" i="5"/>
  <c r="AF574" i="5" s="1"/>
  <c r="AM574" i="5"/>
  <c r="AN574" i="5" s="1"/>
  <c r="AO574" i="5" s="1"/>
  <c r="AE574" i="5"/>
  <c r="AD599" i="5"/>
  <c r="AF599" i="5" s="1"/>
  <c r="AE599" i="5"/>
  <c r="AE597" i="5"/>
  <c r="AM597" i="5"/>
  <c r="AN597" i="5" s="1"/>
  <c r="AO597" i="5" s="1"/>
  <c r="AD597" i="5"/>
  <c r="AF597" i="5" s="1"/>
  <c r="AK571" i="5"/>
  <c r="AK628" i="5"/>
  <c r="AK595" i="5"/>
  <c r="AM595" i="5" s="1"/>
  <c r="AN595" i="5" s="1"/>
  <c r="AO595" i="5" s="1"/>
  <c r="AE563" i="5"/>
  <c r="AD563" i="5"/>
  <c r="AF563" i="5" s="1"/>
  <c r="AK599" i="5"/>
  <c r="AM599" i="5" s="1"/>
  <c r="AN599" i="5" s="1"/>
  <c r="AO599" i="5" s="1"/>
  <c r="AK596" i="5"/>
  <c r="AM554" i="5"/>
  <c r="AN554" i="5" s="1"/>
  <c r="AO554" i="5" s="1"/>
  <c r="AE554" i="5"/>
  <c r="AD554" i="5"/>
  <c r="AF554" i="5" s="1"/>
  <c r="AE532" i="5"/>
  <c r="AM532" i="5"/>
  <c r="AN532" i="5" s="1"/>
  <c r="AO532" i="5" s="1"/>
  <c r="AD532" i="5"/>
  <c r="AF532" i="5" s="1"/>
  <c r="AM506" i="5"/>
  <c r="AN506" i="5" s="1"/>
  <c r="AO506" i="5" s="1"/>
  <c r="AD506" i="5"/>
  <c r="AF506" i="5" s="1"/>
  <c r="AE506" i="5"/>
  <c r="AK530" i="5"/>
  <c r="AK564" i="5"/>
  <c r="AK592" i="5"/>
  <c r="AE547" i="5"/>
  <c r="AM547" i="5"/>
  <c r="AN547" i="5" s="1"/>
  <c r="AO547" i="5" s="1"/>
  <c r="AD547" i="5"/>
  <c r="AF547" i="5" s="1"/>
  <c r="AM462" i="5"/>
  <c r="AN462" i="5" s="1"/>
  <c r="AO462" i="5" s="1"/>
  <c r="AE462" i="5"/>
  <c r="AD462" i="5"/>
  <c r="AF462" i="5" s="1"/>
  <c r="AE473" i="5"/>
  <c r="AD473" i="5"/>
  <c r="AF473" i="5" s="1"/>
  <c r="AM473" i="5"/>
  <c r="AN473" i="5" s="1"/>
  <c r="AO473" i="5" s="1"/>
  <c r="AM454" i="5"/>
  <c r="AN454" i="5" s="1"/>
  <c r="AO454" i="5" s="1"/>
  <c r="AD454" i="5"/>
  <c r="AF454" i="5" s="1"/>
  <c r="AE454" i="5"/>
  <c r="AK498" i="5"/>
  <c r="AM498" i="5" s="1"/>
  <c r="AN498" i="5" s="1"/>
  <c r="AO498" i="5" s="1"/>
  <c r="AE514" i="5"/>
  <c r="AD514" i="5"/>
  <c r="AF514" i="5" s="1"/>
  <c r="AM514" i="5"/>
  <c r="AN514" i="5" s="1"/>
  <c r="AO514" i="5" s="1"/>
  <c r="AE460" i="5"/>
  <c r="AD460" i="5"/>
  <c r="AF460" i="5" s="1"/>
  <c r="AM460" i="5"/>
  <c r="AN460" i="5" s="1"/>
  <c r="AO460" i="5" s="1"/>
  <c r="AK471" i="5"/>
  <c r="AD445" i="5"/>
  <c r="AF445" i="5" s="1"/>
  <c r="AE445" i="5"/>
  <c r="AM535" i="5"/>
  <c r="AN535" i="5" s="1"/>
  <c r="AO535" i="5" s="1"/>
  <c r="AE535" i="5"/>
  <c r="AD535" i="5"/>
  <c r="AF535" i="5" s="1"/>
  <c r="Q412" i="5"/>
  <c r="P412" i="5" s="1"/>
  <c r="Q404" i="5"/>
  <c r="Q413" i="5"/>
  <c r="Q405" i="5"/>
  <c r="P405" i="5" s="1"/>
  <c r="P404" i="5"/>
  <c r="Q406" i="5"/>
  <c r="P406" i="5" s="1"/>
  <c r="Q411" i="5"/>
  <c r="P411" i="5" s="1"/>
  <c r="Q409" i="5"/>
  <c r="P409" i="5" s="1"/>
  <c r="Q410" i="5"/>
  <c r="P410" i="5" s="1"/>
  <c r="Q407" i="5"/>
  <c r="P407" i="5" s="1"/>
  <c r="Q408" i="5"/>
  <c r="P408" i="5" s="1"/>
  <c r="Q426" i="5"/>
  <c r="P426" i="5"/>
  <c r="S426" i="5"/>
  <c r="Q427" i="5"/>
  <c r="P427" i="5" s="1"/>
  <c r="Z427" i="5"/>
  <c r="AA427" i="5" s="1"/>
  <c r="Y427" i="5"/>
  <c r="Q399" i="5"/>
  <c r="P399" i="5" s="1"/>
  <c r="Z375" i="5"/>
  <c r="AA375" i="5" s="1"/>
  <c r="Y375" i="5"/>
  <c r="AG361" i="5"/>
  <c r="AI361" i="5"/>
  <c r="AH361" i="5"/>
  <c r="AC361" i="5"/>
  <c r="P349" i="5"/>
  <c r="Y376" i="5"/>
  <c r="Z376" i="5"/>
  <c r="AA376" i="5" s="1"/>
  <c r="P266" i="5"/>
  <c r="S266" i="5"/>
  <c r="Q350" i="5"/>
  <c r="P350" i="5" s="1"/>
  <c r="Q353" i="5"/>
  <c r="P353" i="5" s="1"/>
  <c r="P268" i="5"/>
  <c r="Q270" i="5"/>
  <c r="P270" i="5" s="1"/>
  <c r="Q227" i="5"/>
  <c r="P227" i="5" s="1"/>
  <c r="Q226" i="5"/>
  <c r="P221" i="5"/>
  <c r="Q228" i="5"/>
  <c r="P228" i="5" s="1"/>
  <c r="Q229" i="5"/>
  <c r="P229" i="5" s="1"/>
  <c r="Q225" i="5"/>
  <c r="P225" i="5" s="1"/>
  <c r="Q222" i="5"/>
  <c r="P222" i="5" s="1"/>
  <c r="Q221" i="5"/>
  <c r="Q224" i="5"/>
  <c r="P224" i="5" s="1"/>
  <c r="Q223" i="5"/>
  <c r="P223" i="5" s="1"/>
  <c r="Q205" i="5"/>
  <c r="P205" i="5" s="1"/>
  <c r="Q206" i="5"/>
  <c r="P206" i="5" s="1"/>
  <c r="Q199" i="5"/>
  <c r="P199" i="5" s="1"/>
  <c r="Q204" i="5"/>
  <c r="P204" i="5" s="1"/>
  <c r="Q202" i="5"/>
  <c r="P202" i="5" s="1"/>
  <c r="Q203" i="5"/>
  <c r="P203" i="5" s="1"/>
  <c r="Q201" i="5"/>
  <c r="P201" i="5" s="1"/>
  <c r="Q207" i="5"/>
  <c r="P207" i="5" s="1"/>
  <c r="Q200" i="5"/>
  <c r="P200" i="5" s="1"/>
  <c r="Q327" i="5"/>
  <c r="Q319" i="5"/>
  <c r="P319" i="5" s="1"/>
  <c r="Q314" i="5"/>
  <c r="P314" i="5" s="1"/>
  <c r="Q323" i="5"/>
  <c r="P323" i="5" s="1"/>
  <c r="Q320" i="5"/>
  <c r="P320" i="5" s="1"/>
  <c r="Q316" i="5"/>
  <c r="P316" i="5" s="1"/>
  <c r="Q313" i="5"/>
  <c r="P313" i="5" s="1"/>
  <c r="Q325" i="5"/>
  <c r="P325" i="5" s="1"/>
  <c r="Q318" i="5"/>
  <c r="P318" i="5" s="1"/>
  <c r="Q322" i="5"/>
  <c r="P322" i="5" s="1"/>
  <c r="Q324" i="5"/>
  <c r="P324" i="5" s="1"/>
  <c r="Q321" i="5"/>
  <c r="Q317" i="5"/>
  <c r="Q326" i="5"/>
  <c r="P326" i="5" s="1"/>
  <c r="Q315" i="5"/>
  <c r="P315" i="5" s="1"/>
  <c r="Q197" i="5"/>
  <c r="P197" i="5"/>
  <c r="S197" i="5"/>
  <c r="Q198" i="5"/>
  <c r="P198" i="5" s="1"/>
  <c r="S131" i="5"/>
  <c r="Q130" i="5"/>
  <c r="P78" i="5"/>
  <c r="Q166" i="5"/>
  <c r="P166" i="5" s="1"/>
  <c r="P114" i="5"/>
  <c r="P16" i="5"/>
  <c r="Y22" i="5"/>
  <c r="Z22" i="5"/>
  <c r="AA22" i="5" s="1"/>
  <c r="H16" i="1"/>
  <c r="N5" i="2"/>
  <c r="I16" i="1" s="1"/>
  <c r="Q108" i="7"/>
  <c r="P108" i="7" s="1"/>
  <c r="S108" i="7" s="1"/>
  <c r="AE644" i="5"/>
  <c r="AD644" i="5"/>
  <c r="AF644" i="5" s="1"/>
  <c r="AM644" i="5"/>
  <c r="AN644" i="5" s="1"/>
  <c r="AO644" i="5" s="1"/>
  <c r="Q14" i="7"/>
  <c r="P14" i="7" s="1"/>
  <c r="S14" i="7" s="1"/>
  <c r="AD645" i="5"/>
  <c r="AF645" i="5" s="1"/>
  <c r="AE645" i="5"/>
  <c r="AM645" i="5"/>
  <c r="AN645" i="5" s="1"/>
  <c r="AO645" i="5" s="1"/>
  <c r="AE631" i="5"/>
  <c r="AD631" i="5"/>
  <c r="AF631" i="5" s="1"/>
  <c r="AK640" i="5"/>
  <c r="AM640" i="5" s="1"/>
  <c r="AN640" i="5" s="1"/>
  <c r="AO640" i="5" s="1"/>
  <c r="AD627" i="5"/>
  <c r="AF627" i="5" s="1"/>
  <c r="AE627" i="5"/>
  <c r="AM627" i="5"/>
  <c r="AN627" i="5" s="1"/>
  <c r="AO627" i="5" s="1"/>
  <c r="AE585" i="5"/>
  <c r="AD585" i="5"/>
  <c r="AF585" i="5" s="1"/>
  <c r="AM585" i="5"/>
  <c r="AN585" i="5" s="1"/>
  <c r="AO585" i="5" s="1"/>
  <c r="AD588" i="5"/>
  <c r="AF588" i="5" s="1"/>
  <c r="AE588" i="5"/>
  <c r="AM628" i="5"/>
  <c r="AN628" i="5" s="1"/>
  <c r="AO628" i="5" s="1"/>
  <c r="AE628" i="5"/>
  <c r="AD628" i="5"/>
  <c r="AF628" i="5" s="1"/>
  <c r="AK563" i="5"/>
  <c r="AM563" i="5" s="1"/>
  <c r="AN563" i="5" s="1"/>
  <c r="AO563" i="5" s="1"/>
  <c r="AM559" i="5"/>
  <c r="AN559" i="5" s="1"/>
  <c r="AO559" i="5" s="1"/>
  <c r="AE559" i="5"/>
  <c r="AD559" i="5"/>
  <c r="AF559" i="5" s="1"/>
  <c r="AM530" i="5"/>
  <c r="AN530" i="5" s="1"/>
  <c r="AO530" i="5" s="1"/>
  <c r="AE530" i="5"/>
  <c r="AD530" i="5"/>
  <c r="AF530" i="5" s="1"/>
  <c r="AD566" i="5"/>
  <c r="AF566" i="5" s="1"/>
  <c r="AE566" i="5"/>
  <c r="AM566" i="5"/>
  <c r="AN566" i="5" s="1"/>
  <c r="AO566" i="5" s="1"/>
  <c r="AE580" i="5"/>
  <c r="AD580" i="5"/>
  <c r="AF580" i="5" s="1"/>
  <c r="AE524" i="5"/>
  <c r="AD524" i="5"/>
  <c r="AF524" i="5" s="1"/>
  <c r="AM524" i="5"/>
  <c r="AN524" i="5" s="1"/>
  <c r="AO524" i="5" s="1"/>
  <c r="AM479" i="5"/>
  <c r="AN479" i="5" s="1"/>
  <c r="AO479" i="5" s="1"/>
  <c r="AE479" i="5"/>
  <c r="AD479" i="5"/>
  <c r="AF479" i="5" s="1"/>
  <c r="AK567" i="5"/>
  <c r="AK474" i="5"/>
  <c r="AM474" i="5" s="1"/>
  <c r="AN474" i="5" s="1"/>
  <c r="AO474" i="5" s="1"/>
  <c r="AK435" i="5"/>
  <c r="AM435" i="5" s="1"/>
  <c r="AN435" i="5" s="1"/>
  <c r="AO435" i="5" s="1"/>
  <c r="AK473" i="5"/>
  <c r="AE450" i="5"/>
  <c r="AD450" i="5"/>
  <c r="AF450" i="5" s="1"/>
  <c r="AM450" i="5"/>
  <c r="AN450" i="5" s="1"/>
  <c r="AO450" i="5" s="1"/>
  <c r="AK526" i="5"/>
  <c r="AK460" i="5"/>
  <c r="AK551" i="5"/>
  <c r="AK519" i="5"/>
  <c r="AM519" i="5" s="1"/>
  <c r="AN519" i="5" s="1"/>
  <c r="AO519" i="5" s="1"/>
  <c r="AM447" i="5"/>
  <c r="AN447" i="5" s="1"/>
  <c r="AO447" i="5" s="1"/>
  <c r="AD447" i="5"/>
  <c r="AF447" i="5" s="1"/>
  <c r="AE447" i="5"/>
  <c r="R374" i="5"/>
  <c r="AK523" i="5"/>
  <c r="AE463" i="5"/>
  <c r="AD463" i="5"/>
  <c r="AF463" i="5" s="1"/>
  <c r="AK453" i="5"/>
  <c r="Q395" i="5"/>
  <c r="P395" i="5" s="1"/>
  <c r="Q340" i="5"/>
  <c r="P340" i="5" s="1"/>
  <c r="S340" i="5" s="1"/>
  <c r="P333" i="5"/>
  <c r="S333" i="5" s="1"/>
  <c r="Q330" i="5"/>
  <c r="P330" i="5" s="1"/>
  <c r="S330" i="5" s="1"/>
  <c r="Q332" i="5"/>
  <c r="P332" i="5" s="1"/>
  <c r="S332" i="5" s="1"/>
  <c r="Q331" i="5"/>
  <c r="P331" i="5" s="1"/>
  <c r="Q280" i="5"/>
  <c r="P280" i="5" s="1"/>
  <c r="R346" i="5"/>
  <c r="R341" i="5"/>
  <c r="R338" i="5"/>
  <c r="R342" i="5"/>
  <c r="R340" i="5"/>
  <c r="R330" i="5"/>
  <c r="R345" i="5"/>
  <c r="R343" i="5"/>
  <c r="R337" i="5"/>
  <c r="R333" i="5"/>
  <c r="R335" i="5"/>
  <c r="Q359" i="5"/>
  <c r="P359" i="5" s="1"/>
  <c r="Q358" i="5"/>
  <c r="P358" i="5" s="1"/>
  <c r="P279" i="5"/>
  <c r="R331" i="5"/>
  <c r="Q276" i="5"/>
  <c r="P276" i="5" s="1"/>
  <c r="P190" i="5"/>
  <c r="AG250" i="5"/>
  <c r="AH250" i="5"/>
  <c r="AC250" i="5"/>
  <c r="AI250" i="5"/>
  <c r="P48" i="5"/>
  <c r="P107" i="5"/>
  <c r="P91" i="5"/>
  <c r="S91" i="5" s="1"/>
  <c r="R158" i="5"/>
  <c r="AE119" i="5"/>
  <c r="AD119" i="5"/>
  <c r="AF119" i="5" s="1"/>
  <c r="Q193" i="5"/>
  <c r="P193" i="5" s="1"/>
  <c r="Z175" i="5"/>
  <c r="AA175" i="5" s="1"/>
  <c r="Y175" i="5"/>
  <c r="Z88" i="5"/>
  <c r="AA88" i="5" s="1"/>
  <c r="Y88" i="5"/>
  <c r="H17" i="1"/>
  <c r="N6" i="2"/>
  <c r="I17" i="1" s="1"/>
  <c r="S155" i="9"/>
  <c r="R155" i="9"/>
  <c r="R144" i="9"/>
  <c r="P125" i="7"/>
  <c r="S125" i="7" s="1"/>
  <c r="Q152" i="7"/>
  <c r="P152" i="7" s="1"/>
  <c r="S152" i="7" s="1"/>
  <c r="Q144" i="7"/>
  <c r="P144" i="7" s="1"/>
  <c r="S144" i="7" s="1"/>
  <c r="R87" i="9"/>
  <c r="P15" i="9"/>
  <c r="Q66" i="7"/>
  <c r="P66" i="7" s="1"/>
  <c r="S66" i="7" s="1"/>
  <c r="Q148" i="7"/>
  <c r="Q5" i="7"/>
  <c r="P5" i="7" s="1"/>
  <c r="S5" i="7" s="1"/>
  <c r="Q8" i="7"/>
  <c r="P8" i="7" s="1"/>
  <c r="S8" i="7" s="1"/>
  <c r="Q4" i="7"/>
  <c r="P4" i="7" s="1"/>
  <c r="S4" i="7" s="1"/>
  <c r="Q9" i="7"/>
  <c r="P9" i="7" s="1"/>
  <c r="Q6" i="7"/>
  <c r="P6" i="7" s="1"/>
  <c r="Q10" i="7"/>
  <c r="P10" i="7" s="1"/>
  <c r="Q2" i="7"/>
  <c r="Q7" i="7"/>
  <c r="P7" i="7" s="1"/>
  <c r="S7" i="7" s="1"/>
  <c r="P2" i="7"/>
  <c r="S2" i="7" s="1"/>
  <c r="Q3" i="7"/>
  <c r="P3" i="7" s="1"/>
  <c r="S3" i="7" s="1"/>
  <c r="AM643" i="5"/>
  <c r="AN643" i="5" s="1"/>
  <c r="AO643" i="5" s="1"/>
  <c r="AE643" i="5"/>
  <c r="AD643" i="5"/>
  <c r="AF643" i="5" s="1"/>
  <c r="AD606" i="5"/>
  <c r="AF606" i="5" s="1"/>
  <c r="AE606" i="5"/>
  <c r="AM606" i="5"/>
  <c r="AN606" i="5" s="1"/>
  <c r="AO606" i="5" s="1"/>
  <c r="AK513" i="5"/>
  <c r="AM513" i="5" s="1"/>
  <c r="AN513" i="5" s="1"/>
  <c r="AO513" i="5" s="1"/>
  <c r="AE495" i="5"/>
  <c r="AD495" i="5"/>
  <c r="AF495" i="5" s="1"/>
  <c r="AM495" i="5"/>
  <c r="AN495" i="5" s="1"/>
  <c r="AO495" i="5" s="1"/>
  <c r="AD455" i="5"/>
  <c r="AF455" i="5" s="1"/>
  <c r="AM455" i="5"/>
  <c r="AN455" i="5" s="1"/>
  <c r="AO455" i="5" s="1"/>
  <c r="AE455" i="5"/>
  <c r="AG434" i="5"/>
  <c r="AH434" i="5"/>
  <c r="AC434" i="5"/>
  <c r="AI434" i="5"/>
  <c r="AM466" i="5"/>
  <c r="AN466" i="5" s="1"/>
  <c r="AO466" i="5" s="1"/>
  <c r="AE466" i="5"/>
  <c r="AD466" i="5"/>
  <c r="AF466" i="5" s="1"/>
  <c r="AK450" i="5"/>
  <c r="AE556" i="5"/>
  <c r="AD556" i="5"/>
  <c r="AF556" i="5" s="1"/>
  <c r="AD483" i="5"/>
  <c r="AF483" i="5" s="1"/>
  <c r="AE483" i="5"/>
  <c r="AM551" i="5"/>
  <c r="AN551" i="5" s="1"/>
  <c r="AO551" i="5" s="1"/>
  <c r="AE551" i="5"/>
  <c r="AD551" i="5"/>
  <c r="AF551" i="5" s="1"/>
  <c r="AK469" i="5"/>
  <c r="AM469" i="5" s="1"/>
  <c r="AN469" i="5" s="1"/>
  <c r="AO469" i="5" s="1"/>
  <c r="AM442" i="5"/>
  <c r="AN442" i="5" s="1"/>
  <c r="AO442" i="5" s="1"/>
  <c r="AE442" i="5"/>
  <c r="AD442" i="5"/>
  <c r="AF442" i="5" s="1"/>
  <c r="AD525" i="5"/>
  <c r="AF525" i="5" s="1"/>
  <c r="AE525" i="5"/>
  <c r="Q372" i="5"/>
  <c r="P372" i="5" s="1"/>
  <c r="S372" i="5" s="1"/>
  <c r="Q364" i="5"/>
  <c r="P364" i="5" s="1"/>
  <c r="S364" i="5" s="1"/>
  <c r="Q373" i="5"/>
  <c r="P373" i="5" s="1"/>
  <c r="S373" i="5" s="1"/>
  <c r="Q365" i="5"/>
  <c r="P365" i="5" s="1"/>
  <c r="S365" i="5" s="1"/>
  <c r="Q371" i="5"/>
  <c r="P371" i="5" s="1"/>
  <c r="S371" i="5" s="1"/>
  <c r="Q374" i="5"/>
  <c r="P374" i="5" s="1"/>
  <c r="Q370" i="5"/>
  <c r="Q367" i="5"/>
  <c r="P367" i="5" s="1"/>
  <c r="S367" i="5" s="1"/>
  <c r="Q369" i="5"/>
  <c r="P369" i="5" s="1"/>
  <c r="Q366" i="5"/>
  <c r="P366" i="5" s="1"/>
  <c r="Q363" i="5"/>
  <c r="P363" i="5" s="1"/>
  <c r="S363" i="5" s="1"/>
  <c r="Q368" i="5"/>
  <c r="P368" i="5" s="1"/>
  <c r="S368" i="5" s="1"/>
  <c r="Q362" i="5"/>
  <c r="P362" i="5" s="1"/>
  <c r="S362" i="5" s="1"/>
  <c r="P386" i="5"/>
  <c r="AK463" i="5"/>
  <c r="AM463" i="5" s="1"/>
  <c r="AN463" i="5" s="1"/>
  <c r="AO463" i="5" s="1"/>
  <c r="AK446" i="5"/>
  <c r="AD453" i="5"/>
  <c r="AF453" i="5" s="1"/>
  <c r="AM453" i="5"/>
  <c r="AN453" i="5" s="1"/>
  <c r="AO453" i="5" s="1"/>
  <c r="AE453" i="5"/>
  <c r="Q398" i="5"/>
  <c r="P398" i="5" s="1"/>
  <c r="P317" i="5"/>
  <c r="Q334" i="5"/>
  <c r="P334" i="5" s="1"/>
  <c r="S334" i="5" s="1"/>
  <c r="Q258" i="5"/>
  <c r="P258" i="5" s="1"/>
  <c r="S257" i="5"/>
  <c r="Q257" i="5"/>
  <c r="P257" i="5"/>
  <c r="Q303" i="5"/>
  <c r="P303" i="5" s="1"/>
  <c r="S303" i="5" s="1"/>
  <c r="Q310" i="5"/>
  <c r="P310" i="5" s="1"/>
  <c r="Q299" i="5"/>
  <c r="P299" i="5" s="1"/>
  <c r="S299" i="5" s="1"/>
  <c r="Q296" i="5"/>
  <c r="P296" i="5"/>
  <c r="Q309" i="5"/>
  <c r="P309" i="5" s="1"/>
  <c r="S309" i="5" s="1"/>
  <c r="Q302" i="5"/>
  <c r="P302" i="5" s="1"/>
  <c r="S302" i="5" s="1"/>
  <c r="Q307" i="5"/>
  <c r="P307" i="5" s="1"/>
  <c r="S307" i="5" s="1"/>
  <c r="Q304" i="5"/>
  <c r="P304" i="5" s="1"/>
  <c r="S304" i="5" s="1"/>
  <c r="Q297" i="5"/>
  <c r="P297" i="5" s="1"/>
  <c r="S297" i="5" s="1"/>
  <c r="Q308" i="5"/>
  <c r="P308" i="5" s="1"/>
  <c r="S308" i="5" s="1"/>
  <c r="Q301" i="5"/>
  <c r="Q298" i="5"/>
  <c r="P298" i="5" s="1"/>
  <c r="Q306" i="5"/>
  <c r="P306" i="5" s="1"/>
  <c r="S306" i="5" s="1"/>
  <c r="Q300" i="5"/>
  <c r="P300" i="5" s="1"/>
  <c r="S300" i="5" s="1"/>
  <c r="Q305" i="5"/>
  <c r="P305" i="5" s="1"/>
  <c r="S305" i="5" s="1"/>
  <c r="Q349" i="5"/>
  <c r="Q357" i="5"/>
  <c r="P357" i="5" s="1"/>
  <c r="AC311" i="5"/>
  <c r="AI311" i="5"/>
  <c r="AH311" i="5"/>
  <c r="AG311" i="5"/>
  <c r="AK311" i="5" s="1"/>
  <c r="Q278" i="5"/>
  <c r="P278" i="5" s="1"/>
  <c r="P253" i="5"/>
  <c r="S258" i="5"/>
  <c r="P226" i="5"/>
  <c r="Y231" i="5"/>
  <c r="Z231" i="5"/>
  <c r="AA231" i="5" s="1"/>
  <c r="Q143" i="5"/>
  <c r="P143" i="5" s="1"/>
  <c r="P142" i="5"/>
  <c r="Q142" i="5"/>
  <c r="S142" i="5"/>
  <c r="S220" i="5"/>
  <c r="S169" i="5"/>
  <c r="P169" i="5"/>
  <c r="P151" i="5"/>
  <c r="P40" i="5"/>
  <c r="Q40" i="5"/>
  <c r="S40" i="5"/>
  <c r="AG103" i="5"/>
  <c r="AI103" i="5"/>
  <c r="AH103" i="5"/>
  <c r="AC103" i="5"/>
  <c r="Z161" i="5"/>
  <c r="AA161" i="5" s="1"/>
  <c r="Y161" i="5"/>
  <c r="P102" i="5"/>
  <c r="Q195" i="5"/>
  <c r="P195" i="5" s="1"/>
  <c r="Q83" i="5"/>
  <c r="Q75" i="5"/>
  <c r="Q84" i="5"/>
  <c r="P84" i="5" s="1"/>
  <c r="Q76" i="5"/>
  <c r="P76" i="5" s="1"/>
  <c r="P75" i="5"/>
  <c r="Q85" i="5"/>
  <c r="P85" i="5" s="1"/>
  <c r="Q81" i="5"/>
  <c r="P81" i="5" s="1"/>
  <c r="Q86" i="5"/>
  <c r="Q78" i="5"/>
  <c r="Q87" i="5"/>
  <c r="P87" i="5" s="1"/>
  <c r="Q79" i="5"/>
  <c r="P79" i="5" s="1"/>
  <c r="Q82" i="5"/>
  <c r="P82" i="5" s="1"/>
  <c r="Q80" i="5"/>
  <c r="P80" i="5" s="1"/>
  <c r="Q77" i="5"/>
  <c r="P77" i="5" s="1"/>
  <c r="Q39" i="5"/>
  <c r="S57" i="5"/>
  <c r="Q56" i="5"/>
  <c r="P36" i="5"/>
  <c r="Q51" i="5"/>
  <c r="P51" i="5" s="1"/>
  <c r="Q43" i="5"/>
  <c r="P43" i="5" s="1"/>
  <c r="Q49" i="5"/>
  <c r="P49" i="5" s="1"/>
  <c r="Q41" i="5"/>
  <c r="Q47" i="5"/>
  <c r="P47" i="5" s="1"/>
  <c r="Q50" i="5"/>
  <c r="P50" i="5" s="1"/>
  <c r="Q46" i="5"/>
  <c r="P46" i="5" s="1"/>
  <c r="Q45" i="5"/>
  <c r="P45" i="5" s="1"/>
  <c r="Q44" i="5"/>
  <c r="P44" i="5" s="1"/>
  <c r="Q42" i="5"/>
  <c r="P42" i="5" s="1"/>
  <c r="Q55" i="5"/>
  <c r="P55" i="5" s="1"/>
  <c r="Q53" i="5"/>
  <c r="P53" i="5" s="1"/>
  <c r="Q54" i="5"/>
  <c r="P54" i="5" s="1"/>
  <c r="Q52" i="5"/>
  <c r="P52" i="5" s="1"/>
  <c r="Q48" i="5"/>
  <c r="P41" i="5"/>
  <c r="P95" i="9"/>
  <c r="S95" i="9" s="1"/>
  <c r="P107" i="8"/>
  <c r="S107" i="8" s="1"/>
  <c r="X107" i="8" s="1"/>
  <c r="R113" i="7"/>
  <c r="R105" i="7"/>
  <c r="R114" i="7"/>
  <c r="R106" i="7"/>
  <c r="R115" i="7"/>
  <c r="R107" i="7"/>
  <c r="R112" i="7"/>
  <c r="R117" i="7"/>
  <c r="R109" i="7"/>
  <c r="R111" i="7"/>
  <c r="S118" i="7"/>
  <c r="R116" i="7"/>
  <c r="R118" i="7"/>
  <c r="R110" i="7"/>
  <c r="R108" i="7"/>
  <c r="P140" i="9"/>
  <c r="S140" i="9" s="1"/>
  <c r="P36" i="9"/>
  <c r="S36" i="9" s="1"/>
  <c r="Q117" i="7"/>
  <c r="P117" i="7" s="1"/>
  <c r="P33" i="7"/>
  <c r="P82" i="9"/>
  <c r="S82" i="9" s="1"/>
  <c r="Q99" i="8"/>
  <c r="P99" i="8" s="1"/>
  <c r="Q149" i="7"/>
  <c r="P149" i="7" s="1"/>
  <c r="S149" i="7" s="1"/>
  <c r="P45" i="9"/>
  <c r="S45" i="9" s="1"/>
  <c r="P45" i="7"/>
  <c r="S45" i="7" s="1"/>
  <c r="R119" i="7"/>
  <c r="S119" i="7"/>
  <c r="Q46" i="7"/>
  <c r="P46" i="7" s="1"/>
  <c r="S46" i="7" s="1"/>
  <c r="AD639" i="5"/>
  <c r="AF639" i="5" s="1"/>
  <c r="AE639" i="5"/>
  <c r="AK603" i="5"/>
  <c r="AM603" i="5" s="1"/>
  <c r="AN603" i="5" s="1"/>
  <c r="AO603" i="5" s="1"/>
  <c r="AE630" i="5"/>
  <c r="AD630" i="5"/>
  <c r="AF630" i="5" s="1"/>
  <c r="AM630" i="5"/>
  <c r="AN630" i="5" s="1"/>
  <c r="AO630" i="5" s="1"/>
  <c r="AK638" i="5"/>
  <c r="AM638" i="5" s="1"/>
  <c r="AN638" i="5" s="1"/>
  <c r="AO638" i="5" s="1"/>
  <c r="AD537" i="5"/>
  <c r="AF537" i="5" s="1"/>
  <c r="AM537" i="5"/>
  <c r="AN537" i="5" s="1"/>
  <c r="AO537" i="5" s="1"/>
  <c r="AE537" i="5"/>
  <c r="AE605" i="5"/>
  <c r="AD605" i="5"/>
  <c r="AF605" i="5" s="1"/>
  <c r="AM605" i="5"/>
  <c r="AN605" i="5" s="1"/>
  <c r="AO605" i="5" s="1"/>
  <c r="AK559" i="5"/>
  <c r="AE612" i="5"/>
  <c r="AD612" i="5"/>
  <c r="AF612" i="5" s="1"/>
  <c r="AE557" i="5"/>
  <c r="AM557" i="5"/>
  <c r="AN557" i="5" s="1"/>
  <c r="AO557" i="5" s="1"/>
  <c r="AD557" i="5"/>
  <c r="AF557" i="5" s="1"/>
  <c r="AM470" i="5"/>
  <c r="AN470" i="5" s="1"/>
  <c r="AO470" i="5" s="1"/>
  <c r="AD470" i="5"/>
  <c r="AF470" i="5" s="1"/>
  <c r="AE470" i="5"/>
  <c r="AD558" i="5"/>
  <c r="AF558" i="5" s="1"/>
  <c r="AE558" i="5"/>
  <c r="AM564" i="5"/>
  <c r="AN564" i="5" s="1"/>
  <c r="AO564" i="5" s="1"/>
  <c r="AE564" i="5"/>
  <c r="AD564" i="5"/>
  <c r="AF564" i="5" s="1"/>
  <c r="AM560" i="5"/>
  <c r="AN560" i="5" s="1"/>
  <c r="AO560" i="5" s="1"/>
  <c r="AE560" i="5"/>
  <c r="AD560" i="5"/>
  <c r="AF560" i="5" s="1"/>
  <c r="AM592" i="5"/>
  <c r="AN592" i="5" s="1"/>
  <c r="AO592" i="5" s="1"/>
  <c r="AD592" i="5"/>
  <c r="AF592" i="5" s="1"/>
  <c r="AE592" i="5"/>
  <c r="AE475" i="5"/>
  <c r="AM475" i="5"/>
  <c r="AN475" i="5" s="1"/>
  <c r="AO475" i="5" s="1"/>
  <c r="AD475" i="5"/>
  <c r="AF475" i="5" s="1"/>
  <c r="AM567" i="5"/>
  <c r="AN567" i="5" s="1"/>
  <c r="AO567" i="5" s="1"/>
  <c r="AE567" i="5"/>
  <c r="AD567" i="5"/>
  <c r="AF567" i="5" s="1"/>
  <c r="AK549" i="5"/>
  <c r="S42" i="12"/>
  <c r="Q135" i="9"/>
  <c r="P135" i="9" s="1"/>
  <c r="S135" i="9" s="1"/>
  <c r="S14" i="11"/>
  <c r="S24" i="11"/>
  <c r="R145" i="9"/>
  <c r="R150" i="9"/>
  <c r="P147" i="9"/>
  <c r="S147" i="9" s="1"/>
  <c r="Q145" i="9"/>
  <c r="P145" i="9" s="1"/>
  <c r="S145" i="9" s="1"/>
  <c r="P83" i="9"/>
  <c r="S83" i="9" s="1"/>
  <c r="P43" i="9"/>
  <c r="S43" i="9" s="1"/>
  <c r="P9" i="9"/>
  <c r="R77" i="9"/>
  <c r="P71" i="9"/>
  <c r="S71" i="9" s="1"/>
  <c r="Q52" i="9"/>
  <c r="P52" i="9" s="1"/>
  <c r="S52" i="9" s="1"/>
  <c r="Q41" i="9"/>
  <c r="P41" i="9" s="1"/>
  <c r="S41" i="9" s="1"/>
  <c r="R45" i="8"/>
  <c r="S45" i="8" s="1"/>
  <c r="X45" i="8" s="1"/>
  <c r="P53" i="8"/>
  <c r="S53" i="8" s="1"/>
  <c r="X53" i="8" s="1"/>
  <c r="Q101" i="8"/>
  <c r="P101" i="8" s="1"/>
  <c r="S101" i="8" s="1"/>
  <c r="X101" i="8" s="1"/>
  <c r="S40" i="8"/>
  <c r="X40" i="8" s="1"/>
  <c r="R99" i="7"/>
  <c r="R91" i="7"/>
  <c r="R100" i="7"/>
  <c r="R92" i="7"/>
  <c r="R101" i="7"/>
  <c r="R93" i="7"/>
  <c r="R98" i="7"/>
  <c r="R90" i="7"/>
  <c r="S103" i="7"/>
  <c r="R103" i="7"/>
  <c r="R95" i="7"/>
  <c r="R97" i="7"/>
  <c r="R102" i="7"/>
  <c r="R96" i="7"/>
  <c r="R94" i="7"/>
  <c r="R35" i="7"/>
  <c r="R27" i="7"/>
  <c r="R36" i="7"/>
  <c r="R28" i="7"/>
  <c r="R34" i="7"/>
  <c r="R26" i="7"/>
  <c r="R37" i="7"/>
  <c r="R32" i="7"/>
  <c r="R30" i="7"/>
  <c r="R25" i="7"/>
  <c r="R38" i="7"/>
  <c r="R33" i="7"/>
  <c r="R31" i="7"/>
  <c r="S39" i="7"/>
  <c r="R29" i="7"/>
  <c r="R24" i="7"/>
  <c r="R39" i="7"/>
  <c r="Q47" i="7"/>
  <c r="Q17" i="7"/>
  <c r="P17" i="7" s="1"/>
  <c r="S17" i="7" s="1"/>
  <c r="P134" i="7"/>
  <c r="Q61" i="7"/>
  <c r="P61" i="7" s="1"/>
  <c r="S61" i="7" s="1"/>
  <c r="Q105" i="7"/>
  <c r="P105" i="7" s="1"/>
  <c r="S105" i="7" s="1"/>
  <c r="R142" i="7"/>
  <c r="R135" i="7"/>
  <c r="R136" i="7"/>
  <c r="R137" i="7"/>
  <c r="S142" i="7"/>
  <c r="R134" i="7"/>
  <c r="R141" i="7"/>
  <c r="R140" i="7"/>
  <c r="R133" i="7"/>
  <c r="R138" i="7"/>
  <c r="R132" i="7"/>
  <c r="R139" i="7"/>
  <c r="Q51" i="7"/>
  <c r="P51" i="7" s="1"/>
  <c r="S51" i="7" s="1"/>
  <c r="AK639" i="5"/>
  <c r="AM639" i="5" s="1"/>
  <c r="AN639" i="5" s="1"/>
  <c r="AO639" i="5" s="1"/>
  <c r="R69" i="7"/>
  <c r="AK631" i="5"/>
  <c r="AM631" i="5" s="1"/>
  <c r="AN631" i="5" s="1"/>
  <c r="AO631" i="5" s="1"/>
  <c r="AK609" i="5"/>
  <c r="AM609" i="5" s="1"/>
  <c r="AN609" i="5" s="1"/>
  <c r="AO609" i="5" s="1"/>
  <c r="AE589" i="5"/>
  <c r="AD589" i="5"/>
  <c r="AF589" i="5" s="1"/>
  <c r="AM589" i="5"/>
  <c r="AN589" i="5" s="1"/>
  <c r="AO589" i="5" s="1"/>
  <c r="AE505" i="5"/>
  <c r="AD505" i="5"/>
  <c r="AF505" i="5" s="1"/>
  <c r="AM505" i="5"/>
  <c r="AN505" i="5" s="1"/>
  <c r="AO505" i="5" s="1"/>
  <c r="AK588" i="5"/>
  <c r="AM588" i="5" s="1"/>
  <c r="AN588" i="5" s="1"/>
  <c r="AO588" i="5" s="1"/>
  <c r="AK579" i="5"/>
  <c r="AM579" i="5" s="1"/>
  <c r="AN579" i="5" s="1"/>
  <c r="AO579" i="5" s="1"/>
  <c r="AK612" i="5"/>
  <c r="AM612" i="5" s="1"/>
  <c r="AN612" i="5" s="1"/>
  <c r="AO612" i="5" s="1"/>
  <c r="AK590" i="5"/>
  <c r="AK557" i="5"/>
  <c r="AD497" i="5"/>
  <c r="AF497" i="5" s="1"/>
  <c r="AM497" i="5"/>
  <c r="AN497" i="5" s="1"/>
  <c r="AO497" i="5" s="1"/>
  <c r="AE497" i="5"/>
  <c r="AE468" i="5"/>
  <c r="AM468" i="5"/>
  <c r="AN468" i="5" s="1"/>
  <c r="AO468" i="5" s="1"/>
  <c r="AD468" i="5"/>
  <c r="AF468" i="5" s="1"/>
  <c r="AE520" i="5"/>
  <c r="AM520" i="5"/>
  <c r="AN520" i="5" s="1"/>
  <c r="AO520" i="5" s="1"/>
  <c r="AD520" i="5"/>
  <c r="AF520" i="5" s="1"/>
  <c r="AK562" i="5"/>
  <c r="AM562" i="5" s="1"/>
  <c r="AN562" i="5" s="1"/>
  <c r="AO562" i="5" s="1"/>
  <c r="AK558" i="5"/>
  <c r="AM558" i="5" s="1"/>
  <c r="AN558" i="5" s="1"/>
  <c r="AO558" i="5" s="1"/>
  <c r="AK580" i="5"/>
  <c r="AM580" i="5" s="1"/>
  <c r="AN580" i="5" s="1"/>
  <c r="AO580" i="5" s="1"/>
  <c r="AK464" i="5"/>
  <c r="AM464" i="5" s="1"/>
  <c r="AN464" i="5" s="1"/>
  <c r="AO464" i="5" s="1"/>
  <c r="AM465" i="5"/>
  <c r="AN465" i="5" s="1"/>
  <c r="AO465" i="5" s="1"/>
  <c r="AE465" i="5"/>
  <c r="AD465" i="5"/>
  <c r="AF465" i="5" s="1"/>
  <c r="AK542" i="5"/>
  <c r="AM542" i="5" s="1"/>
  <c r="AN542" i="5" s="1"/>
  <c r="AO542" i="5" s="1"/>
  <c r="AE549" i="5"/>
  <c r="AM549" i="5"/>
  <c r="AN549" i="5" s="1"/>
  <c r="AO549" i="5" s="1"/>
  <c r="AD549" i="5"/>
  <c r="AF549" i="5" s="1"/>
  <c r="AM502" i="5"/>
  <c r="AN502" i="5" s="1"/>
  <c r="AO502" i="5" s="1"/>
  <c r="AE502" i="5"/>
  <c r="AD502" i="5"/>
  <c r="AF502" i="5" s="1"/>
  <c r="AM486" i="5"/>
  <c r="AN486" i="5" s="1"/>
  <c r="AO486" i="5" s="1"/>
  <c r="AD486" i="5"/>
  <c r="AF486" i="5" s="1"/>
  <c r="AE486" i="5"/>
  <c r="AE458" i="5"/>
  <c r="AD458" i="5"/>
  <c r="AF458" i="5" s="1"/>
  <c r="AM458" i="5"/>
  <c r="AN458" i="5" s="1"/>
  <c r="AO458" i="5" s="1"/>
  <c r="AD491" i="5"/>
  <c r="AF491" i="5" s="1"/>
  <c r="AE491" i="5"/>
  <c r="AM491" i="5"/>
  <c r="AN491" i="5" s="1"/>
  <c r="AO491" i="5" s="1"/>
  <c r="AE448" i="5"/>
  <c r="AD448" i="5"/>
  <c r="AF448" i="5" s="1"/>
  <c r="AM448" i="5"/>
  <c r="AN448" i="5" s="1"/>
  <c r="AO448" i="5" s="1"/>
  <c r="AK556" i="5"/>
  <c r="AM556" i="5" s="1"/>
  <c r="AN556" i="5" s="1"/>
  <c r="AO556" i="5" s="1"/>
  <c r="AM526" i="5"/>
  <c r="AN526" i="5" s="1"/>
  <c r="AO526" i="5" s="1"/>
  <c r="AE526" i="5"/>
  <c r="AD526" i="5"/>
  <c r="AF526" i="5" s="1"/>
  <c r="AK483" i="5"/>
  <c r="AM483" i="5" s="1"/>
  <c r="AN483" i="5" s="1"/>
  <c r="AO483" i="5" s="1"/>
  <c r="AK550" i="5"/>
  <c r="AM531" i="5"/>
  <c r="AN531" i="5" s="1"/>
  <c r="AO531" i="5" s="1"/>
  <c r="AE531" i="5"/>
  <c r="AD531" i="5"/>
  <c r="AF531" i="5" s="1"/>
  <c r="AD553" i="5"/>
  <c r="AF553" i="5" s="1"/>
  <c r="AE553" i="5"/>
  <c r="AK442" i="5"/>
  <c r="AK525" i="5"/>
  <c r="AM525" i="5" s="1"/>
  <c r="AN525" i="5" s="1"/>
  <c r="AO525" i="5" s="1"/>
  <c r="P417" i="5"/>
  <c r="Q425" i="5"/>
  <c r="P425" i="5" s="1"/>
  <c r="Q422" i="5"/>
  <c r="P422" i="5" s="1"/>
  <c r="Q418" i="5"/>
  <c r="P418" i="5" s="1"/>
  <c r="Q416" i="5"/>
  <c r="P416" i="5" s="1"/>
  <c r="R373" i="5"/>
  <c r="AE523" i="5"/>
  <c r="AD523" i="5"/>
  <c r="AF523" i="5" s="1"/>
  <c r="AM523" i="5"/>
  <c r="AN523" i="5" s="1"/>
  <c r="AO523" i="5" s="1"/>
  <c r="AK445" i="5"/>
  <c r="AM445" i="5" s="1"/>
  <c r="AN445" i="5" s="1"/>
  <c r="AO445" i="5" s="1"/>
  <c r="AK459" i="5"/>
  <c r="AM459" i="5" s="1"/>
  <c r="AN459" i="5" s="1"/>
  <c r="AO459" i="5" s="1"/>
  <c r="AM446" i="5"/>
  <c r="AN446" i="5" s="1"/>
  <c r="AO446" i="5" s="1"/>
  <c r="AD446" i="5"/>
  <c r="AF446" i="5" s="1"/>
  <c r="AE446" i="5"/>
  <c r="Q393" i="5"/>
  <c r="P393" i="5" s="1"/>
  <c r="Q397" i="5"/>
  <c r="P397" i="5" s="1"/>
  <c r="P301" i="5"/>
  <c r="S301" i="5" s="1"/>
  <c r="R372" i="5"/>
  <c r="Q335" i="5"/>
  <c r="P335" i="5" s="1"/>
  <c r="S335" i="5" s="1"/>
  <c r="Z329" i="5"/>
  <c r="AA329" i="5" s="1"/>
  <c r="Y329" i="5"/>
  <c r="Q242" i="5"/>
  <c r="S241" i="5"/>
  <c r="Q241" i="5"/>
  <c r="P241" i="5"/>
  <c r="R296" i="5"/>
  <c r="S284" i="5"/>
  <c r="Q284" i="5"/>
  <c r="P284" i="5" s="1"/>
  <c r="Q283" i="5"/>
  <c r="Q356" i="5"/>
  <c r="P356" i="5" s="1"/>
  <c r="Q282" i="5"/>
  <c r="P282" i="5" s="1"/>
  <c r="Q267" i="5"/>
  <c r="P267" i="5" s="1"/>
  <c r="R310" i="5"/>
  <c r="P242" i="5"/>
  <c r="S242" i="5"/>
  <c r="S186" i="5"/>
  <c r="Q186" i="5"/>
  <c r="Q187" i="5"/>
  <c r="P187" i="5" s="1"/>
  <c r="P186" i="5"/>
  <c r="Q220" i="5"/>
  <c r="R210" i="5" s="1"/>
  <c r="P214" i="5"/>
  <c r="P146" i="5"/>
  <c r="Q152" i="5"/>
  <c r="P152" i="5" s="1"/>
  <c r="P115" i="5"/>
  <c r="P32" i="5"/>
  <c r="Q140" i="5"/>
  <c r="P140" i="5" s="1"/>
  <c r="P110" i="5"/>
  <c r="Q165" i="5"/>
  <c r="P165" i="5" s="1"/>
  <c r="Y155" i="5"/>
  <c r="Z155" i="5"/>
  <c r="AA155" i="5" s="1"/>
  <c r="Q190" i="5"/>
  <c r="Z56" i="5"/>
  <c r="AA56" i="5" s="1"/>
  <c r="Y56" i="5"/>
  <c r="N7" i="2"/>
  <c r="I18" i="1" s="1"/>
  <c r="H18" i="1"/>
  <c r="R6" i="9"/>
  <c r="R7" i="9"/>
  <c r="R8" i="9"/>
  <c r="R11" i="9"/>
  <c r="R4" i="9"/>
  <c r="R3" i="9"/>
  <c r="R10" i="9"/>
  <c r="R5" i="9"/>
  <c r="S11" i="9"/>
  <c r="R2" i="9"/>
  <c r="R9" i="9"/>
  <c r="P64" i="9"/>
  <c r="S64" i="9" s="1"/>
  <c r="R34" i="9"/>
  <c r="R26" i="9"/>
  <c r="R35" i="9"/>
  <c r="R27" i="9"/>
  <c r="R36" i="9"/>
  <c r="R28" i="9"/>
  <c r="R39" i="9"/>
  <c r="R32" i="9"/>
  <c r="R24" i="9"/>
  <c r="R38" i="9"/>
  <c r="R30" i="9"/>
  <c r="R25" i="9"/>
  <c r="R33" i="9"/>
  <c r="R29" i="9"/>
  <c r="R37" i="9"/>
  <c r="R31" i="9"/>
  <c r="S39" i="9"/>
  <c r="P133" i="7"/>
  <c r="S156" i="9"/>
  <c r="Q71" i="7"/>
  <c r="P71" i="7" s="1"/>
  <c r="S71" i="7" s="1"/>
  <c r="P76" i="7"/>
  <c r="S76" i="7" s="1"/>
  <c r="S104" i="8"/>
  <c r="X104" i="8" s="1"/>
  <c r="R103" i="8"/>
  <c r="R102" i="8"/>
  <c r="R101" i="8"/>
  <c r="R104" i="8"/>
  <c r="R100" i="8"/>
  <c r="R98" i="8"/>
  <c r="R99" i="8"/>
  <c r="P25" i="9"/>
  <c r="P29" i="9"/>
  <c r="R78" i="9"/>
  <c r="P84" i="9"/>
  <c r="S84" i="9" s="1"/>
  <c r="Q68" i="7"/>
  <c r="P68" i="7" s="1"/>
  <c r="S68" i="7" s="1"/>
  <c r="R148" i="9"/>
  <c r="P61" i="9"/>
  <c r="S61" i="9" s="1"/>
  <c r="S71" i="8"/>
  <c r="X71" i="8" s="1"/>
  <c r="Q13" i="9"/>
  <c r="P13" i="9" s="1"/>
  <c r="Q100" i="8"/>
  <c r="P100" i="8" s="1"/>
  <c r="R12" i="9"/>
  <c r="S12" i="9"/>
  <c r="Q70" i="7"/>
  <c r="P70" i="7" s="1"/>
  <c r="S70" i="7" s="1"/>
  <c r="Q122" i="9"/>
  <c r="P122" i="9" s="1"/>
  <c r="S122" i="9" s="1"/>
  <c r="P158" i="9"/>
  <c r="S158" i="9" s="1"/>
  <c r="P33" i="9"/>
  <c r="P97" i="9"/>
  <c r="S97" i="9" s="1"/>
  <c r="Q160" i="9"/>
  <c r="P160" i="9" s="1"/>
  <c r="S160" i="9" s="1"/>
  <c r="P63" i="9"/>
  <c r="S63" i="9" s="1"/>
  <c r="Q120" i="9"/>
  <c r="P120" i="9" s="1"/>
  <c r="S120" i="9" s="1"/>
  <c r="P50" i="9"/>
  <c r="S50" i="9" s="1"/>
  <c r="Q54" i="9"/>
  <c r="P54" i="9" s="1"/>
  <c r="S54" i="9" s="1"/>
  <c r="Q49" i="9"/>
  <c r="P49" i="9" s="1"/>
  <c r="S49" i="9" s="1"/>
  <c r="P14" i="9"/>
  <c r="S14" i="9" s="1"/>
  <c r="P51" i="8"/>
  <c r="S51" i="8" s="1"/>
  <c r="X51" i="8" s="1"/>
  <c r="Q20" i="9"/>
  <c r="P20" i="9" s="1"/>
  <c r="R40" i="9"/>
  <c r="S40" i="9"/>
  <c r="Q57" i="8"/>
  <c r="P57" i="8" s="1"/>
  <c r="S57" i="8" s="1"/>
  <c r="X57" i="8" s="1"/>
  <c r="Q56" i="8"/>
  <c r="Q55" i="8"/>
  <c r="P55" i="8" s="1"/>
  <c r="S55" i="8" s="1"/>
  <c r="X55" i="8" s="1"/>
  <c r="Q54" i="8"/>
  <c r="P54" i="8" s="1"/>
  <c r="S54" i="8" s="1"/>
  <c r="X54" i="8" s="1"/>
  <c r="Q53" i="8"/>
  <c r="Q52" i="8"/>
  <c r="P52" i="8" s="1"/>
  <c r="S52" i="8" s="1"/>
  <c r="X52" i="8" s="1"/>
  <c r="Q51" i="8"/>
  <c r="Q50" i="8"/>
  <c r="Q49" i="8"/>
  <c r="P49" i="8"/>
  <c r="S49" i="8" s="1"/>
  <c r="X49" i="8" s="1"/>
  <c r="Q102" i="8"/>
  <c r="P102" i="8" s="1"/>
  <c r="S102" i="8" s="1"/>
  <c r="X102" i="8" s="1"/>
  <c r="P4" i="9"/>
  <c r="S4" i="9" s="1"/>
  <c r="P31" i="7"/>
  <c r="Q151" i="7"/>
  <c r="P151" i="7" s="1"/>
  <c r="S151" i="7" s="1"/>
  <c r="Q55" i="7"/>
  <c r="Q19" i="7"/>
  <c r="P19" i="7" s="1"/>
  <c r="S19" i="7" s="1"/>
  <c r="Q60" i="7"/>
  <c r="P60" i="7" s="1"/>
  <c r="S60" i="7" s="1"/>
  <c r="S31" i="8"/>
  <c r="X31" i="8" s="1"/>
  <c r="Q146" i="7"/>
  <c r="P146" i="7" s="1"/>
  <c r="S146" i="7" s="1"/>
  <c r="S162" i="7"/>
  <c r="R162" i="7"/>
  <c r="Q69" i="7"/>
  <c r="P69" i="7" s="1"/>
  <c r="S69" i="7" s="1"/>
  <c r="P47" i="7"/>
  <c r="S47" i="7" s="1"/>
  <c r="P111" i="7"/>
  <c r="S111" i="7" s="1"/>
  <c r="P148" i="7"/>
  <c r="S148" i="7" s="1"/>
  <c r="Q113" i="7"/>
  <c r="P113" i="7" s="1"/>
  <c r="Q84" i="7"/>
  <c r="P84" i="7" s="1"/>
  <c r="S84" i="7" s="1"/>
  <c r="Q76" i="7"/>
  <c r="Q85" i="7"/>
  <c r="P85" i="7" s="1"/>
  <c r="S85" i="7" s="1"/>
  <c r="Q77" i="7"/>
  <c r="P77" i="7" s="1"/>
  <c r="S77" i="7" s="1"/>
  <c r="Q86" i="7"/>
  <c r="P86" i="7" s="1"/>
  <c r="S86" i="7" s="1"/>
  <c r="Q78" i="7"/>
  <c r="P78" i="7" s="1"/>
  <c r="S78" i="7" s="1"/>
  <c r="Q83" i="7"/>
  <c r="P83" i="7" s="1"/>
  <c r="S83" i="7" s="1"/>
  <c r="Q75" i="7"/>
  <c r="P75" i="7" s="1"/>
  <c r="S75" i="7" s="1"/>
  <c r="Q82" i="7"/>
  <c r="P82" i="7" s="1"/>
  <c r="S82" i="7" s="1"/>
  <c r="Q80" i="7"/>
  <c r="P80" i="7" s="1"/>
  <c r="S80" i="7" s="1"/>
  <c r="Q87" i="7"/>
  <c r="P87" i="7" s="1"/>
  <c r="S87" i="7" s="1"/>
  <c r="Q81" i="7"/>
  <c r="Q79" i="7"/>
  <c r="P79" i="7" s="1"/>
  <c r="S79" i="7" s="1"/>
  <c r="Q54" i="7"/>
  <c r="P54" i="7" s="1"/>
  <c r="S54" i="7" s="1"/>
  <c r="Q43" i="7"/>
  <c r="P43" i="7" s="1"/>
  <c r="S43" i="7" s="1"/>
  <c r="R64" i="7"/>
  <c r="AM591" i="5"/>
  <c r="AN591" i="5" s="1"/>
  <c r="AO591" i="5" s="1"/>
  <c r="AD591" i="5"/>
  <c r="AF591" i="5" s="1"/>
  <c r="AE591" i="5"/>
  <c r="AD579" i="5"/>
  <c r="AF579" i="5" s="1"/>
  <c r="AE579" i="5"/>
  <c r="AM504" i="5"/>
  <c r="AN504" i="5" s="1"/>
  <c r="AO504" i="5" s="1"/>
  <c r="AE504" i="5"/>
  <c r="AD504" i="5"/>
  <c r="AF504" i="5" s="1"/>
  <c r="AE624" i="5"/>
  <c r="AD624" i="5"/>
  <c r="AF624" i="5" s="1"/>
  <c r="AK587" i="5"/>
  <c r="AM587" i="5" s="1"/>
  <c r="AN587" i="5" s="1"/>
  <c r="AO587" i="5" s="1"/>
  <c r="AK613" i="5"/>
  <c r="AM613" i="5" s="1"/>
  <c r="AN613" i="5" s="1"/>
  <c r="AO613" i="5" s="1"/>
  <c r="AD590" i="5"/>
  <c r="AF590" i="5" s="1"/>
  <c r="AE590" i="5"/>
  <c r="AM590" i="5"/>
  <c r="AN590" i="5" s="1"/>
  <c r="AO590" i="5" s="1"/>
  <c r="AE621" i="5"/>
  <c r="AD621" i="5"/>
  <c r="AF621" i="5" s="1"/>
  <c r="AM621" i="5"/>
  <c r="AN621" i="5" s="1"/>
  <c r="AO621" i="5" s="1"/>
  <c r="AK569" i="5"/>
  <c r="AD540" i="5"/>
  <c r="AF540" i="5" s="1"/>
  <c r="AM540" i="5"/>
  <c r="AN540" i="5" s="1"/>
  <c r="AO540" i="5" s="1"/>
  <c r="AE540" i="5"/>
  <c r="AE562" i="5"/>
  <c r="AD562" i="5"/>
  <c r="AF562" i="5" s="1"/>
  <c r="AD499" i="5"/>
  <c r="AF499" i="5" s="1"/>
  <c r="AM499" i="5"/>
  <c r="AN499" i="5" s="1"/>
  <c r="AO499" i="5" s="1"/>
  <c r="AE499" i="5"/>
  <c r="AM478" i="5"/>
  <c r="AN478" i="5" s="1"/>
  <c r="AO478" i="5" s="1"/>
  <c r="AD478" i="5"/>
  <c r="AF478" i="5" s="1"/>
  <c r="AE478" i="5"/>
  <c r="P431" i="5"/>
  <c r="AE552" i="5"/>
  <c r="AD552" i="5"/>
  <c r="AF552" i="5" s="1"/>
  <c r="AM552" i="5"/>
  <c r="AN552" i="5" s="1"/>
  <c r="AO552" i="5" s="1"/>
  <c r="AE476" i="5"/>
  <c r="AD476" i="5"/>
  <c r="AF476" i="5" s="1"/>
  <c r="AD480" i="5"/>
  <c r="AF480" i="5" s="1"/>
  <c r="AM480" i="5"/>
  <c r="AN480" i="5" s="1"/>
  <c r="AO480" i="5" s="1"/>
  <c r="AE480" i="5"/>
  <c r="AD550" i="5"/>
  <c r="AF550" i="5" s="1"/>
  <c r="AM550" i="5"/>
  <c r="AN550" i="5" s="1"/>
  <c r="AO550" i="5" s="1"/>
  <c r="AE550" i="5"/>
  <c r="AE521" i="5"/>
  <c r="AM521" i="5"/>
  <c r="AN521" i="5" s="1"/>
  <c r="AO521" i="5" s="1"/>
  <c r="AD521" i="5"/>
  <c r="AF521" i="5" s="1"/>
  <c r="AK447" i="5"/>
  <c r="AG415" i="5"/>
  <c r="AH415" i="5"/>
  <c r="AI415" i="5"/>
  <c r="AC415" i="5"/>
  <c r="R366" i="5"/>
  <c r="AE459" i="5"/>
  <c r="AD459" i="5"/>
  <c r="AF459" i="5" s="1"/>
  <c r="AD509" i="5"/>
  <c r="AF509" i="5" s="1"/>
  <c r="AE509" i="5"/>
  <c r="AM509" i="5"/>
  <c r="AN509" i="5" s="1"/>
  <c r="AO509" i="5" s="1"/>
  <c r="Q392" i="5"/>
  <c r="P392" i="5" s="1"/>
  <c r="Q396" i="5"/>
  <c r="P396" i="5" s="1"/>
  <c r="Q287" i="5"/>
  <c r="P287" i="5" s="1"/>
  <c r="Q290" i="5"/>
  <c r="P290" i="5" s="1"/>
  <c r="Q292" i="5"/>
  <c r="P292" i="5" s="1"/>
  <c r="Q289" i="5"/>
  <c r="P289" i="5" s="1"/>
  <c r="Q285" i="5"/>
  <c r="P285" i="5"/>
  <c r="Q293" i="5"/>
  <c r="P293" i="5" s="1"/>
  <c r="Q286" i="5"/>
  <c r="P286" i="5" s="1"/>
  <c r="Q291" i="5"/>
  <c r="P291" i="5" s="1"/>
  <c r="Q288" i="5"/>
  <c r="P288" i="5" s="1"/>
  <c r="P336" i="5"/>
  <c r="S336" i="5" s="1"/>
  <c r="P370" i="5"/>
  <c r="S370" i="5" s="1"/>
  <c r="Q343" i="5"/>
  <c r="P343" i="5" s="1"/>
  <c r="S343" i="5" s="1"/>
  <c r="Q341" i="5"/>
  <c r="P341" i="5" s="1"/>
  <c r="S341" i="5" s="1"/>
  <c r="Q277" i="5"/>
  <c r="P277" i="5" s="1"/>
  <c r="AG283" i="5"/>
  <c r="AI283" i="5"/>
  <c r="AC283" i="5"/>
  <c r="AH283" i="5"/>
  <c r="Q347" i="5"/>
  <c r="P347" i="5" s="1"/>
  <c r="P327" i="5"/>
  <c r="Q275" i="5"/>
  <c r="P275" i="5" s="1"/>
  <c r="Q268" i="5"/>
  <c r="P236" i="5"/>
  <c r="P181" i="5"/>
  <c r="Q177" i="5"/>
  <c r="P177" i="5" s="1"/>
  <c r="R161" i="5"/>
  <c r="Y219" i="5"/>
  <c r="Z219" i="5"/>
  <c r="AA219" i="5" s="1"/>
  <c r="Y176" i="5"/>
  <c r="Z176" i="5"/>
  <c r="AA176" i="5" s="1"/>
  <c r="P129" i="5"/>
  <c r="Q138" i="5"/>
  <c r="P138" i="5" s="1"/>
  <c r="P83" i="5"/>
  <c r="P94" i="5"/>
  <c r="S94" i="5" s="1"/>
  <c r="P321" i="5"/>
  <c r="Q163" i="5"/>
  <c r="P163" i="5" s="1"/>
  <c r="Q192" i="5"/>
  <c r="P192" i="5" s="1"/>
  <c r="R170" i="5"/>
  <c r="R171" i="5"/>
  <c r="AK119" i="5"/>
  <c r="AM119" i="5" s="1"/>
  <c r="AN119" i="5" s="1"/>
  <c r="AO119" i="5" s="1"/>
  <c r="Z104" i="5"/>
  <c r="AA104" i="5" s="1"/>
  <c r="Y104" i="5"/>
  <c r="AG23" i="5"/>
  <c r="AK23" i="5" s="1"/>
  <c r="AI23" i="5"/>
  <c r="AH23" i="5"/>
  <c r="AC23" i="5"/>
  <c r="P8" i="5"/>
  <c r="P28" i="5"/>
  <c r="P67" i="7"/>
  <c r="S67" i="7" s="1"/>
  <c r="P97" i="7"/>
  <c r="S97" i="7" s="1"/>
  <c r="P55" i="7"/>
  <c r="S55" i="7" s="1"/>
  <c r="R89" i="9"/>
  <c r="S89" i="9"/>
  <c r="P151" i="9"/>
  <c r="R83" i="9"/>
  <c r="Q98" i="7"/>
  <c r="P98" i="7" s="1"/>
  <c r="S98" i="7" s="1"/>
  <c r="Q90" i="7"/>
  <c r="P90" i="7" s="1"/>
  <c r="S90" i="7" s="1"/>
  <c r="Q99" i="7"/>
  <c r="P99" i="7" s="1"/>
  <c r="S99" i="7" s="1"/>
  <c r="Q91" i="7"/>
  <c r="P91" i="7" s="1"/>
  <c r="S91" i="7" s="1"/>
  <c r="Q100" i="7"/>
  <c r="P100" i="7" s="1"/>
  <c r="Q92" i="7"/>
  <c r="P92" i="7" s="1"/>
  <c r="S92" i="7" s="1"/>
  <c r="Q97" i="7"/>
  <c r="Q96" i="7"/>
  <c r="P96" i="7" s="1"/>
  <c r="S96" i="7" s="1"/>
  <c r="Q94" i="7"/>
  <c r="P94" i="7" s="1"/>
  <c r="S94" i="7" s="1"/>
  <c r="Q101" i="7"/>
  <c r="P101" i="7" s="1"/>
  <c r="Q95" i="7"/>
  <c r="P95" i="7" s="1"/>
  <c r="S95" i="7" s="1"/>
  <c r="Q93" i="7"/>
  <c r="P93" i="7" s="1"/>
  <c r="Q102" i="7"/>
  <c r="P102" i="7" s="1"/>
  <c r="R20" i="9"/>
  <c r="R21" i="9"/>
  <c r="R13" i="9"/>
  <c r="S22" i="9"/>
  <c r="R14" i="9"/>
  <c r="R18" i="9"/>
  <c r="R16" i="9"/>
  <c r="R22" i="9"/>
  <c r="R19" i="9"/>
  <c r="R15" i="9"/>
  <c r="R17" i="9"/>
  <c r="P87" i="8"/>
  <c r="S87" i="8" s="1"/>
  <c r="X87" i="8" s="1"/>
  <c r="P28" i="9"/>
  <c r="Q133" i="9"/>
  <c r="P133" i="9" s="1"/>
  <c r="S133" i="9" s="1"/>
  <c r="R162" i="9"/>
  <c r="S162" i="9"/>
  <c r="P56" i="8"/>
  <c r="S56" i="8" s="1"/>
  <c r="X56" i="8" s="1"/>
  <c r="S51" i="12"/>
  <c r="Q138" i="9"/>
  <c r="P138" i="9" s="1"/>
  <c r="S138" i="9" s="1"/>
  <c r="S54" i="11"/>
  <c r="R149" i="9"/>
  <c r="P125" i="9"/>
  <c r="S125" i="9" s="1"/>
  <c r="P85" i="9"/>
  <c r="S85" i="9" s="1"/>
  <c r="Q159" i="9"/>
  <c r="P159" i="9" s="1"/>
  <c r="S159" i="9" s="1"/>
  <c r="R80" i="9"/>
  <c r="R76" i="9"/>
  <c r="P51" i="9"/>
  <c r="S51" i="9" s="1"/>
  <c r="Q123" i="9"/>
  <c r="P123" i="9" s="1"/>
  <c r="S123" i="9" s="1"/>
  <c r="Q42" i="9"/>
  <c r="P42" i="9" s="1"/>
  <c r="S42" i="9" s="1"/>
  <c r="Q48" i="9"/>
  <c r="P48" i="9" s="1"/>
  <c r="S48" i="9" s="1"/>
  <c r="R48" i="8"/>
  <c r="R38" i="8"/>
  <c r="S38" i="8" s="1"/>
  <c r="X38" i="8" s="1"/>
  <c r="R39" i="8"/>
  <c r="S39" i="8" s="1"/>
  <c r="X39" i="8" s="1"/>
  <c r="R41" i="8"/>
  <c r="S41" i="8" s="1"/>
  <c r="X41" i="8" s="1"/>
  <c r="S48" i="8"/>
  <c r="X48" i="8" s="1"/>
  <c r="P8" i="9"/>
  <c r="S8" i="9" s="1"/>
  <c r="Q19" i="9"/>
  <c r="Q103" i="8"/>
  <c r="P103" i="8" s="1"/>
  <c r="S103" i="8" s="1"/>
  <c r="X103" i="8" s="1"/>
  <c r="R89" i="8"/>
  <c r="R87" i="8"/>
  <c r="R86" i="8"/>
  <c r="R85" i="8"/>
  <c r="S89" i="8"/>
  <c r="X89" i="8" s="1"/>
  <c r="R82" i="8"/>
  <c r="R83" i="8"/>
  <c r="R84" i="8"/>
  <c r="P81" i="7"/>
  <c r="S81" i="7" s="1"/>
  <c r="Q14" i="9"/>
  <c r="Q41" i="7"/>
  <c r="P41" i="7" s="1"/>
  <c r="S41" i="7" s="1"/>
  <c r="Q21" i="7"/>
  <c r="P21" i="7" s="1"/>
  <c r="S21" i="7" s="1"/>
  <c r="Q58" i="7"/>
  <c r="P58" i="7" s="1"/>
  <c r="S58" i="7" s="1"/>
  <c r="S28" i="8"/>
  <c r="X28" i="8" s="1"/>
  <c r="R7" i="7"/>
  <c r="R6" i="7"/>
  <c r="R11" i="7"/>
  <c r="R8" i="7"/>
  <c r="R4" i="7"/>
  <c r="R9" i="7"/>
  <c r="R5" i="7"/>
  <c r="R10" i="7"/>
  <c r="R2" i="7"/>
  <c r="R3" i="7"/>
  <c r="S11" i="7"/>
  <c r="Q64" i="7"/>
  <c r="P64" i="7" s="1"/>
  <c r="S64" i="7" s="1"/>
  <c r="Q107" i="7"/>
  <c r="P107" i="7" s="1"/>
  <c r="S107" i="7" s="1"/>
  <c r="R43" i="8"/>
  <c r="S43" i="8" s="1"/>
  <c r="X43" i="8" s="1"/>
  <c r="Q112" i="7"/>
  <c r="P112" i="7" s="1"/>
  <c r="S112" i="7" s="1"/>
  <c r="Q153" i="7"/>
  <c r="P153" i="7" s="1"/>
  <c r="S153" i="7" s="1"/>
  <c r="Q53" i="7"/>
  <c r="P53" i="7" s="1"/>
  <c r="S53" i="7" s="1"/>
  <c r="AK632" i="5"/>
  <c r="AM632" i="5" s="1"/>
  <c r="AN632" i="5" s="1"/>
  <c r="AO632" i="5" s="1"/>
  <c r="AD633" i="5"/>
  <c r="AF633" i="5" s="1"/>
  <c r="AE633" i="5"/>
  <c r="AM633" i="5"/>
  <c r="AN633" i="5" s="1"/>
  <c r="AO633" i="5" s="1"/>
  <c r="R67" i="7"/>
  <c r="R72" i="7"/>
  <c r="Q67" i="7"/>
  <c r="AD614" i="5"/>
  <c r="AF614" i="5" s="1"/>
  <c r="AE614" i="5"/>
  <c r="AM614" i="5"/>
  <c r="AN614" i="5" s="1"/>
  <c r="AO614" i="5" s="1"/>
  <c r="AE573" i="5"/>
  <c r="AD573" i="5"/>
  <c r="AF573" i="5" s="1"/>
  <c r="AM573" i="5"/>
  <c r="AN573" i="5" s="1"/>
  <c r="AO573" i="5" s="1"/>
  <c r="AK606" i="5"/>
  <c r="AK604" i="5"/>
  <c r="AM604" i="5" s="1"/>
  <c r="AN604" i="5" s="1"/>
  <c r="AO604" i="5" s="1"/>
  <c r="AM571" i="5"/>
  <c r="AN571" i="5" s="1"/>
  <c r="AO571" i="5" s="1"/>
  <c r="AD571" i="5"/>
  <c r="AF571" i="5" s="1"/>
  <c r="AE571" i="5"/>
  <c r="AM543" i="5"/>
  <c r="AN543" i="5" s="1"/>
  <c r="AO543" i="5" s="1"/>
  <c r="AD543" i="5"/>
  <c r="AF543" i="5" s="1"/>
  <c r="AE543" i="5"/>
  <c r="AK624" i="5"/>
  <c r="AM624" i="5" s="1"/>
  <c r="AN624" i="5" s="1"/>
  <c r="AO624" i="5" s="1"/>
  <c r="AE613" i="5"/>
  <c r="AD613" i="5"/>
  <c r="AF613" i="5" s="1"/>
  <c r="AK608" i="5"/>
  <c r="AM608" i="5" s="1"/>
  <c r="AN608" i="5" s="1"/>
  <c r="AO608" i="5" s="1"/>
  <c r="AM569" i="5"/>
  <c r="AN569" i="5" s="1"/>
  <c r="AO569" i="5" s="1"/>
  <c r="AE569" i="5"/>
  <c r="AD569" i="5"/>
  <c r="AF569" i="5" s="1"/>
  <c r="AM518" i="5"/>
  <c r="AN518" i="5" s="1"/>
  <c r="AO518" i="5" s="1"/>
  <c r="AD518" i="5"/>
  <c r="AF518" i="5" s="1"/>
  <c r="AE518" i="5"/>
  <c r="AD538" i="5"/>
  <c r="AF538" i="5" s="1"/>
  <c r="AE538" i="5"/>
  <c r="AM538" i="5"/>
  <c r="AN538" i="5" s="1"/>
  <c r="AO538" i="5" s="1"/>
  <c r="AK583" i="5"/>
  <c r="AM583" i="5" s="1"/>
  <c r="AN583" i="5" s="1"/>
  <c r="AO583" i="5" s="1"/>
  <c r="AK616" i="5"/>
  <c r="AM568" i="5"/>
  <c r="AN568" i="5" s="1"/>
  <c r="AO568" i="5" s="1"/>
  <c r="AD568" i="5"/>
  <c r="AF568" i="5" s="1"/>
  <c r="AE568" i="5"/>
  <c r="AE541" i="5"/>
  <c r="AD541" i="5"/>
  <c r="AF541" i="5" s="1"/>
  <c r="AM541" i="5"/>
  <c r="AN541" i="5" s="1"/>
  <c r="AO541" i="5" s="1"/>
  <c r="Q417" i="5"/>
  <c r="AK501" i="5"/>
  <c r="AM501" i="5" s="1"/>
  <c r="AN501" i="5" s="1"/>
  <c r="AO501" i="5" s="1"/>
  <c r="AK481" i="5"/>
  <c r="AM481" i="5" s="1"/>
  <c r="AN481" i="5" s="1"/>
  <c r="AO481" i="5" s="1"/>
  <c r="AD539" i="5"/>
  <c r="AF539" i="5" s="1"/>
  <c r="AM539" i="5"/>
  <c r="AN539" i="5" s="1"/>
  <c r="AO539" i="5" s="1"/>
  <c r="AE539" i="5"/>
  <c r="AK507" i="5"/>
  <c r="AM507" i="5" s="1"/>
  <c r="AN507" i="5" s="1"/>
  <c r="AO507" i="5" s="1"/>
  <c r="AK476" i="5"/>
  <c r="AM476" i="5" s="1"/>
  <c r="AN476" i="5" s="1"/>
  <c r="AO476" i="5" s="1"/>
  <c r="AE457" i="5"/>
  <c r="AM457" i="5"/>
  <c r="AN457" i="5" s="1"/>
  <c r="AO457" i="5" s="1"/>
  <c r="AD457" i="5"/>
  <c r="AF457" i="5" s="1"/>
  <c r="AD527" i="5"/>
  <c r="AF527" i="5" s="1"/>
  <c r="AM527" i="5"/>
  <c r="AN527" i="5" s="1"/>
  <c r="AO527" i="5" s="1"/>
  <c r="AE527" i="5"/>
  <c r="AK553" i="5"/>
  <c r="AM553" i="5" s="1"/>
  <c r="AN553" i="5" s="1"/>
  <c r="AO553" i="5" s="1"/>
  <c r="AM494" i="5"/>
  <c r="AN494" i="5" s="1"/>
  <c r="AO494" i="5" s="1"/>
  <c r="AE494" i="5"/>
  <c r="AD494" i="5"/>
  <c r="AF494" i="5" s="1"/>
  <c r="AD471" i="5"/>
  <c r="AF471" i="5" s="1"/>
  <c r="AE471" i="5"/>
  <c r="AM471" i="5"/>
  <c r="AN471" i="5" s="1"/>
  <c r="AO471" i="5" s="1"/>
  <c r="AK456" i="5"/>
  <c r="AM456" i="5" s="1"/>
  <c r="AN456" i="5" s="1"/>
  <c r="AO456" i="5" s="1"/>
  <c r="AD533" i="5"/>
  <c r="AF533" i="5" s="1"/>
  <c r="AE533" i="5"/>
  <c r="Q401" i="5"/>
  <c r="P401" i="5" s="1"/>
  <c r="P269" i="5"/>
  <c r="R369" i="5"/>
  <c r="R339" i="5"/>
  <c r="Q338" i="5"/>
  <c r="P338" i="5" s="1"/>
  <c r="S338" i="5" s="1"/>
  <c r="P311" i="5"/>
  <c r="Q339" i="5"/>
  <c r="P339" i="5" s="1"/>
  <c r="S187" i="5"/>
  <c r="Q351" i="5"/>
  <c r="P351" i="5" s="1"/>
  <c r="Q271" i="5"/>
  <c r="P271" i="5" s="1"/>
  <c r="Q215" i="5"/>
  <c r="P215" i="5" s="1"/>
  <c r="Q213" i="5"/>
  <c r="P213" i="5" s="1"/>
  <c r="Q216" i="5"/>
  <c r="P216" i="5" s="1"/>
  <c r="Q212" i="5"/>
  <c r="P212" i="5" s="1"/>
  <c r="Q211" i="5"/>
  <c r="P211" i="5" s="1"/>
  <c r="Q217" i="5"/>
  <c r="P217" i="5" s="1"/>
  <c r="Q214" i="5"/>
  <c r="Q210" i="5"/>
  <c r="P210" i="5" s="1"/>
  <c r="S210" i="5" s="1"/>
  <c r="Q218" i="5"/>
  <c r="P218" i="5" s="1"/>
  <c r="Q180" i="5"/>
  <c r="P180" i="5" s="1"/>
  <c r="R159" i="5"/>
  <c r="Q145" i="5"/>
  <c r="P145" i="5" s="1"/>
  <c r="Q169" i="5"/>
  <c r="R166" i="5" s="1"/>
  <c r="Q141" i="5"/>
  <c r="P141" i="5" s="1"/>
  <c r="Q131" i="5"/>
  <c r="P131" i="5" s="1"/>
  <c r="P66" i="5"/>
  <c r="Q191" i="5"/>
  <c r="P191" i="5" s="1"/>
  <c r="Y39" i="5"/>
  <c r="Z39" i="5"/>
  <c r="AA39" i="5" s="1"/>
  <c r="R102" i="5"/>
  <c r="R94" i="5"/>
  <c r="R103" i="5"/>
  <c r="R95" i="5"/>
  <c r="P103" i="5"/>
  <c r="R104" i="5"/>
  <c r="R96" i="5"/>
  <c r="Q57" i="5"/>
  <c r="P57" i="5" s="1"/>
  <c r="Z11" i="5"/>
  <c r="AA11" i="5" s="1"/>
  <c r="Y11" i="5"/>
  <c r="Z210" i="5" l="1"/>
  <c r="AA210" i="5" s="1"/>
  <c r="Y210" i="5"/>
  <c r="Z297" i="5"/>
  <c r="AA297" i="5" s="1"/>
  <c r="Y297" i="5"/>
  <c r="Y303" i="5"/>
  <c r="Z303" i="5"/>
  <c r="AA303" i="5" s="1"/>
  <c r="Y363" i="5"/>
  <c r="Z363" i="5"/>
  <c r="AA363" i="5" s="1"/>
  <c r="Z340" i="5"/>
  <c r="AA340" i="5" s="1"/>
  <c r="Y340" i="5"/>
  <c r="Z300" i="5"/>
  <c r="AA300" i="5" s="1"/>
  <c r="Y300" i="5"/>
  <c r="Y302" i="5"/>
  <c r="Z302" i="5"/>
  <c r="AA302" i="5" s="1"/>
  <c r="Z372" i="5"/>
  <c r="AA372" i="5" s="1"/>
  <c r="Y372" i="5"/>
  <c r="Z97" i="5"/>
  <c r="AA97" i="5" s="1"/>
  <c r="Y97" i="5"/>
  <c r="Z309" i="5"/>
  <c r="AA309" i="5" s="1"/>
  <c r="Y309" i="5"/>
  <c r="Y367" i="5"/>
  <c r="Z367" i="5"/>
  <c r="AA367" i="5" s="1"/>
  <c r="S166" i="5"/>
  <c r="Y17" i="5"/>
  <c r="Z17" i="5"/>
  <c r="AA17" i="5" s="1"/>
  <c r="Z19" i="5"/>
  <c r="AA19" i="5" s="1"/>
  <c r="Y19" i="5"/>
  <c r="Z90" i="5"/>
  <c r="AA90" i="5" s="1"/>
  <c r="Y90" i="5"/>
  <c r="Y344" i="5"/>
  <c r="Z344" i="5"/>
  <c r="AA344" i="5" s="1"/>
  <c r="Z341" i="5"/>
  <c r="AA341" i="5" s="1"/>
  <c r="Y341" i="5"/>
  <c r="Y338" i="5"/>
  <c r="Z338" i="5"/>
  <c r="AA338" i="5" s="1"/>
  <c r="Z362" i="5"/>
  <c r="AA362" i="5" s="1"/>
  <c r="Y362" i="5"/>
  <c r="Y371" i="5"/>
  <c r="Z371" i="5"/>
  <c r="AA371" i="5" s="1"/>
  <c r="Z98" i="5"/>
  <c r="AA98" i="5" s="1"/>
  <c r="Y98" i="5"/>
  <c r="Y368" i="5"/>
  <c r="Z368" i="5"/>
  <c r="AA368" i="5" s="1"/>
  <c r="Z306" i="5"/>
  <c r="AA306" i="5" s="1"/>
  <c r="Y306" i="5"/>
  <c r="Y257" i="5"/>
  <c r="Z257" i="5"/>
  <c r="AA257" i="5" s="1"/>
  <c r="AE283" i="5"/>
  <c r="AD283" i="5"/>
  <c r="AF283" i="5" s="1"/>
  <c r="Z370" i="5"/>
  <c r="AA370" i="5" s="1"/>
  <c r="Y370" i="5"/>
  <c r="S100" i="8"/>
  <c r="X100" i="8" s="1"/>
  <c r="S369" i="5"/>
  <c r="AK434" i="5"/>
  <c r="AC175" i="5"/>
  <c r="AI175" i="5"/>
  <c r="AH175" i="5"/>
  <c r="AG175" i="5"/>
  <c r="AK175" i="5" s="1"/>
  <c r="S28" i="9"/>
  <c r="S101" i="7"/>
  <c r="S25" i="9"/>
  <c r="AG155" i="5"/>
  <c r="AI155" i="5"/>
  <c r="AH155" i="5"/>
  <c r="AC155" i="5"/>
  <c r="Z284" i="5"/>
  <c r="AA284" i="5" s="1"/>
  <c r="Y284" i="5"/>
  <c r="AC329" i="5"/>
  <c r="AI329" i="5"/>
  <c r="AG329" i="5"/>
  <c r="AH329" i="5"/>
  <c r="S9" i="9"/>
  <c r="S117" i="7"/>
  <c r="R38" i="5"/>
  <c r="R30" i="5"/>
  <c r="R33" i="5"/>
  <c r="S33" i="5" s="1"/>
  <c r="R29" i="5"/>
  <c r="R25" i="5"/>
  <c r="R37" i="5"/>
  <c r="P39" i="5"/>
  <c r="R39" i="5"/>
  <c r="R36" i="5"/>
  <c r="S36" i="5" s="1"/>
  <c r="R32" i="5"/>
  <c r="R35" i="5"/>
  <c r="R24" i="5"/>
  <c r="S24" i="5" s="1"/>
  <c r="R28" i="5"/>
  <c r="R31" i="5"/>
  <c r="R27" i="5"/>
  <c r="R40" i="5"/>
  <c r="R26" i="5"/>
  <c r="R34" i="5"/>
  <c r="S102" i="5"/>
  <c r="R138" i="5"/>
  <c r="R139" i="5"/>
  <c r="S139" i="5" s="1"/>
  <c r="R142" i="5"/>
  <c r="R134" i="5"/>
  <c r="R133" i="5"/>
  <c r="R140" i="5"/>
  <c r="S140" i="5" s="1"/>
  <c r="R141" i="5"/>
  <c r="S141" i="5" s="1"/>
  <c r="R136" i="5"/>
  <c r="R135" i="5"/>
  <c r="S135" i="5" s="1"/>
  <c r="R143" i="5"/>
  <c r="R132" i="5"/>
  <c r="S132" i="5" s="1"/>
  <c r="R137" i="5"/>
  <c r="S137" i="5" s="1"/>
  <c r="Z304" i="5"/>
  <c r="AA304" i="5" s="1"/>
  <c r="Y304" i="5"/>
  <c r="S9" i="7"/>
  <c r="AE250" i="5"/>
  <c r="AD250" i="5"/>
  <c r="AF250" i="5" s="1"/>
  <c r="Z330" i="5"/>
  <c r="AA330" i="5" s="1"/>
  <c r="Y330" i="5"/>
  <c r="S16" i="5"/>
  <c r="Z197" i="5"/>
  <c r="AA197" i="5" s="1"/>
  <c r="Y197" i="5"/>
  <c r="S322" i="5"/>
  <c r="Z73" i="5"/>
  <c r="AA73" i="5" s="1"/>
  <c r="Y73" i="5"/>
  <c r="Z208" i="5"/>
  <c r="AA208" i="5" s="1"/>
  <c r="Y208" i="5"/>
  <c r="AI130" i="5"/>
  <c r="AH130" i="5"/>
  <c r="AG130" i="5"/>
  <c r="AC130" i="5"/>
  <c r="AK143" i="5"/>
  <c r="S145" i="7"/>
  <c r="R218" i="5"/>
  <c r="S218" i="5" s="1"/>
  <c r="R313" i="5"/>
  <c r="S313" i="5" s="1"/>
  <c r="R326" i="5"/>
  <c r="S326" i="5" s="1"/>
  <c r="R319" i="5"/>
  <c r="R315" i="5"/>
  <c r="R322" i="5"/>
  <c r="R314" i="5"/>
  <c r="S314" i="5" s="1"/>
  <c r="R329" i="5"/>
  <c r="R317" i="5"/>
  <c r="R325" i="5"/>
  <c r="S325" i="5" s="1"/>
  <c r="R321" i="5"/>
  <c r="R327" i="5"/>
  <c r="S327" i="5" s="1"/>
  <c r="R328" i="5"/>
  <c r="R316" i="5"/>
  <c r="S316" i="5" s="1"/>
  <c r="R318" i="5"/>
  <c r="R320" i="5"/>
  <c r="S320" i="5" s="1"/>
  <c r="R324" i="5"/>
  <c r="R323" i="5"/>
  <c r="S67" i="9"/>
  <c r="S37" i="5"/>
  <c r="Y160" i="5"/>
  <c r="Z160" i="5"/>
  <c r="AA160" i="5" s="1"/>
  <c r="S109" i="7"/>
  <c r="S28" i="7"/>
  <c r="S38" i="9"/>
  <c r="R169" i="5"/>
  <c r="S70" i="9"/>
  <c r="S92" i="9"/>
  <c r="S171" i="5"/>
  <c r="Z20" i="5"/>
  <c r="AA20" i="5" s="1"/>
  <c r="Y20" i="5"/>
  <c r="S95" i="5"/>
  <c r="R86" i="5"/>
  <c r="S86" i="5" s="1"/>
  <c r="R78" i="5"/>
  <c r="R87" i="5"/>
  <c r="R79" i="5"/>
  <c r="R88" i="5"/>
  <c r="R80" i="5"/>
  <c r="R75" i="5"/>
  <c r="R85" i="5"/>
  <c r="R81" i="5"/>
  <c r="S81" i="5" s="1"/>
  <c r="R84" i="5"/>
  <c r="R89" i="5"/>
  <c r="P88" i="5"/>
  <c r="R76" i="5"/>
  <c r="S76" i="5" s="1"/>
  <c r="R83" i="5"/>
  <c r="R77" i="5"/>
  <c r="R82" i="5"/>
  <c r="S82" i="5" s="1"/>
  <c r="S72" i="5"/>
  <c r="Z272" i="5"/>
  <c r="AA272" i="5" s="1"/>
  <c r="Y272" i="5"/>
  <c r="S62" i="9"/>
  <c r="S84" i="8"/>
  <c r="X84" i="8" s="1"/>
  <c r="Z365" i="5"/>
  <c r="AA365" i="5" s="1"/>
  <c r="Y365" i="5"/>
  <c r="Z333" i="5"/>
  <c r="AA333" i="5" s="1"/>
  <c r="Y333" i="5"/>
  <c r="S318" i="5"/>
  <c r="S319" i="5"/>
  <c r="R63" i="5"/>
  <c r="R62" i="5"/>
  <c r="R67" i="5"/>
  <c r="S67" i="5" s="1"/>
  <c r="R72" i="5"/>
  <c r="R70" i="5"/>
  <c r="R71" i="5"/>
  <c r="R59" i="5"/>
  <c r="S59" i="5" s="1"/>
  <c r="R64" i="5"/>
  <c r="R65" i="5"/>
  <c r="R60" i="5"/>
  <c r="R74" i="5"/>
  <c r="R61" i="5"/>
  <c r="R73" i="5"/>
  <c r="R68" i="5"/>
  <c r="R66" i="5"/>
  <c r="R69" i="5"/>
  <c r="R58" i="5"/>
  <c r="S58" i="5" s="1"/>
  <c r="AD312" i="5"/>
  <c r="AF312" i="5" s="1"/>
  <c r="AM312" i="5"/>
  <c r="AN312" i="5" s="1"/>
  <c r="AO312" i="5" s="1"/>
  <c r="AE312" i="5"/>
  <c r="S19" i="9"/>
  <c r="R213" i="5"/>
  <c r="S213" i="5" s="1"/>
  <c r="Y328" i="5"/>
  <c r="Z328" i="5"/>
  <c r="AA328" i="5" s="1"/>
  <c r="S10" i="9"/>
  <c r="S31" i="9"/>
  <c r="S146" i="9"/>
  <c r="Z157" i="5"/>
  <c r="AA157" i="5" s="1"/>
  <c r="Y157" i="5"/>
  <c r="S116" i="7"/>
  <c r="S38" i="7"/>
  <c r="S35" i="7"/>
  <c r="Z390" i="5"/>
  <c r="AA390" i="5" s="1"/>
  <c r="Y390" i="5"/>
  <c r="R164" i="5"/>
  <c r="S164" i="5" s="1"/>
  <c r="S99" i="9"/>
  <c r="Z173" i="5"/>
  <c r="AA173" i="5" s="1"/>
  <c r="Y173" i="5"/>
  <c r="R261" i="5"/>
  <c r="S261" i="5" s="1"/>
  <c r="R259" i="5"/>
  <c r="R266" i="5"/>
  <c r="R264" i="5"/>
  <c r="R262" i="5"/>
  <c r="S262" i="5" s="1"/>
  <c r="R260" i="5"/>
  <c r="R265" i="5"/>
  <c r="R263" i="5"/>
  <c r="S263" i="5" s="1"/>
  <c r="S62" i="5"/>
  <c r="S15" i="5"/>
  <c r="R269" i="5"/>
  <c r="R272" i="5"/>
  <c r="R270" i="5"/>
  <c r="S270" i="5" s="1"/>
  <c r="R267" i="5"/>
  <c r="R273" i="5"/>
  <c r="R268" i="5"/>
  <c r="S268" i="5" s="1"/>
  <c r="R271" i="5"/>
  <c r="S271" i="5" s="1"/>
  <c r="Z74" i="5"/>
  <c r="AA74" i="5" s="1"/>
  <c r="Y74" i="5"/>
  <c r="Y335" i="5"/>
  <c r="Z335" i="5"/>
  <c r="AA335" i="5" s="1"/>
  <c r="S77" i="5"/>
  <c r="S75" i="5"/>
  <c r="AK250" i="5"/>
  <c r="AM250" i="5" s="1"/>
  <c r="AN250" i="5" s="1"/>
  <c r="AO250" i="5" s="1"/>
  <c r="S353" i="5"/>
  <c r="AE361" i="5"/>
  <c r="AD361" i="5"/>
  <c r="AF361" i="5" s="1"/>
  <c r="AH427" i="5"/>
  <c r="AG427" i="5"/>
  <c r="AK427" i="5" s="1"/>
  <c r="AI427" i="5"/>
  <c r="AC427" i="5"/>
  <c r="S409" i="5"/>
  <c r="AC346" i="5"/>
  <c r="AI346" i="5"/>
  <c r="AH346" i="5"/>
  <c r="AG346" i="5"/>
  <c r="AC168" i="5"/>
  <c r="AG168" i="5"/>
  <c r="AH168" i="5"/>
  <c r="AI168" i="5"/>
  <c r="Z433" i="5"/>
  <c r="AA433" i="5" s="1"/>
  <c r="Y433" i="5"/>
  <c r="S136" i="5"/>
  <c r="S133" i="5"/>
  <c r="R354" i="5"/>
  <c r="S354" i="5" s="1"/>
  <c r="R356" i="5"/>
  <c r="R360" i="5"/>
  <c r="R350" i="5"/>
  <c r="R359" i="5"/>
  <c r="S359" i="5" s="1"/>
  <c r="R353" i="5"/>
  <c r="R357" i="5"/>
  <c r="R351" i="5"/>
  <c r="S351" i="5" s="1"/>
  <c r="R349" i="5"/>
  <c r="S349" i="5" s="1"/>
  <c r="R348" i="5"/>
  <c r="S348" i="5" s="1"/>
  <c r="R361" i="5"/>
  <c r="R358" i="5"/>
  <c r="S358" i="5" s="1"/>
  <c r="R352" i="5"/>
  <c r="S352" i="5" s="1"/>
  <c r="R347" i="5"/>
  <c r="R355" i="5"/>
  <c r="S355" i="5" s="1"/>
  <c r="R217" i="5"/>
  <c r="R219" i="5"/>
  <c r="S259" i="5"/>
  <c r="S34" i="5"/>
  <c r="S31" i="5"/>
  <c r="S30" i="7"/>
  <c r="S26" i="7"/>
  <c r="S27" i="9"/>
  <c r="S79" i="9"/>
  <c r="R165" i="5"/>
  <c r="S165" i="5" s="1"/>
  <c r="S94" i="9"/>
  <c r="Z12" i="5"/>
  <c r="AA12" i="5" s="1"/>
  <c r="Y12" i="5"/>
  <c r="P265" i="5"/>
  <c r="Z89" i="5"/>
  <c r="AA89" i="5" s="1"/>
  <c r="Y89" i="5"/>
  <c r="S69" i="5"/>
  <c r="P272" i="5"/>
  <c r="R415" i="5"/>
  <c r="R407" i="5"/>
  <c r="S407" i="5" s="1"/>
  <c r="R410" i="5"/>
  <c r="S410" i="5" s="1"/>
  <c r="R408" i="5"/>
  <c r="R409" i="5"/>
  <c r="R412" i="5"/>
  <c r="S412" i="5" s="1"/>
  <c r="R414" i="5"/>
  <c r="R405" i="5"/>
  <c r="S405" i="5" s="1"/>
  <c r="R406" i="5"/>
  <c r="R411" i="5"/>
  <c r="S411" i="5" s="1"/>
  <c r="R404" i="5"/>
  <c r="R413" i="5"/>
  <c r="S58" i="9"/>
  <c r="S86" i="8"/>
  <c r="X86" i="8" s="1"/>
  <c r="S321" i="5"/>
  <c r="S78" i="5"/>
  <c r="S350" i="5"/>
  <c r="R208" i="5"/>
  <c r="R207" i="5"/>
  <c r="R203" i="5"/>
  <c r="S203" i="5" s="1"/>
  <c r="R205" i="5"/>
  <c r="S205" i="5" s="1"/>
  <c r="R199" i="5"/>
  <c r="S199" i="5" s="1"/>
  <c r="R200" i="5"/>
  <c r="S200" i="5" s="1"/>
  <c r="R209" i="5"/>
  <c r="R202" i="5"/>
  <c r="S202" i="5" s="1"/>
  <c r="R201" i="5"/>
  <c r="R206" i="5"/>
  <c r="S206" i="5" s="1"/>
  <c r="R204" i="5"/>
  <c r="S204" i="5" s="1"/>
  <c r="S27" i="5"/>
  <c r="AM143" i="5"/>
  <c r="AN143" i="5" s="1"/>
  <c r="AO143" i="5" s="1"/>
  <c r="AE143" i="5"/>
  <c r="AD143" i="5"/>
  <c r="AF143" i="5" s="1"/>
  <c r="AC345" i="5"/>
  <c r="AI345" i="5"/>
  <c r="AH345" i="5"/>
  <c r="AG345" i="5"/>
  <c r="R212" i="5"/>
  <c r="R215" i="5"/>
  <c r="S215" i="5" s="1"/>
  <c r="R399" i="5"/>
  <c r="S399" i="5" s="1"/>
  <c r="R400" i="5"/>
  <c r="S400" i="5" s="1"/>
  <c r="R401" i="5"/>
  <c r="R395" i="5"/>
  <c r="S395" i="5" s="1"/>
  <c r="R392" i="5"/>
  <c r="R393" i="5"/>
  <c r="R402" i="5"/>
  <c r="R403" i="5"/>
  <c r="R398" i="5"/>
  <c r="S398" i="5" s="1"/>
  <c r="R396" i="5"/>
  <c r="S396" i="5" s="1"/>
  <c r="R394" i="5"/>
  <c r="S394" i="5" s="1"/>
  <c r="R397" i="5"/>
  <c r="S138" i="7"/>
  <c r="S135" i="7"/>
  <c r="S5" i="9"/>
  <c r="S38" i="5"/>
  <c r="S34" i="7"/>
  <c r="S35" i="9"/>
  <c r="S16" i="9"/>
  <c r="S87" i="9"/>
  <c r="Y273" i="5"/>
  <c r="Z273" i="5"/>
  <c r="AA273" i="5" s="1"/>
  <c r="S101" i="9"/>
  <c r="Z99" i="5"/>
  <c r="AA99" i="5" s="1"/>
  <c r="Y99" i="5"/>
  <c r="Y265" i="5"/>
  <c r="Z265" i="5"/>
  <c r="AA265" i="5" s="1"/>
  <c r="R151" i="5"/>
  <c r="S151" i="5" s="1"/>
  <c r="R147" i="5"/>
  <c r="R154" i="5"/>
  <c r="R155" i="5"/>
  <c r="R149" i="5"/>
  <c r="S149" i="5" s="1"/>
  <c r="R146" i="5"/>
  <c r="S146" i="5" s="1"/>
  <c r="R144" i="5"/>
  <c r="R145" i="5"/>
  <c r="R152" i="5"/>
  <c r="R148" i="5"/>
  <c r="R153" i="5"/>
  <c r="R150" i="5"/>
  <c r="S150" i="5" s="1"/>
  <c r="S21" i="5"/>
  <c r="Z414" i="5"/>
  <c r="AA414" i="5" s="1"/>
  <c r="Y414" i="5"/>
  <c r="S66" i="5"/>
  <c r="S347" i="5"/>
  <c r="AG231" i="5"/>
  <c r="AC231" i="5"/>
  <c r="AI231" i="5"/>
  <c r="AH231" i="5"/>
  <c r="S45" i="5"/>
  <c r="Z426" i="5"/>
  <c r="AA426" i="5" s="1"/>
  <c r="Y426" i="5"/>
  <c r="S35" i="5"/>
  <c r="R118" i="5"/>
  <c r="R110" i="5"/>
  <c r="S110" i="5" s="1"/>
  <c r="R119" i="5"/>
  <c r="R111" i="5"/>
  <c r="S111" i="5" s="1"/>
  <c r="R112" i="5"/>
  <c r="S112" i="5" s="1"/>
  <c r="R107" i="5"/>
  <c r="S107" i="5" s="1"/>
  <c r="R105" i="5"/>
  <c r="S105" i="5" s="1"/>
  <c r="R115" i="5"/>
  <c r="R106" i="5"/>
  <c r="S106" i="5" s="1"/>
  <c r="R117" i="5"/>
  <c r="S117" i="5" s="1"/>
  <c r="R116" i="5"/>
  <c r="R109" i="5"/>
  <c r="R113" i="5"/>
  <c r="R108" i="5"/>
  <c r="S108" i="5" s="1"/>
  <c r="R114" i="5"/>
  <c r="S114" i="5" s="1"/>
  <c r="R211" i="5"/>
  <c r="S211" i="5" s="1"/>
  <c r="Z402" i="5"/>
  <c r="AA402" i="5" s="1"/>
  <c r="Y402" i="5"/>
  <c r="S2" i="9"/>
  <c r="S149" i="9"/>
  <c r="S159" i="5"/>
  <c r="S413" i="5"/>
  <c r="S37" i="7"/>
  <c r="S78" i="9"/>
  <c r="R167" i="5"/>
  <c r="R295" i="5"/>
  <c r="R290" i="5"/>
  <c r="S290" i="5" s="1"/>
  <c r="R287" i="5"/>
  <c r="S287" i="5" s="1"/>
  <c r="R294" i="5"/>
  <c r="R292" i="5"/>
  <c r="R286" i="5"/>
  <c r="S286" i="5" s="1"/>
  <c r="R293" i="5"/>
  <c r="S293" i="5" s="1"/>
  <c r="R288" i="5"/>
  <c r="R291" i="5"/>
  <c r="S291" i="5" s="1"/>
  <c r="R289" i="5"/>
  <c r="S289" i="5" s="1"/>
  <c r="P294" i="5"/>
  <c r="R285" i="5"/>
  <c r="S91" i="9"/>
  <c r="S90" i="9"/>
  <c r="S170" i="5"/>
  <c r="R222" i="5"/>
  <c r="S222" i="5" s="1"/>
  <c r="R225" i="5"/>
  <c r="S225" i="5" s="1"/>
  <c r="R223" i="5"/>
  <c r="R230" i="5"/>
  <c r="R227" i="5"/>
  <c r="R224" i="5"/>
  <c r="R229" i="5"/>
  <c r="S229" i="5" s="1"/>
  <c r="R231" i="5"/>
  <c r="R226" i="5"/>
  <c r="R221" i="5"/>
  <c r="S221" i="5" s="1"/>
  <c r="R228" i="5"/>
  <c r="S228" i="5" s="1"/>
  <c r="S14" i="5"/>
  <c r="Y93" i="5"/>
  <c r="Z93" i="5"/>
  <c r="AA93" i="5" s="1"/>
  <c r="S63" i="5"/>
  <c r="S342" i="5"/>
  <c r="S63" i="7"/>
  <c r="S59" i="9"/>
  <c r="Y307" i="5"/>
  <c r="Z307" i="5"/>
  <c r="AA307" i="5" s="1"/>
  <c r="Z343" i="5"/>
  <c r="AA343" i="5" s="1"/>
  <c r="Y343" i="5"/>
  <c r="S113" i="7"/>
  <c r="S80" i="5"/>
  <c r="AH161" i="5"/>
  <c r="AC161" i="5"/>
  <c r="AI161" i="5"/>
  <c r="AG161" i="5"/>
  <c r="AH88" i="5"/>
  <c r="AG88" i="5"/>
  <c r="AK88" i="5" s="1"/>
  <c r="AC88" i="5"/>
  <c r="AI88" i="5"/>
  <c r="Z91" i="5"/>
  <c r="AA91" i="5" s="1"/>
  <c r="Y91" i="5"/>
  <c r="AH104" i="5"/>
  <c r="AG104" i="5"/>
  <c r="AC104" i="5"/>
  <c r="AI104" i="5"/>
  <c r="Z94" i="5"/>
  <c r="AA94" i="5" s="1"/>
  <c r="Y94" i="5"/>
  <c r="AE415" i="5"/>
  <c r="AD415" i="5"/>
  <c r="AF415" i="5" s="1"/>
  <c r="AE103" i="5"/>
  <c r="AD103" i="5"/>
  <c r="AF103" i="5" s="1"/>
  <c r="Z364" i="5"/>
  <c r="AA364" i="5" s="1"/>
  <c r="Y364" i="5"/>
  <c r="S315" i="5"/>
  <c r="S133" i="7"/>
  <c r="S134" i="7"/>
  <c r="S298" i="5"/>
  <c r="S296" i="5"/>
  <c r="S167" i="5"/>
  <c r="S98" i="8"/>
  <c r="X98" i="8" s="1"/>
  <c r="R220" i="5"/>
  <c r="S269" i="5"/>
  <c r="S102" i="7"/>
  <c r="S100" i="7"/>
  <c r="S138" i="5"/>
  <c r="Z336" i="5"/>
  <c r="AA336" i="5" s="1"/>
  <c r="Y336" i="5"/>
  <c r="S13" i="9"/>
  <c r="S32" i="5"/>
  <c r="R184" i="5"/>
  <c r="S184" i="5" s="1"/>
  <c r="R178" i="5"/>
  <c r="S178" i="5" s="1"/>
  <c r="R185" i="5"/>
  <c r="S185" i="5" s="1"/>
  <c r="R187" i="5"/>
  <c r="R182" i="5"/>
  <c r="S182" i="5" s="1"/>
  <c r="R180" i="5"/>
  <c r="S180" i="5" s="1"/>
  <c r="R179" i="5"/>
  <c r="S179" i="5" s="1"/>
  <c r="R177" i="5"/>
  <c r="S177" i="5" s="1"/>
  <c r="R181" i="5"/>
  <c r="S181" i="5" s="1"/>
  <c r="R186" i="5"/>
  <c r="R183" i="5"/>
  <c r="R282" i="5"/>
  <c r="R274" i="5"/>
  <c r="S274" i="5" s="1"/>
  <c r="R283" i="5"/>
  <c r="R281" i="5"/>
  <c r="S281" i="5" s="1"/>
  <c r="R276" i="5"/>
  <c r="S276" i="5" s="1"/>
  <c r="P283" i="5"/>
  <c r="R278" i="5"/>
  <c r="S278" i="5" s="1"/>
  <c r="R277" i="5"/>
  <c r="S277" i="5" s="1"/>
  <c r="R284" i="5"/>
  <c r="R279" i="5"/>
  <c r="R280" i="5"/>
  <c r="R275" i="5"/>
  <c r="S275" i="5" s="1"/>
  <c r="Y241" i="5"/>
  <c r="Z241" i="5"/>
  <c r="AA241" i="5" s="1"/>
  <c r="S397" i="5"/>
  <c r="S99" i="8"/>
  <c r="X99" i="8" s="1"/>
  <c r="S46" i="5"/>
  <c r="R46" i="5"/>
  <c r="R53" i="5"/>
  <c r="S53" i="5" s="1"/>
  <c r="R45" i="5"/>
  <c r="R57" i="5"/>
  <c r="R56" i="5"/>
  <c r="R55" i="5"/>
  <c r="S55" i="5" s="1"/>
  <c r="R54" i="5"/>
  <c r="R49" i="5"/>
  <c r="S49" i="5" s="1"/>
  <c r="R41" i="5"/>
  <c r="S41" i="5" s="1"/>
  <c r="R51" i="5"/>
  <c r="S51" i="5" s="1"/>
  <c r="P56" i="5"/>
  <c r="R42" i="5"/>
  <c r="S42" i="5" s="1"/>
  <c r="R50" i="5"/>
  <c r="S50" i="5" s="1"/>
  <c r="R47" i="5"/>
  <c r="R44" i="5"/>
  <c r="S44" i="5" s="1"/>
  <c r="R43" i="5"/>
  <c r="S43" i="5" s="1"/>
  <c r="R48" i="5"/>
  <c r="S48" i="5" s="1"/>
  <c r="R52" i="5"/>
  <c r="S52" i="5" s="1"/>
  <c r="S87" i="5"/>
  <c r="P220" i="5"/>
  <c r="S226" i="5"/>
  <c r="Z334" i="5"/>
  <c r="AA334" i="5" s="1"/>
  <c r="Y334" i="5"/>
  <c r="S193" i="5"/>
  <c r="AC22" i="5"/>
  <c r="AH22" i="5"/>
  <c r="AI22" i="5"/>
  <c r="AG22" i="5"/>
  <c r="AK22" i="5" s="1"/>
  <c r="Z131" i="5"/>
  <c r="AA131" i="5" s="1"/>
  <c r="Y131" i="5"/>
  <c r="S201" i="5"/>
  <c r="S223" i="5"/>
  <c r="AK361" i="5"/>
  <c r="AM361" i="5" s="1"/>
  <c r="AN361" i="5" s="1"/>
  <c r="AO361" i="5" s="1"/>
  <c r="S404" i="5"/>
  <c r="S18" i="5"/>
  <c r="Z198" i="5"/>
  <c r="AA198" i="5" s="1"/>
  <c r="Y198" i="5"/>
  <c r="Z249" i="5"/>
  <c r="AA249" i="5" s="1"/>
  <c r="Y249" i="5"/>
  <c r="R433" i="5"/>
  <c r="R432" i="5"/>
  <c r="S432" i="5" s="1"/>
  <c r="R430" i="5"/>
  <c r="S430" i="5" s="1"/>
  <c r="R431" i="5"/>
  <c r="R429" i="5"/>
  <c r="R434" i="5"/>
  <c r="R428" i="5"/>
  <c r="S428" i="5" s="1"/>
  <c r="S189" i="5"/>
  <c r="S158" i="5"/>
  <c r="AH294" i="5"/>
  <c r="AI294" i="5"/>
  <c r="AG294" i="5"/>
  <c r="AK294" i="5" s="1"/>
  <c r="AC294" i="5"/>
  <c r="R214" i="5"/>
  <c r="R216" i="5"/>
  <c r="S216" i="5" s="1"/>
  <c r="S388" i="5"/>
  <c r="S383" i="5"/>
  <c r="P402" i="5"/>
  <c r="S137" i="7"/>
  <c r="S21" i="9"/>
  <c r="S144" i="9"/>
  <c r="S245" i="5"/>
  <c r="S29" i="7"/>
  <c r="S30" i="9"/>
  <c r="S34" i="9"/>
  <c r="S158" i="7"/>
  <c r="S68" i="5"/>
  <c r="R168" i="5"/>
  <c r="Y295" i="5"/>
  <c r="Z295" i="5"/>
  <c r="AA295" i="5" s="1"/>
  <c r="S93" i="9"/>
  <c r="Z230" i="5"/>
  <c r="AA230" i="5" s="1"/>
  <c r="Y230" i="5"/>
  <c r="S153" i="5"/>
  <c r="S96" i="5"/>
  <c r="Y101" i="5"/>
  <c r="Z101" i="5"/>
  <c r="AA101" i="5" s="1"/>
  <c r="P154" i="5"/>
  <c r="S61" i="5"/>
  <c r="S64" i="5"/>
  <c r="S65" i="9"/>
  <c r="S83" i="8"/>
  <c r="X83" i="8" s="1"/>
  <c r="AC219" i="5"/>
  <c r="AI219" i="5"/>
  <c r="AH219" i="5"/>
  <c r="AG219" i="5"/>
  <c r="S214" i="5"/>
  <c r="Y305" i="5"/>
  <c r="Z305" i="5"/>
  <c r="AA305" i="5" s="1"/>
  <c r="S392" i="5"/>
  <c r="S267" i="5"/>
  <c r="R254" i="5"/>
  <c r="S254" i="5" s="1"/>
  <c r="R257" i="5"/>
  <c r="R255" i="5"/>
  <c r="S255" i="5" s="1"/>
  <c r="R253" i="5"/>
  <c r="S253" i="5" s="1"/>
  <c r="R258" i="5"/>
  <c r="R251" i="5"/>
  <c r="S251" i="5" s="1"/>
  <c r="R252" i="5"/>
  <c r="R256" i="5"/>
  <c r="S256" i="5" s="1"/>
  <c r="R197" i="5"/>
  <c r="R191" i="5"/>
  <c r="S191" i="5" s="1"/>
  <c r="R189" i="5"/>
  <c r="R192" i="5"/>
  <c r="S192" i="5" s="1"/>
  <c r="R196" i="5"/>
  <c r="S196" i="5" s="1"/>
  <c r="R198" i="5"/>
  <c r="R190" i="5"/>
  <c r="R194" i="5"/>
  <c r="R195" i="5"/>
  <c r="S195" i="5" s="1"/>
  <c r="R193" i="5"/>
  <c r="R188" i="5"/>
  <c r="S188" i="5" s="1"/>
  <c r="S282" i="5"/>
  <c r="S366" i="5"/>
  <c r="S190" i="5"/>
  <c r="S217" i="5"/>
  <c r="S28" i="5"/>
  <c r="S83" i="5"/>
  <c r="R238" i="5"/>
  <c r="S238" i="5" s="1"/>
  <c r="R241" i="5"/>
  <c r="R234" i="5"/>
  <c r="S234" i="5" s="1"/>
  <c r="R232" i="5"/>
  <c r="R239" i="5"/>
  <c r="R237" i="5"/>
  <c r="S237" i="5" s="1"/>
  <c r="R235" i="5"/>
  <c r="S235" i="5" s="1"/>
  <c r="R240" i="5"/>
  <c r="S240" i="5" s="1"/>
  <c r="R242" i="5"/>
  <c r="R236" i="5"/>
  <c r="S236" i="5" s="1"/>
  <c r="R233" i="5"/>
  <c r="S233" i="5" s="1"/>
  <c r="Z301" i="5"/>
  <c r="AA301" i="5" s="1"/>
  <c r="Y301" i="5"/>
  <c r="S79" i="5"/>
  <c r="R126" i="5"/>
  <c r="S126" i="5" s="1"/>
  <c r="R127" i="5"/>
  <c r="S127" i="5" s="1"/>
  <c r="R130" i="5"/>
  <c r="R128" i="5"/>
  <c r="S128" i="5" s="1"/>
  <c r="R120" i="5"/>
  <c r="S120" i="5" s="1"/>
  <c r="R121" i="5"/>
  <c r="S121" i="5" s="1"/>
  <c r="R131" i="5"/>
  <c r="R125" i="5"/>
  <c r="S125" i="5" s="1"/>
  <c r="R123" i="5"/>
  <c r="S123" i="5" s="1"/>
  <c r="P130" i="5"/>
  <c r="R124" i="5"/>
  <c r="S124" i="5" s="1"/>
  <c r="R122" i="5"/>
  <c r="S122" i="5" s="1"/>
  <c r="R129" i="5"/>
  <c r="S406" i="5"/>
  <c r="S148" i="5"/>
  <c r="S25" i="5"/>
  <c r="S264" i="5"/>
  <c r="AC11" i="5"/>
  <c r="AG11" i="5"/>
  <c r="AI11" i="5"/>
  <c r="AH11" i="5"/>
  <c r="S145" i="5"/>
  <c r="Z187" i="5"/>
  <c r="AA187" i="5" s="1"/>
  <c r="Y187" i="5"/>
  <c r="S401" i="5"/>
  <c r="S93" i="7"/>
  <c r="S151" i="9"/>
  <c r="AM23" i="5"/>
  <c r="AN23" i="5" s="1"/>
  <c r="AO23" i="5" s="1"/>
  <c r="AE23" i="5"/>
  <c r="AD23" i="5"/>
  <c r="AF23" i="5" s="1"/>
  <c r="S129" i="5"/>
  <c r="AK283" i="5"/>
  <c r="AM283" i="5" s="1"/>
  <c r="AN283" i="5" s="1"/>
  <c r="AO283" i="5" s="1"/>
  <c r="S292" i="5"/>
  <c r="AK415" i="5"/>
  <c r="AM415" i="5" s="1"/>
  <c r="AN415" i="5" s="1"/>
  <c r="AO415" i="5" s="1"/>
  <c r="AH56" i="5"/>
  <c r="AG56" i="5"/>
  <c r="AI56" i="5"/>
  <c r="AC56" i="5"/>
  <c r="S115" i="5"/>
  <c r="Z186" i="5"/>
  <c r="AA186" i="5" s="1"/>
  <c r="Y186" i="5"/>
  <c r="S393" i="5"/>
  <c r="Z57" i="5"/>
  <c r="AA57" i="5" s="1"/>
  <c r="Y57" i="5"/>
  <c r="AK103" i="5"/>
  <c r="AM103" i="5" s="1"/>
  <c r="AN103" i="5" s="1"/>
  <c r="AO103" i="5" s="1"/>
  <c r="Y220" i="5"/>
  <c r="Z220" i="5"/>
  <c r="AA220" i="5" s="1"/>
  <c r="Z258" i="5"/>
  <c r="AA258" i="5" s="1"/>
  <c r="Y258" i="5"/>
  <c r="AM311" i="5"/>
  <c r="AN311" i="5" s="1"/>
  <c r="AO311" i="5" s="1"/>
  <c r="AD311" i="5"/>
  <c r="AF311" i="5" s="1"/>
  <c r="AE311" i="5"/>
  <c r="Z308" i="5"/>
  <c r="AA308" i="5" s="1"/>
  <c r="Y308" i="5"/>
  <c r="Y299" i="5"/>
  <c r="Z299" i="5"/>
  <c r="AA299" i="5" s="1"/>
  <c r="S386" i="5"/>
  <c r="S10" i="7"/>
  <c r="S15" i="9"/>
  <c r="S279" i="5"/>
  <c r="S331" i="5"/>
  <c r="S323" i="5"/>
  <c r="S224" i="5"/>
  <c r="S227" i="5"/>
  <c r="AG376" i="5"/>
  <c r="AK376" i="5" s="1"/>
  <c r="AI376" i="5"/>
  <c r="AC376" i="5"/>
  <c r="AH376" i="5"/>
  <c r="R422" i="5"/>
  <c r="R427" i="5"/>
  <c r="R425" i="5"/>
  <c r="S425" i="5" s="1"/>
  <c r="R423" i="5"/>
  <c r="S423" i="5" s="1"/>
  <c r="R420" i="5"/>
  <c r="S420" i="5" s="1"/>
  <c r="R418" i="5"/>
  <c r="S418" i="5" s="1"/>
  <c r="R416" i="5"/>
  <c r="S416" i="5" s="1"/>
  <c r="R424" i="5"/>
  <c r="S424" i="5" s="1"/>
  <c r="R417" i="5"/>
  <c r="S417" i="5" s="1"/>
  <c r="R419" i="5"/>
  <c r="S419" i="5" s="1"/>
  <c r="R421" i="5"/>
  <c r="S421" i="5" s="1"/>
  <c r="R426" i="5"/>
  <c r="S134" i="5"/>
  <c r="AE391" i="5"/>
  <c r="AD391" i="5"/>
  <c r="AF391" i="5" s="1"/>
  <c r="AM391" i="5"/>
  <c r="AN391" i="5" s="1"/>
  <c r="AO391" i="5" s="1"/>
  <c r="S194" i="5"/>
  <c r="P118" i="5"/>
  <c r="S106" i="7"/>
  <c r="S116" i="5"/>
  <c r="S260" i="5"/>
  <c r="S139" i="7"/>
  <c r="S7" i="9"/>
  <c r="S29" i="5"/>
  <c r="S150" i="7"/>
  <c r="S36" i="7"/>
  <c r="S113" i="5"/>
  <c r="R163" i="5"/>
  <c r="S163" i="5" s="1"/>
  <c r="S239" i="5"/>
  <c r="S429" i="5"/>
  <c r="S100" i="9"/>
  <c r="Z172" i="5"/>
  <c r="AA172" i="5" s="1"/>
  <c r="Y172" i="5"/>
  <c r="P230" i="5"/>
  <c r="S183" i="5"/>
  <c r="S144" i="5"/>
  <c r="Z403" i="5"/>
  <c r="AA403" i="5" s="1"/>
  <c r="Y403" i="5"/>
  <c r="Z92" i="5"/>
  <c r="AA92" i="5" s="1"/>
  <c r="Y92" i="5"/>
  <c r="Y154" i="5"/>
  <c r="Z154" i="5"/>
  <c r="AA154" i="5" s="1"/>
  <c r="S70" i="5"/>
  <c r="S82" i="8"/>
  <c r="X82" i="8" s="1"/>
  <c r="S85" i="5"/>
  <c r="S422" i="5"/>
  <c r="Y373" i="5"/>
  <c r="Z373" i="5"/>
  <c r="AA373" i="5" s="1"/>
  <c r="AE434" i="5"/>
  <c r="AD434" i="5"/>
  <c r="AF434" i="5" s="1"/>
  <c r="AM434" i="5"/>
  <c r="AN434" i="5" s="1"/>
  <c r="AO434" i="5" s="1"/>
  <c r="S285" i="5"/>
  <c r="S33" i="9"/>
  <c r="S356" i="5"/>
  <c r="S84" i="5"/>
  <c r="Z169" i="5"/>
  <c r="AA169" i="5" s="1"/>
  <c r="Y169" i="5"/>
  <c r="S280" i="5"/>
  <c r="S207" i="5"/>
  <c r="Z266" i="5"/>
  <c r="AA266" i="5" s="1"/>
  <c r="Y266" i="5"/>
  <c r="S337" i="5"/>
  <c r="AG39" i="5"/>
  <c r="AI39" i="5"/>
  <c r="AC39" i="5"/>
  <c r="AH39" i="5"/>
  <c r="S212" i="5"/>
  <c r="S339" i="5"/>
  <c r="AC176" i="5"/>
  <c r="AG176" i="5"/>
  <c r="AK176" i="5" s="1"/>
  <c r="AI176" i="5"/>
  <c r="AH176" i="5"/>
  <c r="S288" i="5"/>
  <c r="S431" i="5"/>
  <c r="S31" i="7"/>
  <c r="S20" i="9"/>
  <c r="S29" i="9"/>
  <c r="S152" i="5"/>
  <c r="Z242" i="5"/>
  <c r="AA242" i="5" s="1"/>
  <c r="Y242" i="5"/>
  <c r="S33" i="7"/>
  <c r="S54" i="5"/>
  <c r="S47" i="5"/>
  <c r="Z40" i="5"/>
  <c r="AA40" i="5" s="1"/>
  <c r="Y40" i="5"/>
  <c r="Y142" i="5"/>
  <c r="Z142" i="5"/>
  <c r="AA142" i="5" s="1"/>
  <c r="S357" i="5"/>
  <c r="S310" i="5"/>
  <c r="S317" i="5"/>
  <c r="S374" i="5"/>
  <c r="S6" i="7"/>
  <c r="Z332" i="5"/>
  <c r="AA332" i="5" s="1"/>
  <c r="Y332" i="5"/>
  <c r="S324" i="5"/>
  <c r="AC375" i="5"/>
  <c r="AI375" i="5"/>
  <c r="AH375" i="5"/>
  <c r="AG375" i="5"/>
  <c r="AK375" i="5" s="1"/>
  <c r="S408" i="5"/>
  <c r="P73" i="5"/>
  <c r="Z174" i="5"/>
  <c r="AA174" i="5" s="1"/>
  <c r="Y174" i="5"/>
  <c r="R248" i="5"/>
  <c r="R250" i="5"/>
  <c r="R246" i="5"/>
  <c r="S246" i="5" s="1"/>
  <c r="R243" i="5"/>
  <c r="S243" i="5" s="1"/>
  <c r="R249" i="5"/>
  <c r="R244" i="5"/>
  <c r="S244" i="5" s="1"/>
  <c r="R247" i="5"/>
  <c r="S247" i="5" s="1"/>
  <c r="R245" i="5"/>
  <c r="Z118" i="5"/>
  <c r="AA118" i="5" s="1"/>
  <c r="Y118" i="5"/>
  <c r="AG209" i="5"/>
  <c r="AI209" i="5"/>
  <c r="AH209" i="5"/>
  <c r="AC209" i="5"/>
  <c r="Y360" i="5"/>
  <c r="Z360" i="5"/>
  <c r="AA360" i="5" s="1"/>
  <c r="S60" i="5"/>
  <c r="P328" i="5"/>
  <c r="S30" i="5"/>
  <c r="S26" i="5"/>
  <c r="S65" i="5"/>
  <c r="Z156" i="5"/>
  <c r="AA156" i="5" s="1"/>
  <c r="Y156" i="5"/>
  <c r="S248" i="5"/>
  <c r="S80" i="9"/>
  <c r="S76" i="9"/>
  <c r="R391" i="5"/>
  <c r="R384" i="5"/>
  <c r="S384" i="5" s="1"/>
  <c r="R379" i="5"/>
  <c r="S379" i="5" s="1"/>
  <c r="R377" i="5"/>
  <c r="S377" i="5" s="1"/>
  <c r="R383" i="5"/>
  <c r="R378" i="5"/>
  <c r="S378" i="5" s="1"/>
  <c r="R387" i="5"/>
  <c r="S387" i="5" s="1"/>
  <c r="R386" i="5"/>
  <c r="R382" i="5"/>
  <c r="S382" i="5" s="1"/>
  <c r="R390" i="5"/>
  <c r="R389" i="5"/>
  <c r="S389" i="5" s="1"/>
  <c r="R381" i="5"/>
  <c r="S381" i="5" s="1"/>
  <c r="R380" i="5"/>
  <c r="S380" i="5" s="1"/>
  <c r="R388" i="5"/>
  <c r="R385" i="5"/>
  <c r="S385" i="5" s="1"/>
  <c r="S109" i="5"/>
  <c r="S232" i="5"/>
  <c r="S102" i="9"/>
  <c r="S98" i="9"/>
  <c r="R6" i="5"/>
  <c r="S6" i="5" s="1"/>
  <c r="R11" i="5"/>
  <c r="R9" i="5"/>
  <c r="S9" i="5" s="1"/>
  <c r="R10" i="5"/>
  <c r="S10" i="5" s="1"/>
  <c r="R2" i="5"/>
  <c r="S2" i="5" s="1"/>
  <c r="R7" i="5"/>
  <c r="S7" i="5" s="1"/>
  <c r="R4" i="5"/>
  <c r="S4" i="5" s="1"/>
  <c r="P11" i="5"/>
  <c r="R5" i="5"/>
  <c r="S5" i="5" s="1"/>
  <c r="R3" i="5"/>
  <c r="S3" i="5" s="1"/>
  <c r="R8" i="5"/>
  <c r="S8" i="5" s="1"/>
  <c r="R12" i="5"/>
  <c r="S252" i="5"/>
  <c r="S13" i="5"/>
  <c r="S147" i="5"/>
  <c r="Z100" i="5"/>
  <c r="AA100" i="5" s="1"/>
  <c r="Y100" i="5"/>
  <c r="S71" i="5"/>
  <c r="S72" i="9"/>
  <c r="S66" i="9"/>
  <c r="S85" i="8"/>
  <c r="X85" i="8" s="1"/>
  <c r="Z425" i="5" l="1"/>
  <c r="AA425" i="5" s="1"/>
  <c r="Y425" i="5"/>
  <c r="Y251" i="5"/>
  <c r="Z251" i="5"/>
  <c r="AA251" i="5" s="1"/>
  <c r="Z49" i="5"/>
  <c r="AA49" i="5" s="1"/>
  <c r="Y49" i="5"/>
  <c r="Z206" i="5"/>
  <c r="AA206" i="5" s="1"/>
  <c r="Y206" i="5"/>
  <c r="Z2" i="5"/>
  <c r="AA2" i="5" s="1"/>
  <c r="Y2" i="5"/>
  <c r="Z192" i="5"/>
  <c r="AA192" i="5" s="1"/>
  <c r="Y192" i="5"/>
  <c r="Y389" i="5"/>
  <c r="Z389" i="5"/>
  <c r="AA389" i="5" s="1"/>
  <c r="Z379" i="5"/>
  <c r="AA379" i="5" s="1"/>
  <c r="Y379" i="5"/>
  <c r="Z163" i="5"/>
  <c r="AA163" i="5" s="1"/>
  <c r="Y163" i="5"/>
  <c r="Z423" i="5"/>
  <c r="AA423" i="5" s="1"/>
  <c r="Y423" i="5"/>
  <c r="Y125" i="5"/>
  <c r="Z125" i="5"/>
  <c r="AA125" i="5" s="1"/>
  <c r="Z237" i="5"/>
  <c r="AA237" i="5" s="1"/>
  <c r="Y237" i="5"/>
  <c r="Y432" i="5"/>
  <c r="Z432" i="5"/>
  <c r="AA432" i="5" s="1"/>
  <c r="Z48" i="5"/>
  <c r="AA48" i="5" s="1"/>
  <c r="Y48" i="5"/>
  <c r="Z41" i="5"/>
  <c r="AA41" i="5" s="1"/>
  <c r="Y41" i="5"/>
  <c r="Z274" i="5"/>
  <c r="AA274" i="5" s="1"/>
  <c r="Y274" i="5"/>
  <c r="Z182" i="5"/>
  <c r="AA182" i="5" s="1"/>
  <c r="Y182" i="5"/>
  <c r="Z228" i="5"/>
  <c r="AA228" i="5" s="1"/>
  <c r="Y228" i="5"/>
  <c r="Y289" i="5"/>
  <c r="Z289" i="5"/>
  <c r="AA289" i="5" s="1"/>
  <c r="Y290" i="5"/>
  <c r="Z290" i="5"/>
  <c r="AA290" i="5" s="1"/>
  <c r="Z150" i="5"/>
  <c r="AA150" i="5" s="1"/>
  <c r="Y150" i="5"/>
  <c r="Z205" i="5"/>
  <c r="AA205" i="5" s="1"/>
  <c r="Y205" i="5"/>
  <c r="Z326" i="5"/>
  <c r="AA326" i="5" s="1"/>
  <c r="Y326" i="5"/>
  <c r="Z225" i="5"/>
  <c r="AA225" i="5" s="1"/>
  <c r="Y225" i="5"/>
  <c r="Y117" i="5"/>
  <c r="Z117" i="5"/>
  <c r="AA117" i="5" s="1"/>
  <c r="Z110" i="5"/>
  <c r="AA110" i="5" s="1"/>
  <c r="Y110" i="5"/>
  <c r="Y204" i="5"/>
  <c r="Z204" i="5"/>
  <c r="AA204" i="5" s="1"/>
  <c r="Z203" i="5"/>
  <c r="AA203" i="5" s="1"/>
  <c r="Y203" i="5"/>
  <c r="Z352" i="5"/>
  <c r="AA352" i="5" s="1"/>
  <c r="Y352" i="5"/>
  <c r="Z359" i="5"/>
  <c r="AA359" i="5" s="1"/>
  <c r="Y359" i="5"/>
  <c r="Y271" i="5"/>
  <c r="Z271" i="5"/>
  <c r="AA271" i="5" s="1"/>
  <c r="Y261" i="5"/>
  <c r="Z261" i="5"/>
  <c r="AA261" i="5" s="1"/>
  <c r="Y59" i="5"/>
  <c r="Z59" i="5"/>
  <c r="AA59" i="5" s="1"/>
  <c r="Z325" i="5"/>
  <c r="AA325" i="5" s="1"/>
  <c r="Y325" i="5"/>
  <c r="Z313" i="5"/>
  <c r="AA313" i="5" s="1"/>
  <c r="Y313" i="5"/>
  <c r="Z410" i="5"/>
  <c r="AA410" i="5" s="1"/>
  <c r="Y410" i="5"/>
  <c r="Z358" i="5"/>
  <c r="AA358" i="5" s="1"/>
  <c r="Y358" i="5"/>
  <c r="Z268" i="5"/>
  <c r="AA268" i="5" s="1"/>
  <c r="Y268" i="5"/>
  <c r="Y263" i="5"/>
  <c r="Z263" i="5"/>
  <c r="AA263" i="5" s="1"/>
  <c r="Z213" i="5"/>
  <c r="AA213" i="5" s="1"/>
  <c r="Y213" i="5"/>
  <c r="Z81" i="5"/>
  <c r="AA81" i="5" s="1"/>
  <c r="Y81" i="5"/>
  <c r="Z86" i="5"/>
  <c r="AA86" i="5" s="1"/>
  <c r="Y86" i="5"/>
  <c r="Z218" i="5"/>
  <c r="AA218" i="5" s="1"/>
  <c r="Y218" i="5"/>
  <c r="Z82" i="5"/>
  <c r="AA82" i="5" s="1"/>
  <c r="Y82" i="5"/>
  <c r="Z320" i="5"/>
  <c r="AA320" i="5" s="1"/>
  <c r="Y320" i="5"/>
  <c r="Z24" i="5"/>
  <c r="AA24" i="5" s="1"/>
  <c r="Y24" i="5"/>
  <c r="Y314" i="5"/>
  <c r="Z314" i="5"/>
  <c r="AA314" i="5" s="1"/>
  <c r="Z33" i="5"/>
  <c r="AA33" i="5" s="1"/>
  <c r="Y33" i="5"/>
  <c r="Y384" i="5"/>
  <c r="Z384" i="5"/>
  <c r="AA384" i="5" s="1"/>
  <c r="Z421" i="5"/>
  <c r="AA421" i="5" s="1"/>
  <c r="Y421" i="5"/>
  <c r="Y291" i="5"/>
  <c r="Z291" i="5"/>
  <c r="AA291" i="5" s="1"/>
  <c r="Y382" i="5"/>
  <c r="Z382" i="5"/>
  <c r="AA382" i="5" s="1"/>
  <c r="Z121" i="5"/>
  <c r="AA121" i="5" s="1"/>
  <c r="Y121" i="5"/>
  <c r="Y185" i="5"/>
  <c r="Z185" i="5"/>
  <c r="AA185" i="5" s="1"/>
  <c r="Z106" i="5"/>
  <c r="AA106" i="5" s="1"/>
  <c r="Y106" i="5"/>
  <c r="Z417" i="5"/>
  <c r="AA417" i="5" s="1"/>
  <c r="Y417" i="5"/>
  <c r="Y233" i="5"/>
  <c r="Z233" i="5"/>
  <c r="AA233" i="5" s="1"/>
  <c r="Z253" i="5"/>
  <c r="AA253" i="5" s="1"/>
  <c r="Y253" i="5"/>
  <c r="Y55" i="5"/>
  <c r="Z55" i="5"/>
  <c r="AA55" i="5" s="1"/>
  <c r="Y211" i="5"/>
  <c r="Z211" i="5"/>
  <c r="AA211" i="5" s="1"/>
  <c r="Z10" i="5"/>
  <c r="AA10" i="5" s="1"/>
  <c r="Y10" i="5"/>
  <c r="Z122" i="5"/>
  <c r="AA122" i="5" s="1"/>
  <c r="Y122" i="5"/>
  <c r="Y255" i="5"/>
  <c r="Z255" i="5"/>
  <c r="AA255" i="5" s="1"/>
  <c r="Y50" i="5"/>
  <c r="Z50" i="5"/>
  <c r="AA50" i="5" s="1"/>
  <c r="Z114" i="5"/>
  <c r="AA114" i="5" s="1"/>
  <c r="Y114" i="5"/>
  <c r="Z394" i="5"/>
  <c r="AA394" i="5" s="1"/>
  <c r="Y394" i="5"/>
  <c r="Y416" i="5"/>
  <c r="Z416" i="5"/>
  <c r="AA416" i="5" s="1"/>
  <c r="Z124" i="5"/>
  <c r="AA124" i="5" s="1"/>
  <c r="Y124" i="5"/>
  <c r="Z238" i="5"/>
  <c r="AA238" i="5" s="1"/>
  <c r="Y238" i="5"/>
  <c r="Z191" i="5"/>
  <c r="AA191" i="5" s="1"/>
  <c r="Y191" i="5"/>
  <c r="Y42" i="5"/>
  <c r="Z42" i="5"/>
  <c r="AA42" i="5" s="1"/>
  <c r="Z276" i="5"/>
  <c r="AA276" i="5" s="1"/>
  <c r="Y276" i="5"/>
  <c r="Z177" i="5"/>
  <c r="AA177" i="5" s="1"/>
  <c r="Y177" i="5"/>
  <c r="Y108" i="5"/>
  <c r="Z108" i="5"/>
  <c r="AA108" i="5" s="1"/>
  <c r="Z107" i="5"/>
  <c r="AA107" i="5" s="1"/>
  <c r="Y107" i="5"/>
  <c r="Z396" i="5"/>
  <c r="AA396" i="5" s="1"/>
  <c r="Y396" i="5"/>
  <c r="Z405" i="5"/>
  <c r="AA405" i="5" s="1"/>
  <c r="Y405" i="5"/>
  <c r="Z165" i="5"/>
  <c r="AA165" i="5" s="1"/>
  <c r="Y165" i="5"/>
  <c r="Y349" i="5"/>
  <c r="Z349" i="5"/>
  <c r="AA349" i="5" s="1"/>
  <c r="Z270" i="5"/>
  <c r="AA270" i="5" s="1"/>
  <c r="Y270" i="5"/>
  <c r="Z262" i="5"/>
  <c r="AA262" i="5" s="1"/>
  <c r="Y262" i="5"/>
  <c r="Z67" i="5"/>
  <c r="AA67" i="5" s="1"/>
  <c r="Y67" i="5"/>
  <c r="Z316" i="5"/>
  <c r="AA316" i="5" s="1"/>
  <c r="Y316" i="5"/>
  <c r="Z141" i="5"/>
  <c r="AA141" i="5" s="1"/>
  <c r="Y141" i="5"/>
  <c r="Z4" i="5"/>
  <c r="AA4" i="5" s="1"/>
  <c r="Y4" i="5"/>
  <c r="Y243" i="5"/>
  <c r="Z243" i="5"/>
  <c r="AA243" i="5" s="1"/>
  <c r="Y43" i="5"/>
  <c r="Z43" i="5"/>
  <c r="AA43" i="5" s="1"/>
  <c r="Z246" i="5"/>
  <c r="AA246" i="5" s="1"/>
  <c r="Y246" i="5"/>
  <c r="Z196" i="5"/>
  <c r="AA196" i="5" s="1"/>
  <c r="Y196" i="5"/>
  <c r="Z277" i="5"/>
  <c r="AA277" i="5" s="1"/>
  <c r="Y277" i="5"/>
  <c r="Y234" i="5"/>
  <c r="Z234" i="5"/>
  <c r="AA234" i="5" s="1"/>
  <c r="Z216" i="5"/>
  <c r="AA216" i="5" s="1"/>
  <c r="Y216" i="5"/>
  <c r="Y178" i="5"/>
  <c r="Z178" i="5"/>
  <c r="AA178" i="5" s="1"/>
  <c r="Z151" i="5"/>
  <c r="AA151" i="5" s="1"/>
  <c r="Y151" i="5"/>
  <c r="Z411" i="5"/>
  <c r="AA411" i="5" s="1"/>
  <c r="Y411" i="5"/>
  <c r="Z385" i="5"/>
  <c r="AA385" i="5" s="1"/>
  <c r="Y385" i="5"/>
  <c r="Z128" i="5"/>
  <c r="AA128" i="5" s="1"/>
  <c r="Y128" i="5"/>
  <c r="Y184" i="5"/>
  <c r="Z184" i="5"/>
  <c r="AA184" i="5" s="1"/>
  <c r="Y229" i="5"/>
  <c r="Z229" i="5"/>
  <c r="AA229" i="5" s="1"/>
  <c r="Z105" i="5"/>
  <c r="AA105" i="5" s="1"/>
  <c r="Y105" i="5"/>
  <c r="Z202" i="5"/>
  <c r="AA202" i="5" s="1"/>
  <c r="Y202" i="5"/>
  <c r="Z418" i="5"/>
  <c r="AA418" i="5" s="1"/>
  <c r="Y418" i="5"/>
  <c r="Z240" i="5"/>
  <c r="AA240" i="5" s="1"/>
  <c r="Y240" i="5"/>
  <c r="Y195" i="5"/>
  <c r="Z195" i="5"/>
  <c r="AA195" i="5" s="1"/>
  <c r="Z254" i="5"/>
  <c r="AA254" i="5" s="1"/>
  <c r="Y254" i="5"/>
  <c r="Y275" i="5"/>
  <c r="Z275" i="5"/>
  <c r="AA275" i="5" s="1"/>
  <c r="Z112" i="5"/>
  <c r="AA112" i="5" s="1"/>
  <c r="Y112" i="5"/>
  <c r="Y146" i="5"/>
  <c r="Z146" i="5"/>
  <c r="AA146" i="5" s="1"/>
  <c r="Z398" i="5"/>
  <c r="AA398" i="5" s="1"/>
  <c r="Y398" i="5"/>
  <c r="Y399" i="5"/>
  <c r="Z399" i="5"/>
  <c r="AA399" i="5" s="1"/>
  <c r="Y200" i="5"/>
  <c r="Z200" i="5"/>
  <c r="AA200" i="5" s="1"/>
  <c r="Z351" i="5"/>
  <c r="AA351" i="5" s="1"/>
  <c r="Y351" i="5"/>
  <c r="Z76" i="5"/>
  <c r="AA76" i="5" s="1"/>
  <c r="Y76" i="5"/>
  <c r="Z140" i="5"/>
  <c r="AA140" i="5" s="1"/>
  <c r="Y140" i="5"/>
  <c r="Z36" i="5"/>
  <c r="AA36" i="5" s="1"/>
  <c r="Y36" i="5"/>
  <c r="Z221" i="5"/>
  <c r="AA221" i="5" s="1"/>
  <c r="Y221" i="5"/>
  <c r="Y7" i="5"/>
  <c r="Z7" i="5"/>
  <c r="AA7" i="5" s="1"/>
  <c r="Z419" i="5"/>
  <c r="AA419" i="5" s="1"/>
  <c r="Y419" i="5"/>
  <c r="Z44" i="5"/>
  <c r="AA44" i="5" s="1"/>
  <c r="Y44" i="5"/>
  <c r="Z222" i="5"/>
  <c r="AA222" i="5" s="1"/>
  <c r="Y222" i="5"/>
  <c r="Z120" i="5"/>
  <c r="AA120" i="5" s="1"/>
  <c r="Y120" i="5"/>
  <c r="Y428" i="5"/>
  <c r="Z428" i="5"/>
  <c r="AA428" i="5" s="1"/>
  <c r="Z278" i="5"/>
  <c r="AA278" i="5" s="1"/>
  <c r="Y278" i="5"/>
  <c r="Y293" i="5"/>
  <c r="Z293" i="5"/>
  <c r="AA293" i="5" s="1"/>
  <c r="Z395" i="5"/>
  <c r="AA395" i="5" s="1"/>
  <c r="Y395" i="5"/>
  <c r="Y407" i="5"/>
  <c r="Z407" i="5"/>
  <c r="AA407" i="5" s="1"/>
  <c r="Z387" i="5"/>
  <c r="AA387" i="5" s="1"/>
  <c r="Y387" i="5"/>
  <c r="Y236" i="5"/>
  <c r="Z236" i="5"/>
  <c r="AA236" i="5" s="1"/>
  <c r="Z181" i="5"/>
  <c r="AA181" i="5" s="1"/>
  <c r="Y181" i="5"/>
  <c r="Z286" i="5"/>
  <c r="AA286" i="5" s="1"/>
  <c r="Y286" i="5"/>
  <c r="Z348" i="5"/>
  <c r="AA348" i="5" s="1"/>
  <c r="Y348" i="5"/>
  <c r="Z8" i="5"/>
  <c r="AA8" i="5" s="1"/>
  <c r="Y8" i="5"/>
  <c r="Y9" i="5"/>
  <c r="Z9" i="5"/>
  <c r="AA9" i="5" s="1"/>
  <c r="Z378" i="5"/>
  <c r="AA378" i="5" s="1"/>
  <c r="Y378" i="5"/>
  <c r="Z3" i="5"/>
  <c r="AA3" i="5" s="1"/>
  <c r="Y3" i="5"/>
  <c r="Z380" i="5"/>
  <c r="AA380" i="5" s="1"/>
  <c r="Y380" i="5"/>
  <c r="Y247" i="5"/>
  <c r="Z247" i="5"/>
  <c r="AA247" i="5" s="1"/>
  <c r="Y127" i="5"/>
  <c r="Z127" i="5"/>
  <c r="AA127" i="5" s="1"/>
  <c r="Z5" i="5"/>
  <c r="AA5" i="5" s="1"/>
  <c r="Y5" i="5"/>
  <c r="Y6" i="5"/>
  <c r="Z6" i="5"/>
  <c r="AA6" i="5" s="1"/>
  <c r="Z381" i="5"/>
  <c r="AA381" i="5" s="1"/>
  <c r="Y381" i="5"/>
  <c r="Z377" i="5"/>
  <c r="AA377" i="5" s="1"/>
  <c r="Y377" i="5"/>
  <c r="Z244" i="5"/>
  <c r="AA244" i="5" s="1"/>
  <c r="Y244" i="5"/>
  <c r="Y420" i="5"/>
  <c r="Z420" i="5"/>
  <c r="AA420" i="5" s="1"/>
  <c r="Z123" i="5"/>
  <c r="AA123" i="5" s="1"/>
  <c r="Y123" i="5"/>
  <c r="Z126" i="5"/>
  <c r="AA126" i="5" s="1"/>
  <c r="Y126" i="5"/>
  <c r="Z235" i="5"/>
  <c r="AA235" i="5" s="1"/>
  <c r="Y235" i="5"/>
  <c r="Z256" i="5"/>
  <c r="AA256" i="5" s="1"/>
  <c r="Y256" i="5"/>
  <c r="Y430" i="5"/>
  <c r="Z430" i="5"/>
  <c r="AA430" i="5" s="1"/>
  <c r="Z52" i="5"/>
  <c r="AA52" i="5" s="1"/>
  <c r="Y52" i="5"/>
  <c r="Y51" i="5"/>
  <c r="Z51" i="5"/>
  <c r="AA51" i="5" s="1"/>
  <c r="Y53" i="5"/>
  <c r="Z53" i="5"/>
  <c r="AA53" i="5" s="1"/>
  <c r="Z180" i="5"/>
  <c r="AA180" i="5" s="1"/>
  <c r="Y180" i="5"/>
  <c r="Y287" i="5"/>
  <c r="Z287" i="5"/>
  <c r="AA287" i="5" s="1"/>
  <c r="Y111" i="5"/>
  <c r="Z111" i="5"/>
  <c r="AA111" i="5" s="1"/>
  <c r="Z149" i="5"/>
  <c r="AA149" i="5" s="1"/>
  <c r="Y149" i="5"/>
  <c r="Z215" i="5"/>
  <c r="AA215" i="5" s="1"/>
  <c r="Y215" i="5"/>
  <c r="Z199" i="5"/>
  <c r="AA199" i="5" s="1"/>
  <c r="Y199" i="5"/>
  <c r="Z412" i="5"/>
  <c r="AA412" i="5" s="1"/>
  <c r="Y412" i="5"/>
  <c r="Y355" i="5"/>
  <c r="Z355" i="5"/>
  <c r="AA355" i="5" s="1"/>
  <c r="Z58" i="5"/>
  <c r="AA58" i="5" s="1"/>
  <c r="Y58" i="5"/>
  <c r="Y327" i="5"/>
  <c r="Z327" i="5"/>
  <c r="AA327" i="5" s="1"/>
  <c r="Y366" i="5"/>
  <c r="Z366" i="5"/>
  <c r="AA366" i="5" s="1"/>
  <c r="Z64" i="5"/>
  <c r="AA64" i="5" s="1"/>
  <c r="Y64" i="5"/>
  <c r="Y383" i="5"/>
  <c r="Z383" i="5"/>
  <c r="AA383" i="5" s="1"/>
  <c r="Z158" i="5"/>
  <c r="AA158" i="5" s="1"/>
  <c r="Y158" i="5"/>
  <c r="AE22" i="5"/>
  <c r="AD22" i="5"/>
  <c r="AF22" i="5" s="1"/>
  <c r="AM22" i="5"/>
  <c r="AN22" i="5" s="1"/>
  <c r="AO22" i="5" s="1"/>
  <c r="AE161" i="5"/>
  <c r="AD161" i="5"/>
  <c r="AF161" i="5" s="1"/>
  <c r="AK231" i="5"/>
  <c r="Z21" i="5"/>
  <c r="AA21" i="5" s="1"/>
  <c r="Y21" i="5"/>
  <c r="AK345" i="5"/>
  <c r="AI89" i="5"/>
  <c r="AH89" i="5"/>
  <c r="AG89" i="5"/>
  <c r="AC89" i="5"/>
  <c r="Y31" i="5"/>
  <c r="Z31" i="5"/>
  <c r="AA31" i="5" s="1"/>
  <c r="AC335" i="5"/>
  <c r="AH335" i="5"/>
  <c r="AG335" i="5"/>
  <c r="AK335" i="5" s="1"/>
  <c r="AI335" i="5"/>
  <c r="AI173" i="5"/>
  <c r="AH173" i="5"/>
  <c r="AG173" i="5"/>
  <c r="AC173" i="5"/>
  <c r="AI390" i="5"/>
  <c r="AH390" i="5"/>
  <c r="AG390" i="5"/>
  <c r="AK390" i="5" s="1"/>
  <c r="AC390" i="5"/>
  <c r="AG20" i="5"/>
  <c r="AK20" i="5" s="1"/>
  <c r="AI20" i="5"/>
  <c r="AH20" i="5"/>
  <c r="AC20" i="5"/>
  <c r="AE329" i="5"/>
  <c r="AD329" i="5"/>
  <c r="AF329" i="5" s="1"/>
  <c r="AG368" i="5"/>
  <c r="AI368" i="5"/>
  <c r="AH368" i="5"/>
  <c r="AC368" i="5"/>
  <c r="AC19" i="5"/>
  <c r="AI19" i="5"/>
  <c r="AH19" i="5"/>
  <c r="AG19" i="5"/>
  <c r="AK19" i="5" s="1"/>
  <c r="AI309" i="5"/>
  <c r="AH309" i="5"/>
  <c r="AG309" i="5"/>
  <c r="AK309" i="5" s="1"/>
  <c r="AC309" i="5"/>
  <c r="AH300" i="5"/>
  <c r="AC300" i="5"/>
  <c r="AI300" i="5"/>
  <c r="AG300" i="5"/>
  <c r="AK300" i="5" s="1"/>
  <c r="Z65" i="5"/>
  <c r="AA65" i="5" s="1"/>
  <c r="Y65" i="5"/>
  <c r="AE209" i="5"/>
  <c r="AD209" i="5"/>
  <c r="AF209" i="5" s="1"/>
  <c r="AH332" i="5"/>
  <c r="AI332" i="5"/>
  <c r="AG332" i="5"/>
  <c r="AK332" i="5" s="1"/>
  <c r="AC332" i="5"/>
  <c r="AI172" i="5"/>
  <c r="AH172" i="5"/>
  <c r="AG172" i="5"/>
  <c r="AC172" i="5"/>
  <c r="Z46" i="5"/>
  <c r="AA46" i="5" s="1"/>
  <c r="Y46" i="5"/>
  <c r="Z413" i="5"/>
  <c r="AA413" i="5" s="1"/>
  <c r="Y413" i="5"/>
  <c r="Y35" i="5"/>
  <c r="Z35" i="5"/>
  <c r="AA35" i="5" s="1"/>
  <c r="AC99" i="5"/>
  <c r="AI99" i="5"/>
  <c r="AH99" i="5"/>
  <c r="AG99" i="5"/>
  <c r="Y34" i="5"/>
  <c r="Z34" i="5"/>
  <c r="AA34" i="5" s="1"/>
  <c r="Y319" i="5"/>
  <c r="Z319" i="5"/>
  <c r="AA319" i="5" s="1"/>
  <c r="Z171" i="5"/>
  <c r="AA171" i="5" s="1"/>
  <c r="Y171" i="5"/>
  <c r="AG330" i="5"/>
  <c r="AH330" i="5"/>
  <c r="AI330" i="5"/>
  <c r="AC330" i="5"/>
  <c r="AC304" i="5"/>
  <c r="AI304" i="5"/>
  <c r="AH304" i="5"/>
  <c r="AG304" i="5"/>
  <c r="AI341" i="5"/>
  <c r="AG341" i="5"/>
  <c r="AH341" i="5"/>
  <c r="AC341" i="5"/>
  <c r="Y227" i="5"/>
  <c r="Z227" i="5"/>
  <c r="AA227" i="5" s="1"/>
  <c r="AG299" i="5"/>
  <c r="AK299" i="5" s="1"/>
  <c r="AC299" i="5"/>
  <c r="AI299" i="5"/>
  <c r="AH299" i="5"/>
  <c r="AC258" i="5"/>
  <c r="AI258" i="5"/>
  <c r="AG258" i="5"/>
  <c r="AH258" i="5"/>
  <c r="Z292" i="5"/>
  <c r="AA292" i="5" s="1"/>
  <c r="Y292" i="5"/>
  <c r="AK11" i="5"/>
  <c r="Y282" i="5"/>
  <c r="Z282" i="5"/>
  <c r="AA282" i="5" s="1"/>
  <c r="AI230" i="5"/>
  <c r="AC230" i="5"/>
  <c r="AH230" i="5"/>
  <c r="AG230" i="5"/>
  <c r="Z388" i="5"/>
  <c r="AA388" i="5" s="1"/>
  <c r="Y388" i="5"/>
  <c r="Z189" i="5"/>
  <c r="AA189" i="5" s="1"/>
  <c r="Y189" i="5"/>
  <c r="Y223" i="5"/>
  <c r="Z223" i="5"/>
  <c r="AA223" i="5" s="1"/>
  <c r="Y193" i="5"/>
  <c r="Z193" i="5"/>
  <c r="AA193" i="5" s="1"/>
  <c r="Y315" i="5"/>
  <c r="Z315" i="5"/>
  <c r="AA315" i="5" s="1"/>
  <c r="AC91" i="5"/>
  <c r="AI91" i="5"/>
  <c r="AH91" i="5"/>
  <c r="AG91" i="5"/>
  <c r="Y26" i="5"/>
  <c r="Z26" i="5"/>
  <c r="AA26" i="5" s="1"/>
  <c r="Y408" i="5"/>
  <c r="Z408" i="5"/>
  <c r="AA408" i="5" s="1"/>
  <c r="AH40" i="5"/>
  <c r="AC40" i="5"/>
  <c r="AI40" i="5"/>
  <c r="AG40" i="5"/>
  <c r="Y339" i="5"/>
  <c r="Z339" i="5"/>
  <c r="AA339" i="5" s="1"/>
  <c r="AG266" i="5"/>
  <c r="AC266" i="5"/>
  <c r="AI266" i="5"/>
  <c r="AH266" i="5"/>
  <c r="Z224" i="5"/>
  <c r="AA224" i="5" s="1"/>
  <c r="Y224" i="5"/>
  <c r="AH220" i="5"/>
  <c r="AC220" i="5"/>
  <c r="AI220" i="5"/>
  <c r="AG220" i="5"/>
  <c r="AH186" i="5"/>
  <c r="AI186" i="5"/>
  <c r="AG186" i="5"/>
  <c r="AK186" i="5" s="1"/>
  <c r="AC186" i="5"/>
  <c r="Z401" i="5"/>
  <c r="AA401" i="5" s="1"/>
  <c r="Y401" i="5"/>
  <c r="AM11" i="5"/>
  <c r="AN11" i="5" s="1"/>
  <c r="AO11" i="5" s="1"/>
  <c r="AE11" i="5"/>
  <c r="AD11" i="5"/>
  <c r="AF11" i="5" s="1"/>
  <c r="Y188" i="5"/>
  <c r="Z188" i="5"/>
  <c r="AA188" i="5" s="1"/>
  <c r="AK219" i="5"/>
  <c r="AI249" i="5"/>
  <c r="AC249" i="5"/>
  <c r="AG249" i="5"/>
  <c r="AH249" i="5"/>
  <c r="Y201" i="5"/>
  <c r="Z201" i="5"/>
  <c r="AA201" i="5" s="1"/>
  <c r="Z80" i="5"/>
  <c r="AA80" i="5" s="1"/>
  <c r="Y80" i="5"/>
  <c r="Y342" i="5"/>
  <c r="Z342" i="5"/>
  <c r="AA342" i="5" s="1"/>
  <c r="Z159" i="5"/>
  <c r="AA159" i="5" s="1"/>
  <c r="Y159" i="5"/>
  <c r="Y347" i="5"/>
  <c r="Z347" i="5"/>
  <c r="AA347" i="5" s="1"/>
  <c r="AC433" i="5"/>
  <c r="AG433" i="5"/>
  <c r="AI433" i="5"/>
  <c r="AH433" i="5"/>
  <c r="AD346" i="5"/>
  <c r="AF346" i="5" s="1"/>
  <c r="AE346" i="5"/>
  <c r="Z318" i="5"/>
  <c r="AA318" i="5" s="1"/>
  <c r="Y318" i="5"/>
  <c r="Y137" i="5"/>
  <c r="Z137" i="5"/>
  <c r="AA137" i="5" s="1"/>
  <c r="AH284" i="5"/>
  <c r="AI284" i="5"/>
  <c r="AG284" i="5"/>
  <c r="AC284" i="5"/>
  <c r="AI257" i="5"/>
  <c r="AH257" i="5"/>
  <c r="AG257" i="5"/>
  <c r="AC257" i="5"/>
  <c r="AH340" i="5"/>
  <c r="AI340" i="5"/>
  <c r="AG340" i="5"/>
  <c r="AC340" i="5"/>
  <c r="AD88" i="5"/>
  <c r="AF88" i="5" s="1"/>
  <c r="AM88" i="5"/>
  <c r="AN88" i="5" s="1"/>
  <c r="AO88" i="5" s="1"/>
  <c r="AE88" i="5"/>
  <c r="Y63" i="5"/>
  <c r="Z63" i="5"/>
  <c r="AA63" i="5" s="1"/>
  <c r="AI426" i="5"/>
  <c r="AC426" i="5"/>
  <c r="AH426" i="5"/>
  <c r="AG426" i="5"/>
  <c r="AK426" i="5" s="1"/>
  <c r="Y66" i="5"/>
  <c r="Z66" i="5"/>
  <c r="AA66" i="5" s="1"/>
  <c r="AH273" i="5"/>
  <c r="AC273" i="5"/>
  <c r="AG273" i="5"/>
  <c r="AI273" i="5"/>
  <c r="Y400" i="5"/>
  <c r="Z400" i="5"/>
  <c r="AA400" i="5" s="1"/>
  <c r="AM345" i="5"/>
  <c r="AN345" i="5" s="1"/>
  <c r="AO345" i="5" s="1"/>
  <c r="AE345" i="5"/>
  <c r="AD345" i="5"/>
  <c r="AF345" i="5" s="1"/>
  <c r="Z350" i="5"/>
  <c r="AA350" i="5" s="1"/>
  <c r="Y350" i="5"/>
  <c r="Y259" i="5"/>
  <c r="Z259" i="5"/>
  <c r="AA259" i="5" s="1"/>
  <c r="Z409" i="5"/>
  <c r="AA409" i="5" s="1"/>
  <c r="Y409" i="5"/>
  <c r="Z353" i="5"/>
  <c r="AA353" i="5" s="1"/>
  <c r="Y353" i="5"/>
  <c r="AI74" i="5"/>
  <c r="AC74" i="5"/>
  <c r="AH74" i="5"/>
  <c r="AG74" i="5"/>
  <c r="AH328" i="5"/>
  <c r="AC328" i="5"/>
  <c r="AI328" i="5"/>
  <c r="AG328" i="5"/>
  <c r="AK328" i="5" s="1"/>
  <c r="AC272" i="5"/>
  <c r="AG272" i="5"/>
  <c r="AK272" i="5" s="1"/>
  <c r="AI272" i="5"/>
  <c r="AH272" i="5"/>
  <c r="AC160" i="5"/>
  <c r="AG160" i="5"/>
  <c r="AK160" i="5" s="1"/>
  <c r="AI160" i="5"/>
  <c r="AH160" i="5"/>
  <c r="AC208" i="5"/>
  <c r="AH208" i="5"/>
  <c r="AG208" i="5"/>
  <c r="AI208" i="5"/>
  <c r="Y132" i="5"/>
  <c r="Z132" i="5"/>
  <c r="AA132" i="5" s="1"/>
  <c r="AC338" i="5"/>
  <c r="AG338" i="5"/>
  <c r="AI338" i="5"/>
  <c r="AH338" i="5"/>
  <c r="AI344" i="5"/>
  <c r="AH344" i="5"/>
  <c r="AG344" i="5"/>
  <c r="AK344" i="5" s="1"/>
  <c r="AC344" i="5"/>
  <c r="AI17" i="5"/>
  <c r="AC17" i="5"/>
  <c r="AH17" i="5"/>
  <c r="AG17" i="5"/>
  <c r="AI363" i="5"/>
  <c r="AH363" i="5"/>
  <c r="AG363" i="5"/>
  <c r="AK363" i="5" s="1"/>
  <c r="AC363" i="5"/>
  <c r="AH156" i="5"/>
  <c r="AG156" i="5"/>
  <c r="AK156" i="5" s="1"/>
  <c r="AC156" i="5"/>
  <c r="AI156" i="5"/>
  <c r="AC174" i="5"/>
  <c r="AI174" i="5"/>
  <c r="AH174" i="5"/>
  <c r="AG174" i="5"/>
  <c r="AK174" i="5" s="1"/>
  <c r="Z152" i="5"/>
  <c r="AA152" i="5" s="1"/>
  <c r="Y152" i="5"/>
  <c r="AE176" i="5"/>
  <c r="AD176" i="5"/>
  <c r="AF176" i="5" s="1"/>
  <c r="AM176" i="5"/>
  <c r="AN176" i="5" s="1"/>
  <c r="AO176" i="5" s="1"/>
  <c r="Z356" i="5"/>
  <c r="AA356" i="5" s="1"/>
  <c r="Y356" i="5"/>
  <c r="Y422" i="5"/>
  <c r="Z422" i="5"/>
  <c r="AA422" i="5" s="1"/>
  <c r="AC92" i="5"/>
  <c r="AI92" i="5"/>
  <c r="AH92" i="5"/>
  <c r="AG92" i="5"/>
  <c r="Y147" i="5"/>
  <c r="Z147" i="5"/>
  <c r="AA147" i="5" s="1"/>
  <c r="Z13" i="5"/>
  <c r="AA13" i="5" s="1"/>
  <c r="Y13" i="5"/>
  <c r="Z30" i="5"/>
  <c r="AA30" i="5" s="1"/>
  <c r="Y30" i="5"/>
  <c r="Z374" i="5"/>
  <c r="AA374" i="5" s="1"/>
  <c r="Y374" i="5"/>
  <c r="Y47" i="5"/>
  <c r="Z47" i="5"/>
  <c r="AA47" i="5" s="1"/>
  <c r="Y85" i="5"/>
  <c r="Z85" i="5"/>
  <c r="AA85" i="5" s="1"/>
  <c r="Y429" i="5"/>
  <c r="Z429" i="5"/>
  <c r="AA429" i="5" s="1"/>
  <c r="Z194" i="5"/>
  <c r="AA194" i="5" s="1"/>
  <c r="Y194" i="5"/>
  <c r="AC295" i="5"/>
  <c r="AH295" i="5"/>
  <c r="AG295" i="5"/>
  <c r="AK295" i="5" s="1"/>
  <c r="AI295" i="5"/>
  <c r="Z397" i="5"/>
  <c r="AA397" i="5" s="1"/>
  <c r="Y397" i="5"/>
  <c r="Y79" i="5"/>
  <c r="Z79" i="5"/>
  <c r="AA79" i="5" s="1"/>
  <c r="Z28" i="5"/>
  <c r="AA28" i="5" s="1"/>
  <c r="Y28" i="5"/>
  <c r="AM294" i="5"/>
  <c r="AN294" i="5" s="1"/>
  <c r="AO294" i="5" s="1"/>
  <c r="AD294" i="5"/>
  <c r="AF294" i="5" s="1"/>
  <c r="AE294" i="5"/>
  <c r="AI198" i="5"/>
  <c r="AH198" i="5"/>
  <c r="AG198" i="5"/>
  <c r="AC198" i="5"/>
  <c r="AC131" i="5"/>
  <c r="AG131" i="5"/>
  <c r="AK131" i="5" s="1"/>
  <c r="AI131" i="5"/>
  <c r="AH131" i="5"/>
  <c r="Z226" i="5"/>
  <c r="AA226" i="5" s="1"/>
  <c r="Y226" i="5"/>
  <c r="AI241" i="5"/>
  <c r="AH241" i="5"/>
  <c r="AG241" i="5"/>
  <c r="AK241" i="5" s="1"/>
  <c r="AC241" i="5"/>
  <c r="AC93" i="5"/>
  <c r="AG93" i="5"/>
  <c r="AI93" i="5"/>
  <c r="AH93" i="5"/>
  <c r="Y45" i="5"/>
  <c r="Z45" i="5"/>
  <c r="AA45" i="5" s="1"/>
  <c r="Z78" i="5"/>
  <c r="AA78" i="5" s="1"/>
  <c r="Y78" i="5"/>
  <c r="AI12" i="5"/>
  <c r="AC12" i="5"/>
  <c r="AH12" i="5"/>
  <c r="AG12" i="5"/>
  <c r="Y354" i="5"/>
  <c r="Z354" i="5"/>
  <c r="AA354" i="5" s="1"/>
  <c r="AD427" i="5"/>
  <c r="AF427" i="5" s="1"/>
  <c r="AM427" i="5"/>
  <c r="AN427" i="5" s="1"/>
  <c r="AO427" i="5" s="1"/>
  <c r="AE427" i="5"/>
  <c r="Y15" i="5"/>
  <c r="Z15" i="5"/>
  <c r="AA15" i="5" s="1"/>
  <c r="Z164" i="5"/>
  <c r="AA164" i="5" s="1"/>
  <c r="Y164" i="5"/>
  <c r="Z72" i="5"/>
  <c r="AA72" i="5" s="1"/>
  <c r="Y72" i="5"/>
  <c r="Z322" i="5"/>
  <c r="AA322" i="5" s="1"/>
  <c r="Y322" i="5"/>
  <c r="Y139" i="5"/>
  <c r="Z139" i="5"/>
  <c r="AA139" i="5" s="1"/>
  <c r="AD155" i="5"/>
  <c r="AF155" i="5" s="1"/>
  <c r="AE155" i="5"/>
  <c r="AD175" i="5"/>
  <c r="AF175" i="5" s="1"/>
  <c r="AM175" i="5"/>
  <c r="AN175" i="5" s="1"/>
  <c r="AO175" i="5" s="1"/>
  <c r="AE175" i="5"/>
  <c r="AI370" i="5"/>
  <c r="AH370" i="5"/>
  <c r="AG370" i="5"/>
  <c r="AC370" i="5"/>
  <c r="AI371" i="5"/>
  <c r="AC371" i="5"/>
  <c r="AH371" i="5"/>
  <c r="AG371" i="5"/>
  <c r="Z166" i="5"/>
  <c r="AA166" i="5" s="1"/>
  <c r="Y166" i="5"/>
  <c r="AI97" i="5"/>
  <c r="AH97" i="5"/>
  <c r="AG97" i="5"/>
  <c r="AC97" i="5"/>
  <c r="AC372" i="5"/>
  <c r="AI372" i="5"/>
  <c r="AH372" i="5"/>
  <c r="AG372" i="5"/>
  <c r="AK372" i="5" s="1"/>
  <c r="Z264" i="5"/>
  <c r="AA264" i="5" s="1"/>
  <c r="Y264" i="5"/>
  <c r="AC334" i="5"/>
  <c r="AH334" i="5"/>
  <c r="AG334" i="5"/>
  <c r="AK334" i="5" s="1"/>
  <c r="AI334" i="5"/>
  <c r="Y109" i="5"/>
  <c r="Z109" i="5"/>
  <c r="AA109" i="5" s="1"/>
  <c r="Z32" i="5"/>
  <c r="AA32" i="5" s="1"/>
  <c r="Y32" i="5"/>
  <c r="Y296" i="5"/>
  <c r="Z296" i="5"/>
  <c r="AA296" i="5" s="1"/>
  <c r="AD104" i="5"/>
  <c r="AF104" i="5" s="1"/>
  <c r="AE104" i="5"/>
  <c r="AH343" i="5"/>
  <c r="AC343" i="5"/>
  <c r="AI343" i="5"/>
  <c r="AG343" i="5"/>
  <c r="Z38" i="5"/>
  <c r="AA38" i="5" s="1"/>
  <c r="Y38" i="5"/>
  <c r="Y321" i="5"/>
  <c r="Z321" i="5"/>
  <c r="AA321" i="5" s="1"/>
  <c r="AK168" i="5"/>
  <c r="AM168" i="5" s="1"/>
  <c r="AN168" i="5" s="1"/>
  <c r="AO168" i="5" s="1"/>
  <c r="Z62" i="5"/>
  <c r="AA62" i="5" s="1"/>
  <c r="Y62" i="5"/>
  <c r="AI333" i="5"/>
  <c r="AH333" i="5"/>
  <c r="AC333" i="5"/>
  <c r="AG333" i="5"/>
  <c r="Y95" i="5"/>
  <c r="J8" i="4" s="1"/>
  <c r="Z95" i="5"/>
  <c r="AA95" i="5" s="1"/>
  <c r="Z135" i="5"/>
  <c r="AA135" i="5" s="1"/>
  <c r="Y135" i="5"/>
  <c r="AG306" i="5"/>
  <c r="AI306" i="5"/>
  <c r="AH306" i="5"/>
  <c r="AC306" i="5"/>
  <c r="D8" i="4"/>
  <c r="AG367" i="5"/>
  <c r="AC367" i="5"/>
  <c r="AI367" i="5"/>
  <c r="AH367" i="5"/>
  <c r="AG302" i="5"/>
  <c r="AH302" i="5"/>
  <c r="AC302" i="5"/>
  <c r="AI302" i="5"/>
  <c r="AC303" i="5"/>
  <c r="AH303" i="5"/>
  <c r="AI303" i="5"/>
  <c r="AG303" i="5"/>
  <c r="AK303" i="5" s="1"/>
  <c r="Z214" i="5"/>
  <c r="AA214" i="5" s="1"/>
  <c r="Y214" i="5"/>
  <c r="AC336" i="5"/>
  <c r="AH336" i="5"/>
  <c r="AG336" i="5"/>
  <c r="AK336" i="5" s="1"/>
  <c r="AI336" i="5"/>
  <c r="Y323" i="5"/>
  <c r="Z323" i="5"/>
  <c r="AA323" i="5" s="1"/>
  <c r="Z115" i="5"/>
  <c r="AA115" i="5" s="1"/>
  <c r="Y115" i="5"/>
  <c r="Z83" i="5"/>
  <c r="AA83" i="5" s="1"/>
  <c r="Y83" i="5"/>
  <c r="AC101" i="5"/>
  <c r="AG101" i="5"/>
  <c r="AI101" i="5"/>
  <c r="AH101" i="5"/>
  <c r="Y245" i="5"/>
  <c r="Z245" i="5"/>
  <c r="AA245" i="5" s="1"/>
  <c r="Y138" i="5"/>
  <c r="Z138" i="5"/>
  <c r="AA138" i="5" s="1"/>
  <c r="Z167" i="5"/>
  <c r="AA167" i="5" s="1"/>
  <c r="Y167" i="5"/>
  <c r="AC364" i="5"/>
  <c r="AI364" i="5"/>
  <c r="AH364" i="5"/>
  <c r="AG364" i="5"/>
  <c r="AH94" i="5"/>
  <c r="AI94" i="5"/>
  <c r="AG94" i="5"/>
  <c r="AK94" i="5" s="1"/>
  <c r="AC94" i="5"/>
  <c r="Y170" i="5"/>
  <c r="Z170" i="5"/>
  <c r="AA170" i="5" s="1"/>
  <c r="Y252" i="5"/>
  <c r="Z252" i="5"/>
  <c r="AA252" i="5" s="1"/>
  <c r="Z317" i="5"/>
  <c r="AA317" i="5" s="1"/>
  <c r="Y317" i="5"/>
  <c r="Z54" i="5"/>
  <c r="AA54" i="5" s="1"/>
  <c r="Y54" i="5"/>
  <c r="Z431" i="5"/>
  <c r="AA431" i="5" s="1"/>
  <c r="Y431" i="5"/>
  <c r="Z207" i="5"/>
  <c r="AA207" i="5" s="1"/>
  <c r="Y207" i="5"/>
  <c r="Y144" i="5"/>
  <c r="Z144" i="5"/>
  <c r="AA144" i="5" s="1"/>
  <c r="Y239" i="5"/>
  <c r="Z239" i="5"/>
  <c r="AA239" i="5" s="1"/>
  <c r="Y424" i="5"/>
  <c r="Z424" i="5"/>
  <c r="AA424" i="5" s="1"/>
  <c r="Y279" i="5"/>
  <c r="Z279" i="5"/>
  <c r="AA279" i="5" s="1"/>
  <c r="Z148" i="5"/>
  <c r="AA148" i="5" s="1"/>
  <c r="Y148" i="5"/>
  <c r="Z248" i="5"/>
  <c r="AA248" i="5" s="1"/>
  <c r="Y248" i="5"/>
  <c r="Y60" i="5"/>
  <c r="Z60" i="5"/>
  <c r="AA60" i="5" s="1"/>
  <c r="AH118" i="5"/>
  <c r="AI118" i="5"/>
  <c r="AG118" i="5"/>
  <c r="AC118" i="5"/>
  <c r="AE375" i="5"/>
  <c r="AD375" i="5"/>
  <c r="AF375" i="5" s="1"/>
  <c r="AM375" i="5"/>
  <c r="AN375" i="5" s="1"/>
  <c r="AO375" i="5" s="1"/>
  <c r="Z357" i="5"/>
  <c r="AA357" i="5" s="1"/>
  <c r="Y357" i="5"/>
  <c r="AC154" i="5"/>
  <c r="AI154" i="5"/>
  <c r="AH154" i="5"/>
  <c r="AG154" i="5"/>
  <c r="AK154" i="5" s="1"/>
  <c r="AM376" i="5"/>
  <c r="AN376" i="5" s="1"/>
  <c r="AO376" i="5" s="1"/>
  <c r="AE376" i="5"/>
  <c r="AD376" i="5"/>
  <c r="AF376" i="5" s="1"/>
  <c r="AI57" i="5"/>
  <c r="AH57" i="5"/>
  <c r="AC57" i="5"/>
  <c r="AG57" i="5"/>
  <c r="AK57" i="5" s="1"/>
  <c r="AK56" i="5"/>
  <c r="AM56" i="5" s="1"/>
  <c r="AN56" i="5" s="1"/>
  <c r="AO56" i="5" s="1"/>
  <c r="Z145" i="5"/>
  <c r="AA145" i="5" s="1"/>
  <c r="Y145" i="5"/>
  <c r="Z406" i="5"/>
  <c r="AA406" i="5" s="1"/>
  <c r="Y406" i="5"/>
  <c r="Z190" i="5"/>
  <c r="AA190" i="5" s="1"/>
  <c r="Y190" i="5"/>
  <c r="Y392" i="5"/>
  <c r="Z392" i="5"/>
  <c r="AA392" i="5" s="1"/>
  <c r="Z153" i="5"/>
  <c r="AA153" i="5" s="1"/>
  <c r="Y153" i="5"/>
  <c r="Z68" i="5"/>
  <c r="AA68" i="5" s="1"/>
  <c r="Y68" i="5"/>
  <c r="Y18" i="5"/>
  <c r="Z18" i="5"/>
  <c r="AA18" i="5" s="1"/>
  <c r="Y87" i="5"/>
  <c r="Z87" i="5"/>
  <c r="AA87" i="5" s="1"/>
  <c r="Z281" i="5"/>
  <c r="AA281" i="5" s="1"/>
  <c r="Y281" i="5"/>
  <c r="Z179" i="5"/>
  <c r="AA179" i="5" s="1"/>
  <c r="Y179" i="5"/>
  <c r="Z298" i="5"/>
  <c r="AA298" i="5" s="1"/>
  <c r="Y298" i="5"/>
  <c r="AK104" i="5"/>
  <c r="AM104" i="5" s="1"/>
  <c r="AN104" i="5" s="1"/>
  <c r="AO104" i="5" s="1"/>
  <c r="AK161" i="5"/>
  <c r="AM161" i="5" s="1"/>
  <c r="AN161" i="5" s="1"/>
  <c r="AO161" i="5" s="1"/>
  <c r="AG307" i="5"/>
  <c r="AC307" i="5"/>
  <c r="AI307" i="5"/>
  <c r="AH307" i="5"/>
  <c r="Z14" i="5"/>
  <c r="AA14" i="5" s="1"/>
  <c r="Y14" i="5"/>
  <c r="AC414" i="5"/>
  <c r="AI414" i="5"/>
  <c r="AH414" i="5"/>
  <c r="AG414" i="5"/>
  <c r="AC265" i="5"/>
  <c r="AG265" i="5"/>
  <c r="AK265" i="5" s="1"/>
  <c r="AH265" i="5"/>
  <c r="AI265" i="5"/>
  <c r="Y69" i="5"/>
  <c r="Z69" i="5"/>
  <c r="AA69" i="5" s="1"/>
  <c r="Z133" i="5"/>
  <c r="AA133" i="5" s="1"/>
  <c r="Y133" i="5"/>
  <c r="AE168" i="5"/>
  <c r="AD168" i="5"/>
  <c r="AF168" i="5" s="1"/>
  <c r="Z75" i="5"/>
  <c r="AA75" i="5" s="1"/>
  <c r="Y75" i="5"/>
  <c r="AI157" i="5"/>
  <c r="AH157" i="5"/>
  <c r="AG157" i="5"/>
  <c r="AC157" i="5"/>
  <c r="Y37" i="5"/>
  <c r="Z37" i="5"/>
  <c r="AA37" i="5" s="1"/>
  <c r="AE130" i="5"/>
  <c r="AD130" i="5"/>
  <c r="AF130" i="5" s="1"/>
  <c r="AI73" i="5"/>
  <c r="AH73" i="5"/>
  <c r="AC73" i="5"/>
  <c r="AG73" i="5"/>
  <c r="AC197" i="5"/>
  <c r="AG197" i="5"/>
  <c r="AI197" i="5"/>
  <c r="AH197" i="5"/>
  <c r="Z102" i="5"/>
  <c r="AA102" i="5" s="1"/>
  <c r="Y102" i="5"/>
  <c r="AK329" i="5"/>
  <c r="AM329" i="5" s="1"/>
  <c r="AN329" i="5" s="1"/>
  <c r="AO329" i="5" s="1"/>
  <c r="Z369" i="5"/>
  <c r="AA369" i="5" s="1"/>
  <c r="Y369" i="5"/>
  <c r="AI98" i="5"/>
  <c r="AH98" i="5"/>
  <c r="AC98" i="5"/>
  <c r="AG98" i="5"/>
  <c r="E32" i="4"/>
  <c r="J32" i="4"/>
  <c r="K32" i="4" s="1"/>
  <c r="I32" i="4"/>
  <c r="F32" i="4"/>
  <c r="AI90" i="5"/>
  <c r="AH90" i="5"/>
  <c r="AC90" i="5"/>
  <c r="AG90" i="5"/>
  <c r="I19" i="4"/>
  <c r="E19" i="4"/>
  <c r="J19" i="4"/>
  <c r="Y337" i="5"/>
  <c r="Z337" i="5"/>
  <c r="AA337" i="5" s="1"/>
  <c r="Z84" i="5"/>
  <c r="AA84" i="5" s="1"/>
  <c r="Y84" i="5"/>
  <c r="Z113" i="5"/>
  <c r="AA113" i="5" s="1"/>
  <c r="Y113" i="5"/>
  <c r="Z116" i="5"/>
  <c r="AA116" i="5" s="1"/>
  <c r="Y116" i="5"/>
  <c r="Y134" i="5"/>
  <c r="Z134" i="5"/>
  <c r="AA134" i="5" s="1"/>
  <c r="Z386" i="5"/>
  <c r="AA386" i="5" s="1"/>
  <c r="Y386" i="5"/>
  <c r="Z393" i="5"/>
  <c r="AA393" i="5" s="1"/>
  <c r="Y393" i="5"/>
  <c r="AC100" i="5"/>
  <c r="AI100" i="5"/>
  <c r="AH100" i="5"/>
  <c r="AG100" i="5"/>
  <c r="Y61" i="5"/>
  <c r="Z61" i="5"/>
  <c r="AA61" i="5" s="1"/>
  <c r="Z232" i="5"/>
  <c r="AA232" i="5" s="1"/>
  <c r="Y232" i="5"/>
  <c r="Z212" i="5"/>
  <c r="AA212" i="5" s="1"/>
  <c r="Y212" i="5"/>
  <c r="D19" i="4" s="1"/>
  <c r="Z285" i="5"/>
  <c r="AA285" i="5" s="1"/>
  <c r="Y285" i="5"/>
  <c r="AI403" i="5"/>
  <c r="AH403" i="5"/>
  <c r="AC403" i="5"/>
  <c r="AG403" i="5"/>
  <c r="Y29" i="5"/>
  <c r="Z29" i="5"/>
  <c r="AA29" i="5" s="1"/>
  <c r="AK209" i="5"/>
  <c r="AM209" i="5" s="1"/>
  <c r="AN209" i="5" s="1"/>
  <c r="AO209" i="5" s="1"/>
  <c r="Y331" i="5"/>
  <c r="E30" i="4" s="1"/>
  <c r="Z331" i="5"/>
  <c r="AA331" i="5" s="1"/>
  <c r="AH308" i="5"/>
  <c r="AI308" i="5"/>
  <c r="AG308" i="5"/>
  <c r="AC308" i="5"/>
  <c r="AD56" i="5"/>
  <c r="AF56" i="5" s="1"/>
  <c r="AE56" i="5"/>
  <c r="Z129" i="5"/>
  <c r="AA129" i="5" s="1"/>
  <c r="Y129" i="5"/>
  <c r="AI187" i="5"/>
  <c r="AH187" i="5"/>
  <c r="AG187" i="5"/>
  <c r="AC187" i="5"/>
  <c r="Z25" i="5"/>
  <c r="AA25" i="5" s="1"/>
  <c r="Y25" i="5"/>
  <c r="Z310" i="5"/>
  <c r="AA310" i="5" s="1"/>
  <c r="Y310" i="5"/>
  <c r="Y288" i="5"/>
  <c r="Z288" i="5"/>
  <c r="AA288" i="5" s="1"/>
  <c r="AE39" i="5"/>
  <c r="AD39" i="5"/>
  <c r="AF39" i="5" s="1"/>
  <c r="AM39" i="5"/>
  <c r="AN39" i="5" s="1"/>
  <c r="AO39" i="5" s="1"/>
  <c r="Y280" i="5"/>
  <c r="Z280" i="5"/>
  <c r="AA280" i="5" s="1"/>
  <c r="Z70" i="5"/>
  <c r="AA70" i="5" s="1"/>
  <c r="Y70" i="5"/>
  <c r="Z183" i="5"/>
  <c r="AA183" i="5" s="1"/>
  <c r="Y183" i="5"/>
  <c r="Y217" i="5"/>
  <c r="Z217" i="5"/>
  <c r="AA217" i="5" s="1"/>
  <c r="Y267" i="5"/>
  <c r="Z267" i="5"/>
  <c r="AA267" i="5" s="1"/>
  <c r="AM219" i="5"/>
  <c r="AN219" i="5" s="1"/>
  <c r="AO219" i="5" s="1"/>
  <c r="AD219" i="5"/>
  <c r="AF219" i="5" s="1"/>
  <c r="AE219" i="5"/>
  <c r="Z96" i="5"/>
  <c r="AA96" i="5" s="1"/>
  <c r="Y96" i="5"/>
  <c r="E8" i="4" s="1"/>
  <c r="Y71" i="5"/>
  <c r="Z71" i="5"/>
  <c r="AA71" i="5" s="1"/>
  <c r="F13" i="4"/>
  <c r="E13" i="4"/>
  <c r="L13" i="4"/>
  <c r="D13" i="4"/>
  <c r="I13" i="4"/>
  <c r="J13" i="4"/>
  <c r="AC360" i="5"/>
  <c r="AI360" i="5"/>
  <c r="AG360" i="5"/>
  <c r="AH360" i="5"/>
  <c r="Z324" i="5"/>
  <c r="AA324" i="5" s="1"/>
  <c r="Y324" i="5"/>
  <c r="AI142" i="5"/>
  <c r="AC142" i="5"/>
  <c r="AG142" i="5"/>
  <c r="AK142" i="5" s="1"/>
  <c r="AH142" i="5"/>
  <c r="AC242" i="5"/>
  <c r="AI242" i="5"/>
  <c r="AH242" i="5"/>
  <c r="AG242" i="5"/>
  <c r="AK39" i="5"/>
  <c r="AH169" i="5"/>
  <c r="AI169" i="5"/>
  <c r="AG169" i="5"/>
  <c r="AC169" i="5"/>
  <c r="AC373" i="5"/>
  <c r="AI373" i="5"/>
  <c r="AH373" i="5"/>
  <c r="AG373" i="5"/>
  <c r="Z260" i="5"/>
  <c r="AA260" i="5" s="1"/>
  <c r="Y260" i="5"/>
  <c r="AI301" i="5"/>
  <c r="AH301" i="5"/>
  <c r="AG301" i="5"/>
  <c r="AK301" i="5" s="1"/>
  <c r="AC301" i="5"/>
  <c r="AH305" i="5"/>
  <c r="AI305" i="5"/>
  <c r="AC305" i="5"/>
  <c r="AG305" i="5"/>
  <c r="AK305" i="5" s="1"/>
  <c r="Z404" i="5"/>
  <c r="AA404" i="5" s="1"/>
  <c r="Y404" i="5"/>
  <c r="Z269" i="5"/>
  <c r="AA269" i="5" s="1"/>
  <c r="Y269" i="5"/>
  <c r="AI402" i="5"/>
  <c r="AH402" i="5"/>
  <c r="AG402" i="5"/>
  <c r="AK402" i="5" s="1"/>
  <c r="AC402" i="5"/>
  <c r="AD231" i="5"/>
  <c r="AF231" i="5" s="1"/>
  <c r="AE231" i="5"/>
  <c r="AM231" i="5"/>
  <c r="AN231" i="5" s="1"/>
  <c r="AO231" i="5" s="1"/>
  <c r="Y27" i="5"/>
  <c r="Z27" i="5"/>
  <c r="AA27" i="5" s="1"/>
  <c r="Z136" i="5"/>
  <c r="AA136" i="5" s="1"/>
  <c r="Y136" i="5"/>
  <c r="AK346" i="5"/>
  <c r="AM346" i="5" s="1"/>
  <c r="AN346" i="5" s="1"/>
  <c r="AO346" i="5" s="1"/>
  <c r="Y77" i="5"/>
  <c r="Z77" i="5"/>
  <c r="AA77" i="5" s="1"/>
  <c r="AC365" i="5"/>
  <c r="AI365" i="5"/>
  <c r="AH365" i="5"/>
  <c r="AG365" i="5"/>
  <c r="AK130" i="5"/>
  <c r="AM130" i="5" s="1"/>
  <c r="AN130" i="5" s="1"/>
  <c r="AO130" i="5" s="1"/>
  <c r="Z16" i="5"/>
  <c r="AA16" i="5" s="1"/>
  <c r="Y16" i="5"/>
  <c r="AK155" i="5"/>
  <c r="AM155" i="5" s="1"/>
  <c r="AN155" i="5" s="1"/>
  <c r="AO155" i="5" s="1"/>
  <c r="AH362" i="5"/>
  <c r="AI362" i="5"/>
  <c r="AC362" i="5"/>
  <c r="AG362" i="5"/>
  <c r="AC297" i="5"/>
  <c r="AI297" i="5"/>
  <c r="AH297" i="5"/>
  <c r="AG297" i="5"/>
  <c r="AK297" i="5" s="1"/>
  <c r="AH210" i="5"/>
  <c r="AI210" i="5"/>
  <c r="AG210" i="5"/>
  <c r="AC210" i="5"/>
  <c r="AG95" i="5" l="1"/>
  <c r="AI95" i="5"/>
  <c r="AH95" i="5"/>
  <c r="AC95" i="5"/>
  <c r="AC109" i="5"/>
  <c r="AG109" i="5"/>
  <c r="AI109" i="5"/>
  <c r="AH109" i="5"/>
  <c r="AG139" i="5"/>
  <c r="AI139" i="5"/>
  <c r="AH139" i="5"/>
  <c r="AC139" i="5"/>
  <c r="AG15" i="5"/>
  <c r="AC15" i="5"/>
  <c r="AI15" i="5"/>
  <c r="AH15" i="5"/>
  <c r="AC226" i="5"/>
  <c r="AI226" i="5"/>
  <c r="AH226" i="5"/>
  <c r="AG226" i="5"/>
  <c r="AH429" i="5"/>
  <c r="AG429" i="5"/>
  <c r="AC429" i="5"/>
  <c r="AI429" i="5"/>
  <c r="AM156" i="5"/>
  <c r="AN156" i="5" s="1"/>
  <c r="AO156" i="5" s="1"/>
  <c r="AE156" i="5"/>
  <c r="AD156" i="5"/>
  <c r="AF156" i="5" s="1"/>
  <c r="AD208" i="5"/>
  <c r="AF208" i="5" s="1"/>
  <c r="AE208" i="5"/>
  <c r="AD272" i="5"/>
  <c r="AF272" i="5" s="1"/>
  <c r="AE272" i="5"/>
  <c r="AM272" i="5"/>
  <c r="AN272" i="5" s="1"/>
  <c r="AO272" i="5" s="1"/>
  <c r="AH350" i="5"/>
  <c r="AG350" i="5"/>
  <c r="AK350" i="5" s="1"/>
  <c r="AI350" i="5"/>
  <c r="AC350" i="5"/>
  <c r="AE273" i="5"/>
  <c r="AD273" i="5"/>
  <c r="AF273" i="5" s="1"/>
  <c r="AG63" i="5"/>
  <c r="AI63" i="5"/>
  <c r="AH63" i="5"/>
  <c r="AC63" i="5"/>
  <c r="AG342" i="5"/>
  <c r="AC342" i="5"/>
  <c r="AI342" i="5"/>
  <c r="AH342" i="5"/>
  <c r="AD249" i="5"/>
  <c r="AF249" i="5" s="1"/>
  <c r="AE249" i="5"/>
  <c r="AD220" i="5"/>
  <c r="AF220" i="5" s="1"/>
  <c r="AE220" i="5"/>
  <c r="AG339" i="5"/>
  <c r="AK339" i="5" s="1"/>
  <c r="AH339" i="5"/>
  <c r="AI339" i="5"/>
  <c r="AC339" i="5"/>
  <c r="AH26" i="5"/>
  <c r="AG26" i="5"/>
  <c r="AI26" i="5"/>
  <c r="AC26" i="5"/>
  <c r="AG193" i="5"/>
  <c r="AK193" i="5" s="1"/>
  <c r="AI193" i="5"/>
  <c r="AH193" i="5"/>
  <c r="AC193" i="5"/>
  <c r="AK230" i="5"/>
  <c r="AH292" i="5"/>
  <c r="AG292" i="5"/>
  <c r="AC292" i="5"/>
  <c r="AI292" i="5"/>
  <c r="AH171" i="5"/>
  <c r="AG171" i="5"/>
  <c r="AC171" i="5"/>
  <c r="AI171" i="5"/>
  <c r="AE99" i="5"/>
  <c r="AD99" i="5"/>
  <c r="AF99" i="5" s="1"/>
  <c r="AK172" i="5"/>
  <c r="AE309" i="5"/>
  <c r="AM309" i="5"/>
  <c r="AN309" i="5" s="1"/>
  <c r="AO309" i="5" s="1"/>
  <c r="AD309" i="5"/>
  <c r="AF309" i="5" s="1"/>
  <c r="AE368" i="5"/>
  <c r="AD368" i="5"/>
  <c r="AF368" i="5" s="1"/>
  <c r="J30" i="4"/>
  <c r="K30" i="4" s="1"/>
  <c r="AE390" i="5"/>
  <c r="AD390" i="5"/>
  <c r="AF390" i="5" s="1"/>
  <c r="AM390" i="5"/>
  <c r="AN390" i="5" s="1"/>
  <c r="AO390" i="5" s="1"/>
  <c r="AC355" i="5"/>
  <c r="AG355" i="5"/>
  <c r="AK355" i="5" s="1"/>
  <c r="AI355" i="5"/>
  <c r="AH355" i="5"/>
  <c r="AG53" i="5"/>
  <c r="AK53" i="5" s="1"/>
  <c r="AI53" i="5"/>
  <c r="AC53" i="5"/>
  <c r="AH53" i="5"/>
  <c r="AC420" i="5"/>
  <c r="AH420" i="5"/>
  <c r="AG420" i="5"/>
  <c r="AI420" i="5"/>
  <c r="AC6" i="5"/>
  <c r="AH6" i="5"/>
  <c r="AI6" i="5"/>
  <c r="AG6" i="5"/>
  <c r="AG236" i="5"/>
  <c r="AH236" i="5"/>
  <c r="AI236" i="5"/>
  <c r="AC236" i="5"/>
  <c r="AI293" i="5"/>
  <c r="AC293" i="5"/>
  <c r="AH293" i="5"/>
  <c r="AG293" i="5"/>
  <c r="F20" i="4"/>
  <c r="L20" i="4"/>
  <c r="E20" i="4"/>
  <c r="D20" i="4"/>
  <c r="J20" i="4"/>
  <c r="K20" i="4" s="1"/>
  <c r="I20" i="4"/>
  <c r="AC146" i="5"/>
  <c r="AI146" i="5"/>
  <c r="AH146" i="5"/>
  <c r="AG146" i="5"/>
  <c r="AK146" i="5" s="1"/>
  <c r="AI195" i="5"/>
  <c r="AH195" i="5"/>
  <c r="AG195" i="5"/>
  <c r="AK195" i="5" s="1"/>
  <c r="AC195" i="5"/>
  <c r="J9" i="4"/>
  <c r="I9" i="4"/>
  <c r="F9" i="4"/>
  <c r="E9" i="4"/>
  <c r="D9" i="4"/>
  <c r="L9" i="4"/>
  <c r="AH50" i="5"/>
  <c r="AG50" i="5"/>
  <c r="AI50" i="5"/>
  <c r="AC50" i="5"/>
  <c r="AG211" i="5"/>
  <c r="AI211" i="5"/>
  <c r="AH211" i="5"/>
  <c r="AC211" i="5"/>
  <c r="AI382" i="5"/>
  <c r="AH382" i="5"/>
  <c r="AC382" i="5"/>
  <c r="AG382" i="5"/>
  <c r="AG261" i="5"/>
  <c r="AH261" i="5"/>
  <c r="AI261" i="5"/>
  <c r="AC261" i="5"/>
  <c r="AC290" i="5"/>
  <c r="AI290" i="5"/>
  <c r="AH290" i="5"/>
  <c r="AG290" i="5"/>
  <c r="L36" i="4"/>
  <c r="I35" i="4"/>
  <c r="J34" i="4"/>
  <c r="L32" i="4"/>
  <c r="D32" i="4"/>
  <c r="E31" i="4"/>
  <c r="F30" i="4"/>
  <c r="G30" i="4" s="1"/>
  <c r="H30" i="4" s="1"/>
  <c r="I27" i="4"/>
  <c r="J26" i="4"/>
  <c r="D26" i="4"/>
  <c r="E4" i="2"/>
  <c r="I26" i="4"/>
  <c r="L26" i="4"/>
  <c r="D4" i="2"/>
  <c r="E15" i="1" s="1"/>
  <c r="K4" i="2"/>
  <c r="J4" i="2"/>
  <c r="C4" i="2"/>
  <c r="C15" i="1" s="1"/>
  <c r="I4" i="2"/>
  <c r="F26" i="4"/>
  <c r="H4" i="2"/>
  <c r="E26" i="4"/>
  <c r="O4" i="2"/>
  <c r="AK414" i="5"/>
  <c r="AI431" i="5"/>
  <c r="AH431" i="5"/>
  <c r="AG431" i="5"/>
  <c r="AK431" i="5" s="1"/>
  <c r="AC431" i="5"/>
  <c r="E15" i="4"/>
  <c r="L15" i="4"/>
  <c r="D15" i="4"/>
  <c r="I15" i="4"/>
  <c r="J15" i="4"/>
  <c r="F15" i="4"/>
  <c r="AE364" i="5"/>
  <c r="AD364" i="5"/>
  <c r="AF364" i="5" s="1"/>
  <c r="AH321" i="5"/>
  <c r="AC321" i="5"/>
  <c r="AI321" i="5"/>
  <c r="AG321" i="5"/>
  <c r="AK93" i="5"/>
  <c r="AH30" i="5"/>
  <c r="AI30" i="5"/>
  <c r="AG30" i="5"/>
  <c r="AC30" i="5"/>
  <c r="AI137" i="5"/>
  <c r="AH137" i="5"/>
  <c r="AG137" i="5"/>
  <c r="AC137" i="5"/>
  <c r="AH401" i="5"/>
  <c r="AG401" i="5"/>
  <c r="AI401" i="5"/>
  <c r="AC401" i="5"/>
  <c r="AC227" i="5"/>
  <c r="AG227" i="5"/>
  <c r="AH227" i="5"/>
  <c r="AI227" i="5"/>
  <c r="AC319" i="5"/>
  <c r="AH319" i="5"/>
  <c r="AI319" i="5"/>
  <c r="AG319" i="5"/>
  <c r="AC35" i="5"/>
  <c r="AG35" i="5"/>
  <c r="AI35" i="5"/>
  <c r="AH35" i="5"/>
  <c r="I30" i="4"/>
  <c r="AH64" i="5"/>
  <c r="AG64" i="5"/>
  <c r="AK64" i="5" s="1"/>
  <c r="AC64" i="5"/>
  <c r="AI64" i="5"/>
  <c r="AI149" i="5"/>
  <c r="AH149" i="5"/>
  <c r="AC149" i="5"/>
  <c r="AG149" i="5"/>
  <c r="AK149" i="5" s="1"/>
  <c r="AH256" i="5"/>
  <c r="AC256" i="5"/>
  <c r="AI256" i="5"/>
  <c r="AG256" i="5"/>
  <c r="AK256" i="5" s="1"/>
  <c r="AC380" i="5"/>
  <c r="AG380" i="5"/>
  <c r="AI380" i="5"/>
  <c r="AH380" i="5"/>
  <c r="AH8" i="5"/>
  <c r="AC8" i="5"/>
  <c r="AI8" i="5"/>
  <c r="AG8" i="5"/>
  <c r="AK8" i="5" s="1"/>
  <c r="AG222" i="5"/>
  <c r="AC222" i="5"/>
  <c r="AI222" i="5"/>
  <c r="AH222" i="5"/>
  <c r="AC221" i="5"/>
  <c r="AI221" i="5"/>
  <c r="AH221" i="5"/>
  <c r="AG221" i="5"/>
  <c r="AK221" i="5" s="1"/>
  <c r="AI351" i="5"/>
  <c r="AH351" i="5"/>
  <c r="AC351" i="5"/>
  <c r="AG351" i="5"/>
  <c r="AK351" i="5" s="1"/>
  <c r="AI105" i="5"/>
  <c r="AH105" i="5"/>
  <c r="AG105" i="5"/>
  <c r="AC105" i="5"/>
  <c r="AH385" i="5"/>
  <c r="AG385" i="5"/>
  <c r="AI385" i="5"/>
  <c r="AC385" i="5"/>
  <c r="AC216" i="5"/>
  <c r="AH216" i="5"/>
  <c r="AG216" i="5"/>
  <c r="AI216" i="5"/>
  <c r="AI246" i="5"/>
  <c r="AC246" i="5"/>
  <c r="AG246" i="5"/>
  <c r="AH246" i="5"/>
  <c r="AI141" i="5"/>
  <c r="AH141" i="5"/>
  <c r="AC141" i="5"/>
  <c r="AG141" i="5"/>
  <c r="AK141" i="5" s="1"/>
  <c r="AI270" i="5"/>
  <c r="AH270" i="5"/>
  <c r="AG270" i="5"/>
  <c r="AK270" i="5" s="1"/>
  <c r="AC270" i="5"/>
  <c r="AC396" i="5"/>
  <c r="AI396" i="5"/>
  <c r="AG396" i="5"/>
  <c r="AH396" i="5"/>
  <c r="AH276" i="5"/>
  <c r="AC276" i="5"/>
  <c r="AI276" i="5"/>
  <c r="AG276" i="5"/>
  <c r="AK276" i="5" s="1"/>
  <c r="AC124" i="5"/>
  <c r="AH124" i="5"/>
  <c r="AG124" i="5"/>
  <c r="AI124" i="5"/>
  <c r="AH417" i="5"/>
  <c r="AC417" i="5"/>
  <c r="AI417" i="5"/>
  <c r="AG417" i="5"/>
  <c r="AK417" i="5" s="1"/>
  <c r="AI33" i="5"/>
  <c r="AC33" i="5"/>
  <c r="AH33" i="5"/>
  <c r="AG33" i="5"/>
  <c r="AK33" i="5" s="1"/>
  <c r="AI82" i="5"/>
  <c r="AH82" i="5"/>
  <c r="AC82" i="5"/>
  <c r="AG82" i="5"/>
  <c r="AK82" i="5" s="1"/>
  <c r="AI213" i="5"/>
  <c r="AC213" i="5"/>
  <c r="AH213" i="5"/>
  <c r="AG213" i="5"/>
  <c r="AK213" i="5" s="1"/>
  <c r="AI410" i="5"/>
  <c r="AH410" i="5"/>
  <c r="AG410" i="5"/>
  <c r="AK410" i="5" s="1"/>
  <c r="AC410" i="5"/>
  <c r="AI203" i="5"/>
  <c r="AH203" i="5"/>
  <c r="AG203" i="5"/>
  <c r="AC203" i="5"/>
  <c r="AI225" i="5"/>
  <c r="AG225" i="5"/>
  <c r="AH225" i="5"/>
  <c r="AC225" i="5"/>
  <c r="AI274" i="5"/>
  <c r="AH274" i="5"/>
  <c r="AG274" i="5"/>
  <c r="AC274" i="5"/>
  <c r="AC237" i="5"/>
  <c r="AI237" i="5"/>
  <c r="AH237" i="5"/>
  <c r="AG237" i="5"/>
  <c r="AK237" i="5" s="1"/>
  <c r="AI379" i="5"/>
  <c r="AC379" i="5"/>
  <c r="AH379" i="5"/>
  <c r="AG379" i="5"/>
  <c r="AK379" i="5" s="1"/>
  <c r="AC206" i="5"/>
  <c r="AG206" i="5"/>
  <c r="AH206" i="5"/>
  <c r="AI206" i="5"/>
  <c r="AD73" i="5"/>
  <c r="AF73" i="5" s="1"/>
  <c r="AE73" i="5"/>
  <c r="AH179" i="5"/>
  <c r="AG179" i="5"/>
  <c r="AI179" i="5"/>
  <c r="AC179" i="5"/>
  <c r="AC357" i="5"/>
  <c r="AI357" i="5"/>
  <c r="AH357" i="5"/>
  <c r="AG357" i="5"/>
  <c r="AG170" i="5"/>
  <c r="AK170" i="5" s="1"/>
  <c r="AI170" i="5"/>
  <c r="AC170" i="5"/>
  <c r="AH170" i="5"/>
  <c r="AG77" i="5"/>
  <c r="AK77" i="5" s="1"/>
  <c r="AH77" i="5"/>
  <c r="AC77" i="5"/>
  <c r="AI77" i="5"/>
  <c r="E35" i="4"/>
  <c r="D35" i="4"/>
  <c r="L35" i="4"/>
  <c r="J35" i="4"/>
  <c r="F35" i="4"/>
  <c r="G35" i="4" s="1"/>
  <c r="H35" i="4" s="1"/>
  <c r="AD242" i="5"/>
  <c r="AF242" i="5" s="1"/>
  <c r="AE242" i="5"/>
  <c r="AG267" i="5"/>
  <c r="AK267" i="5" s="1"/>
  <c r="AH267" i="5"/>
  <c r="AI267" i="5"/>
  <c r="AC267" i="5"/>
  <c r="AC129" i="5"/>
  <c r="AG129" i="5"/>
  <c r="AH129" i="5"/>
  <c r="AI129" i="5"/>
  <c r="AG331" i="5"/>
  <c r="AK331" i="5" s="1"/>
  <c r="AC331" i="5"/>
  <c r="AH331" i="5"/>
  <c r="AI331" i="5"/>
  <c r="AI386" i="5"/>
  <c r="AH386" i="5"/>
  <c r="AC386" i="5"/>
  <c r="AG386" i="5"/>
  <c r="AC84" i="5"/>
  <c r="AI84" i="5"/>
  <c r="AH84" i="5"/>
  <c r="AG84" i="5"/>
  <c r="AK84" i="5" s="1"/>
  <c r="AK157" i="5"/>
  <c r="AE307" i="5"/>
  <c r="AM307" i="5"/>
  <c r="AN307" i="5" s="1"/>
  <c r="AO307" i="5" s="1"/>
  <c r="AD307" i="5"/>
  <c r="AF307" i="5" s="1"/>
  <c r="L8" i="4"/>
  <c r="AC166" i="5"/>
  <c r="AI166" i="5"/>
  <c r="AH166" i="5"/>
  <c r="AG166" i="5"/>
  <c r="AK166" i="5" s="1"/>
  <c r="AD12" i="5"/>
  <c r="AF12" i="5" s="1"/>
  <c r="AE12" i="5"/>
  <c r="AC397" i="5"/>
  <c r="AI397" i="5"/>
  <c r="AH397" i="5"/>
  <c r="AG397" i="5"/>
  <c r="AK397" i="5" s="1"/>
  <c r="AD92" i="5"/>
  <c r="AF92" i="5" s="1"/>
  <c r="AE92" i="5"/>
  <c r="AD17" i="5"/>
  <c r="AF17" i="5" s="1"/>
  <c r="AE17" i="5"/>
  <c r="AK338" i="5"/>
  <c r="AD257" i="5"/>
  <c r="AF257" i="5" s="1"/>
  <c r="AE257" i="5"/>
  <c r="AC404" i="5"/>
  <c r="AI404" i="5"/>
  <c r="AH404" i="5"/>
  <c r="AG404" i="5"/>
  <c r="AK169" i="5"/>
  <c r="AG71" i="5"/>
  <c r="AI71" i="5"/>
  <c r="AC71" i="5"/>
  <c r="AH71" i="5"/>
  <c r="D25" i="4"/>
  <c r="L25" i="4"/>
  <c r="I25" i="4"/>
  <c r="J25" i="4"/>
  <c r="F25" i="4"/>
  <c r="E25" i="4"/>
  <c r="D27" i="4"/>
  <c r="L27" i="4"/>
  <c r="J27" i="4"/>
  <c r="F27" i="4"/>
  <c r="G27" i="4" s="1"/>
  <c r="H27" i="4" s="1"/>
  <c r="E27" i="4"/>
  <c r="AK100" i="5"/>
  <c r="AI134" i="5"/>
  <c r="AH134" i="5"/>
  <c r="AG134" i="5"/>
  <c r="AC134" i="5"/>
  <c r="AH337" i="5"/>
  <c r="AG337" i="5"/>
  <c r="AK337" i="5" s="1"/>
  <c r="AI337" i="5"/>
  <c r="AC337" i="5"/>
  <c r="AK90" i="5"/>
  <c r="AK98" i="5"/>
  <c r="AH102" i="5"/>
  <c r="AI102" i="5"/>
  <c r="AG102" i="5"/>
  <c r="AK102" i="5" s="1"/>
  <c r="AC102" i="5"/>
  <c r="AH133" i="5"/>
  <c r="AI133" i="5"/>
  <c r="AC133" i="5"/>
  <c r="AG133" i="5"/>
  <c r="AK133" i="5" s="1"/>
  <c r="AK307" i="5"/>
  <c r="AC281" i="5"/>
  <c r="AI281" i="5"/>
  <c r="AH281" i="5"/>
  <c r="AG281" i="5"/>
  <c r="AG153" i="5"/>
  <c r="AC153" i="5"/>
  <c r="AI153" i="5"/>
  <c r="AH153" i="5"/>
  <c r="AH145" i="5"/>
  <c r="AG145" i="5"/>
  <c r="AI145" i="5"/>
  <c r="AC145" i="5"/>
  <c r="AG239" i="5"/>
  <c r="AI239" i="5"/>
  <c r="AH239" i="5"/>
  <c r="AC239" i="5"/>
  <c r="AE94" i="5"/>
  <c r="AD94" i="5"/>
  <c r="AF94" i="5" s="1"/>
  <c r="AM94" i="5"/>
  <c r="AN94" i="5" s="1"/>
  <c r="AO94" i="5" s="1"/>
  <c r="AK101" i="5"/>
  <c r="AE367" i="5"/>
  <c r="AD367" i="5"/>
  <c r="AF367" i="5" s="1"/>
  <c r="AM367" i="5"/>
  <c r="AN367" i="5" s="1"/>
  <c r="AO367" i="5" s="1"/>
  <c r="AE306" i="5"/>
  <c r="AD306" i="5"/>
  <c r="AF306" i="5" s="1"/>
  <c r="AK333" i="5"/>
  <c r="AK371" i="5"/>
  <c r="AE93" i="5"/>
  <c r="AD93" i="5"/>
  <c r="AF93" i="5" s="1"/>
  <c r="AM93" i="5"/>
  <c r="AN93" i="5" s="1"/>
  <c r="AO93" i="5" s="1"/>
  <c r="AC85" i="5"/>
  <c r="AG85" i="5"/>
  <c r="AI85" i="5"/>
  <c r="AH85" i="5"/>
  <c r="I3" i="4"/>
  <c r="D3" i="4"/>
  <c r="F3" i="4"/>
  <c r="G3" i="4" s="1"/>
  <c r="H3" i="4" s="1"/>
  <c r="L3" i="4"/>
  <c r="E3" i="4"/>
  <c r="J3" i="4"/>
  <c r="K3" i="4" s="1"/>
  <c r="AH422" i="5"/>
  <c r="AG422" i="5"/>
  <c r="AK422" i="5" s="1"/>
  <c r="AI422" i="5"/>
  <c r="AC422" i="5"/>
  <c r="AC152" i="5"/>
  <c r="AH152" i="5"/>
  <c r="AG152" i="5"/>
  <c r="AI152" i="5"/>
  <c r="AM338" i="5"/>
  <c r="AN338" i="5" s="1"/>
  <c r="AO338" i="5" s="1"/>
  <c r="AD338" i="5"/>
  <c r="AF338" i="5" s="1"/>
  <c r="AE338" i="5"/>
  <c r="AC353" i="5"/>
  <c r="AH353" i="5"/>
  <c r="AG353" i="5"/>
  <c r="AK353" i="5" s="1"/>
  <c r="AI353" i="5"/>
  <c r="AI66" i="5"/>
  <c r="AH66" i="5"/>
  <c r="AG66" i="5"/>
  <c r="AK66" i="5" s="1"/>
  <c r="AC66" i="5"/>
  <c r="AK257" i="5"/>
  <c r="AM257" i="5" s="1"/>
  <c r="AN257" i="5" s="1"/>
  <c r="AO257" i="5" s="1"/>
  <c r="AK433" i="5"/>
  <c r="AE186" i="5"/>
  <c r="AD186" i="5"/>
  <c r="AF186" i="5" s="1"/>
  <c r="AM186" i="5"/>
  <c r="AN186" i="5" s="1"/>
  <c r="AO186" i="5" s="1"/>
  <c r="AK40" i="5"/>
  <c r="AM40" i="5" s="1"/>
  <c r="AN40" i="5" s="1"/>
  <c r="AO40" i="5" s="1"/>
  <c r="AK91" i="5"/>
  <c r="AM91" i="5" s="1"/>
  <c r="AN91" i="5" s="1"/>
  <c r="AO91" i="5" s="1"/>
  <c r="AG223" i="5"/>
  <c r="AH223" i="5"/>
  <c r="AI223" i="5"/>
  <c r="AC223" i="5"/>
  <c r="AM230" i="5"/>
  <c r="AN230" i="5" s="1"/>
  <c r="AO230" i="5" s="1"/>
  <c r="AD230" i="5"/>
  <c r="AF230" i="5" s="1"/>
  <c r="AE230" i="5"/>
  <c r="AK258" i="5"/>
  <c r="AM258" i="5" s="1"/>
  <c r="AN258" i="5" s="1"/>
  <c r="AO258" i="5" s="1"/>
  <c r="AD304" i="5"/>
  <c r="AF304" i="5" s="1"/>
  <c r="AE304" i="5"/>
  <c r="L30" i="4"/>
  <c r="AI366" i="5"/>
  <c r="AH366" i="5"/>
  <c r="AG366" i="5"/>
  <c r="AC366" i="5"/>
  <c r="AG111" i="5"/>
  <c r="AI111" i="5"/>
  <c r="AH111" i="5"/>
  <c r="AC111" i="5"/>
  <c r="AC51" i="5"/>
  <c r="AG51" i="5"/>
  <c r="AI51" i="5"/>
  <c r="AH51" i="5"/>
  <c r="AH200" i="5"/>
  <c r="AG200" i="5"/>
  <c r="AC200" i="5"/>
  <c r="AI200" i="5"/>
  <c r="AG229" i="5"/>
  <c r="AH229" i="5"/>
  <c r="AI229" i="5"/>
  <c r="AC229" i="5"/>
  <c r="AG234" i="5"/>
  <c r="AH234" i="5"/>
  <c r="AI234" i="5"/>
  <c r="AC234" i="5"/>
  <c r="AC43" i="5"/>
  <c r="AG43" i="5"/>
  <c r="AI43" i="5"/>
  <c r="AH43" i="5"/>
  <c r="AG349" i="5"/>
  <c r="AI349" i="5"/>
  <c r="AC349" i="5"/>
  <c r="AH349" i="5"/>
  <c r="AH42" i="5"/>
  <c r="AG42" i="5"/>
  <c r="AK42" i="5" s="1"/>
  <c r="AI42" i="5"/>
  <c r="AC42" i="5"/>
  <c r="AG416" i="5"/>
  <c r="AI416" i="5"/>
  <c r="AH416" i="5"/>
  <c r="AC416" i="5"/>
  <c r="AG255" i="5"/>
  <c r="AI255" i="5"/>
  <c r="AH255" i="5"/>
  <c r="AC255" i="5"/>
  <c r="AG55" i="5"/>
  <c r="AI55" i="5"/>
  <c r="AH55" i="5"/>
  <c r="AC55" i="5"/>
  <c r="AG291" i="5"/>
  <c r="AI291" i="5"/>
  <c r="AH291" i="5"/>
  <c r="AC291" i="5"/>
  <c r="AG314" i="5"/>
  <c r="AC314" i="5"/>
  <c r="AI314" i="5"/>
  <c r="AH314" i="5"/>
  <c r="AG263" i="5"/>
  <c r="AC263" i="5"/>
  <c r="AI263" i="5"/>
  <c r="AH263" i="5"/>
  <c r="D29" i="4"/>
  <c r="J29" i="4"/>
  <c r="L29" i="4"/>
  <c r="I29" i="4"/>
  <c r="F29" i="4"/>
  <c r="E29" i="4"/>
  <c r="AC271" i="5"/>
  <c r="AH271" i="5"/>
  <c r="AG271" i="5"/>
  <c r="AI271" i="5"/>
  <c r="AC204" i="5"/>
  <c r="AG204" i="5"/>
  <c r="AK204" i="5" s="1"/>
  <c r="AI204" i="5"/>
  <c r="AH204" i="5"/>
  <c r="AH289" i="5"/>
  <c r="AG289" i="5"/>
  <c r="AK289" i="5" s="1"/>
  <c r="AI289" i="5"/>
  <c r="AC289" i="5"/>
  <c r="F5" i="4"/>
  <c r="D5" i="4"/>
  <c r="L5" i="4"/>
  <c r="E5" i="4"/>
  <c r="I5" i="4"/>
  <c r="J5" i="4"/>
  <c r="K5" i="4" s="1"/>
  <c r="AC125" i="5"/>
  <c r="AG125" i="5"/>
  <c r="AI125" i="5"/>
  <c r="AH125" i="5"/>
  <c r="AC389" i="5"/>
  <c r="AI389" i="5"/>
  <c r="AH389" i="5"/>
  <c r="AG389" i="5"/>
  <c r="AI25" i="5"/>
  <c r="AC25" i="5"/>
  <c r="AH25" i="5"/>
  <c r="AG25" i="5"/>
  <c r="AK25" i="5" s="1"/>
  <c r="AG87" i="5"/>
  <c r="AI87" i="5"/>
  <c r="AH87" i="5"/>
  <c r="AC87" i="5"/>
  <c r="AK367" i="5"/>
  <c r="AM372" i="5"/>
  <c r="AN372" i="5" s="1"/>
  <c r="AO372" i="5" s="1"/>
  <c r="AE372" i="5"/>
  <c r="AD372" i="5"/>
  <c r="AF372" i="5" s="1"/>
  <c r="AI322" i="5"/>
  <c r="AH322" i="5"/>
  <c r="AC322" i="5"/>
  <c r="AG322" i="5"/>
  <c r="AM241" i="5"/>
  <c r="AN241" i="5" s="1"/>
  <c r="AO241" i="5" s="1"/>
  <c r="AE241" i="5"/>
  <c r="AD241" i="5"/>
  <c r="AF241" i="5" s="1"/>
  <c r="AG13" i="5"/>
  <c r="AK13" i="5" s="1"/>
  <c r="AI13" i="5"/>
  <c r="AH13" i="5"/>
  <c r="AC13" i="5"/>
  <c r="AE363" i="5"/>
  <c r="AD363" i="5"/>
  <c r="AF363" i="5" s="1"/>
  <c r="AM363" i="5"/>
  <c r="AN363" i="5" s="1"/>
  <c r="AO363" i="5" s="1"/>
  <c r="AD344" i="5"/>
  <c r="AF344" i="5" s="1"/>
  <c r="AM344" i="5"/>
  <c r="AN344" i="5" s="1"/>
  <c r="AO344" i="5" s="1"/>
  <c r="AE344" i="5"/>
  <c r="AG132" i="5"/>
  <c r="AK132" i="5" s="1"/>
  <c r="AI132" i="5"/>
  <c r="AH132" i="5"/>
  <c r="AC132" i="5"/>
  <c r="AD328" i="5"/>
  <c r="AF328" i="5" s="1"/>
  <c r="AM328" i="5"/>
  <c r="AN328" i="5" s="1"/>
  <c r="AO328" i="5" s="1"/>
  <c r="AE328" i="5"/>
  <c r="AE433" i="5"/>
  <c r="AD433" i="5"/>
  <c r="AF433" i="5" s="1"/>
  <c r="AM433" i="5"/>
  <c r="AN433" i="5" s="1"/>
  <c r="AO433" i="5" s="1"/>
  <c r="AH80" i="5"/>
  <c r="AG80" i="5"/>
  <c r="AC80" i="5"/>
  <c r="AI80" i="5"/>
  <c r="AC188" i="5"/>
  <c r="AG188" i="5"/>
  <c r="AI188" i="5"/>
  <c r="AH188" i="5"/>
  <c r="AH224" i="5"/>
  <c r="AC224" i="5"/>
  <c r="AI224" i="5"/>
  <c r="AG224" i="5"/>
  <c r="AE341" i="5"/>
  <c r="AD341" i="5"/>
  <c r="AF341" i="5" s="1"/>
  <c r="AM341" i="5"/>
  <c r="AN341" i="5" s="1"/>
  <c r="AO341" i="5" s="1"/>
  <c r="AE330" i="5"/>
  <c r="AD330" i="5"/>
  <c r="AF330" i="5" s="1"/>
  <c r="AH34" i="5"/>
  <c r="AG34" i="5"/>
  <c r="AC34" i="5"/>
  <c r="AI34" i="5"/>
  <c r="AE332" i="5"/>
  <c r="AD332" i="5"/>
  <c r="AF332" i="5" s="1"/>
  <c r="AM332" i="5"/>
  <c r="AN332" i="5" s="1"/>
  <c r="AO332" i="5" s="1"/>
  <c r="AI65" i="5"/>
  <c r="AH65" i="5"/>
  <c r="AC65" i="5"/>
  <c r="AG65" i="5"/>
  <c r="AK65" i="5" s="1"/>
  <c r="AK368" i="5"/>
  <c r="AM368" i="5" s="1"/>
  <c r="AN368" i="5" s="1"/>
  <c r="AO368" i="5" s="1"/>
  <c r="D30" i="4"/>
  <c r="AM335" i="5"/>
  <c r="AN335" i="5" s="1"/>
  <c r="AO335" i="5" s="1"/>
  <c r="AE335" i="5"/>
  <c r="AD335" i="5"/>
  <c r="AF335" i="5" s="1"/>
  <c r="AC412" i="5"/>
  <c r="AI412" i="5"/>
  <c r="AH412" i="5"/>
  <c r="AG412" i="5"/>
  <c r="AC235" i="5"/>
  <c r="AH235" i="5"/>
  <c r="AI235" i="5"/>
  <c r="AG235" i="5"/>
  <c r="AC244" i="5"/>
  <c r="AH244" i="5"/>
  <c r="AG244" i="5"/>
  <c r="AK244" i="5" s="1"/>
  <c r="AI244" i="5"/>
  <c r="AI5" i="5"/>
  <c r="AH5" i="5"/>
  <c r="AG5" i="5"/>
  <c r="AC5" i="5"/>
  <c r="AC3" i="5"/>
  <c r="AI3" i="5"/>
  <c r="AH3" i="5"/>
  <c r="AG3" i="5"/>
  <c r="AH348" i="5"/>
  <c r="AG348" i="5"/>
  <c r="AC348" i="5"/>
  <c r="AI348" i="5"/>
  <c r="AI387" i="5"/>
  <c r="AC387" i="5"/>
  <c r="AG387" i="5"/>
  <c r="AK387" i="5" s="1"/>
  <c r="AH387" i="5"/>
  <c r="AH278" i="5"/>
  <c r="AG278" i="5"/>
  <c r="AC278" i="5"/>
  <c r="AI278" i="5"/>
  <c r="AC44" i="5"/>
  <c r="AG44" i="5"/>
  <c r="AI44" i="5"/>
  <c r="AH44" i="5"/>
  <c r="AC36" i="5"/>
  <c r="AG36" i="5"/>
  <c r="AI36" i="5"/>
  <c r="AH36" i="5"/>
  <c r="AH112" i="5"/>
  <c r="AG112" i="5"/>
  <c r="AC112" i="5"/>
  <c r="AI112" i="5"/>
  <c r="AH240" i="5"/>
  <c r="AC240" i="5"/>
  <c r="AI240" i="5"/>
  <c r="AG240" i="5"/>
  <c r="AI411" i="5"/>
  <c r="AH411" i="5"/>
  <c r="AC411" i="5"/>
  <c r="AG411" i="5"/>
  <c r="AK411" i="5" s="1"/>
  <c r="AH316" i="5"/>
  <c r="AG316" i="5"/>
  <c r="AI316" i="5"/>
  <c r="AC316" i="5"/>
  <c r="AC107" i="5"/>
  <c r="AI107" i="5"/>
  <c r="AG107" i="5"/>
  <c r="AK107" i="5" s="1"/>
  <c r="AH107" i="5"/>
  <c r="E36" i="4"/>
  <c r="I36" i="4"/>
  <c r="D36" i="4"/>
  <c r="J36" i="4"/>
  <c r="F36" i="4"/>
  <c r="AI106" i="5"/>
  <c r="AH106" i="5"/>
  <c r="AG106" i="5"/>
  <c r="AC106" i="5"/>
  <c r="AH218" i="5"/>
  <c r="AI218" i="5"/>
  <c r="AG218" i="5"/>
  <c r="AC218" i="5"/>
  <c r="AC313" i="5"/>
  <c r="AH313" i="5"/>
  <c r="AG313" i="5"/>
  <c r="AI313" i="5"/>
  <c r="AH326" i="5"/>
  <c r="AG326" i="5"/>
  <c r="AK326" i="5" s="1"/>
  <c r="AI326" i="5"/>
  <c r="AC326" i="5"/>
  <c r="AI41" i="5"/>
  <c r="AC41" i="5"/>
  <c r="AH41" i="5"/>
  <c r="AG41" i="5"/>
  <c r="AK41" i="5" s="1"/>
  <c r="AI49" i="5"/>
  <c r="AC49" i="5"/>
  <c r="AH49" i="5"/>
  <c r="AG49" i="5"/>
  <c r="AH70" i="5"/>
  <c r="AG70" i="5"/>
  <c r="AC70" i="5"/>
  <c r="AI70" i="5"/>
  <c r="AG61" i="5"/>
  <c r="AH61" i="5"/>
  <c r="AC61" i="5"/>
  <c r="AI61" i="5"/>
  <c r="AC68" i="5"/>
  <c r="AI68" i="5"/>
  <c r="AH68" i="5"/>
  <c r="AG68" i="5"/>
  <c r="AK68" i="5" s="1"/>
  <c r="AG323" i="5"/>
  <c r="AH323" i="5"/>
  <c r="AI323" i="5"/>
  <c r="AC323" i="5"/>
  <c r="AD98" i="5"/>
  <c r="AF98" i="5" s="1"/>
  <c r="AM98" i="5"/>
  <c r="AN98" i="5" s="1"/>
  <c r="AO98" i="5" s="1"/>
  <c r="AE98" i="5"/>
  <c r="AG69" i="5"/>
  <c r="AK69" i="5" s="1"/>
  <c r="AI69" i="5"/>
  <c r="AC69" i="5"/>
  <c r="AH69" i="5"/>
  <c r="AG392" i="5"/>
  <c r="AH392" i="5"/>
  <c r="AC392" i="5"/>
  <c r="AI392" i="5"/>
  <c r="AE101" i="5"/>
  <c r="AD101" i="5"/>
  <c r="AF101" i="5" s="1"/>
  <c r="AM101" i="5"/>
  <c r="AN101" i="5" s="1"/>
  <c r="AO101" i="5" s="1"/>
  <c r="AD142" i="5"/>
  <c r="AF142" i="5" s="1"/>
  <c r="AM142" i="5"/>
  <c r="AN142" i="5" s="1"/>
  <c r="AO142" i="5" s="1"/>
  <c r="AE142" i="5"/>
  <c r="AM131" i="5"/>
  <c r="AN131" i="5" s="1"/>
  <c r="AO131" i="5" s="1"/>
  <c r="AE131" i="5"/>
  <c r="AD131" i="5"/>
  <c r="AF131" i="5" s="1"/>
  <c r="AG47" i="5"/>
  <c r="AI47" i="5"/>
  <c r="AC47" i="5"/>
  <c r="AH47" i="5"/>
  <c r="AG147" i="5"/>
  <c r="AI147" i="5"/>
  <c r="AC147" i="5"/>
  <c r="AH147" i="5"/>
  <c r="I11" i="4"/>
  <c r="F11" i="4"/>
  <c r="G11" i="4" s="1"/>
  <c r="H11" i="4" s="1"/>
  <c r="E11" i="4"/>
  <c r="D11" i="4"/>
  <c r="L11" i="4"/>
  <c r="J11" i="4"/>
  <c r="K11" i="4" s="1"/>
  <c r="AE160" i="5"/>
  <c r="AD160" i="5"/>
  <c r="AF160" i="5" s="1"/>
  <c r="AM160" i="5"/>
  <c r="AN160" i="5" s="1"/>
  <c r="AO160" i="5" s="1"/>
  <c r="AH409" i="5"/>
  <c r="AG409" i="5"/>
  <c r="AI409" i="5"/>
  <c r="AC409" i="5"/>
  <c r="AG400" i="5"/>
  <c r="AH400" i="5"/>
  <c r="AI400" i="5"/>
  <c r="AC400" i="5"/>
  <c r="AI318" i="5"/>
  <c r="AH318" i="5"/>
  <c r="AC318" i="5"/>
  <c r="AG318" i="5"/>
  <c r="AG347" i="5"/>
  <c r="AI347" i="5"/>
  <c r="AH347" i="5"/>
  <c r="AC347" i="5"/>
  <c r="AG201" i="5"/>
  <c r="AK201" i="5" s="1"/>
  <c r="AI201" i="5"/>
  <c r="AH201" i="5"/>
  <c r="AC201" i="5"/>
  <c r="J17" i="4"/>
  <c r="I17" i="4"/>
  <c r="E17" i="4"/>
  <c r="L17" i="4"/>
  <c r="F17" i="4"/>
  <c r="D17" i="4"/>
  <c r="AE40" i="5"/>
  <c r="AD40" i="5"/>
  <c r="AF40" i="5" s="1"/>
  <c r="AG282" i="5"/>
  <c r="AC282" i="5"/>
  <c r="AH282" i="5"/>
  <c r="AI282" i="5"/>
  <c r="AD258" i="5"/>
  <c r="AF258" i="5" s="1"/>
  <c r="AE258" i="5"/>
  <c r="AC413" i="5"/>
  <c r="AI413" i="5"/>
  <c r="AH413" i="5"/>
  <c r="AG413" i="5"/>
  <c r="AD20" i="5"/>
  <c r="AF20" i="5" s="1"/>
  <c r="AE20" i="5"/>
  <c r="AM20" i="5"/>
  <c r="AN20" i="5" s="1"/>
  <c r="AO20" i="5" s="1"/>
  <c r="AD173" i="5"/>
  <c r="AF173" i="5" s="1"/>
  <c r="AM173" i="5"/>
  <c r="AN173" i="5" s="1"/>
  <c r="AO173" i="5" s="1"/>
  <c r="AE173" i="5"/>
  <c r="AG31" i="5"/>
  <c r="AK31" i="5" s="1"/>
  <c r="AI31" i="5"/>
  <c r="AC31" i="5"/>
  <c r="AH31" i="5"/>
  <c r="AI21" i="5"/>
  <c r="AH21" i="5"/>
  <c r="AG21" i="5"/>
  <c r="AK21" i="5" s="1"/>
  <c r="AC21" i="5"/>
  <c r="AC327" i="5"/>
  <c r="AI327" i="5"/>
  <c r="AH327" i="5"/>
  <c r="AG327" i="5"/>
  <c r="J18" i="4"/>
  <c r="I18" i="4"/>
  <c r="F18" i="4"/>
  <c r="G18" i="4" s="1"/>
  <c r="H18" i="4" s="1"/>
  <c r="E18" i="4"/>
  <c r="L18" i="4"/>
  <c r="D18" i="4"/>
  <c r="AC287" i="5"/>
  <c r="AH287" i="5"/>
  <c r="AI287" i="5"/>
  <c r="AG287" i="5"/>
  <c r="E33" i="4"/>
  <c r="D33" i="4"/>
  <c r="L33" i="4"/>
  <c r="J33" i="4"/>
  <c r="K33" i="4" s="1"/>
  <c r="I33" i="4"/>
  <c r="F33" i="4"/>
  <c r="AG127" i="5"/>
  <c r="AI127" i="5"/>
  <c r="AH127" i="5"/>
  <c r="AC127" i="5"/>
  <c r="AG407" i="5"/>
  <c r="AC407" i="5"/>
  <c r="AI407" i="5"/>
  <c r="AH407" i="5"/>
  <c r="AC428" i="5"/>
  <c r="AH428" i="5"/>
  <c r="AI428" i="5"/>
  <c r="AG428" i="5"/>
  <c r="AG399" i="5"/>
  <c r="AI399" i="5"/>
  <c r="AH399" i="5"/>
  <c r="AC399" i="5"/>
  <c r="AG275" i="5"/>
  <c r="AC275" i="5"/>
  <c r="AH275" i="5"/>
  <c r="AI275" i="5"/>
  <c r="AH184" i="5"/>
  <c r="AG184" i="5"/>
  <c r="AI184" i="5"/>
  <c r="AC184" i="5"/>
  <c r="AC243" i="5"/>
  <c r="AG243" i="5"/>
  <c r="AH243" i="5"/>
  <c r="AI243" i="5"/>
  <c r="AC108" i="5"/>
  <c r="AI108" i="5"/>
  <c r="AH108" i="5"/>
  <c r="AG108" i="5"/>
  <c r="AG185" i="5"/>
  <c r="AI185" i="5"/>
  <c r="AH185" i="5"/>
  <c r="AC185" i="5"/>
  <c r="L4" i="4"/>
  <c r="F4" i="4"/>
  <c r="E4" i="4"/>
  <c r="D4" i="4"/>
  <c r="J4" i="4"/>
  <c r="I4" i="4"/>
  <c r="AC251" i="5"/>
  <c r="AG251" i="5"/>
  <c r="AI251" i="5"/>
  <c r="AH251" i="5"/>
  <c r="AD365" i="5"/>
  <c r="AF365" i="5" s="1"/>
  <c r="AE365" i="5"/>
  <c r="G13" i="4"/>
  <c r="H13" i="4" s="1"/>
  <c r="AH310" i="5"/>
  <c r="AC310" i="5"/>
  <c r="AI310" i="5"/>
  <c r="AG310" i="5"/>
  <c r="AK310" i="5" s="1"/>
  <c r="AH16" i="5"/>
  <c r="AI16" i="5"/>
  <c r="AG16" i="5"/>
  <c r="AC16" i="5"/>
  <c r="AG217" i="5"/>
  <c r="AI217" i="5"/>
  <c r="AH217" i="5"/>
  <c r="AC217" i="5"/>
  <c r="AI285" i="5"/>
  <c r="AG285" i="5"/>
  <c r="AH285" i="5"/>
  <c r="AC285" i="5"/>
  <c r="AD90" i="5"/>
  <c r="AF90" i="5" s="1"/>
  <c r="AM90" i="5"/>
  <c r="AN90" i="5" s="1"/>
  <c r="AO90" i="5" s="1"/>
  <c r="AE90" i="5"/>
  <c r="K13" i="4"/>
  <c r="AM187" i="5"/>
  <c r="AN187" i="5" s="1"/>
  <c r="AO187" i="5" s="1"/>
  <c r="AD187" i="5"/>
  <c r="AF187" i="5" s="1"/>
  <c r="AE187" i="5"/>
  <c r="AG29" i="5"/>
  <c r="AI29" i="5"/>
  <c r="AC29" i="5"/>
  <c r="AH29" i="5"/>
  <c r="E7" i="4"/>
  <c r="L7" i="4"/>
  <c r="D7" i="4"/>
  <c r="J7" i="4"/>
  <c r="I7" i="4"/>
  <c r="F7" i="4"/>
  <c r="AE414" i="5"/>
  <c r="AD414" i="5"/>
  <c r="AF414" i="5" s="1"/>
  <c r="AM414" i="5"/>
  <c r="AN414" i="5" s="1"/>
  <c r="AO414" i="5" s="1"/>
  <c r="E34" i="4"/>
  <c r="D34" i="4"/>
  <c r="L34" i="4"/>
  <c r="I34" i="4"/>
  <c r="F34" i="4"/>
  <c r="AE118" i="5"/>
  <c r="AD118" i="5"/>
  <c r="AF118" i="5" s="1"/>
  <c r="AM118" i="5"/>
  <c r="AN118" i="5" s="1"/>
  <c r="AO118" i="5" s="1"/>
  <c r="AC144" i="5"/>
  <c r="AI144" i="5"/>
  <c r="AH144" i="5"/>
  <c r="AG144" i="5"/>
  <c r="AG138" i="5"/>
  <c r="AC138" i="5"/>
  <c r="AI138" i="5"/>
  <c r="AH138" i="5"/>
  <c r="AH38" i="5"/>
  <c r="AI38" i="5"/>
  <c r="AG38" i="5"/>
  <c r="AC38" i="5"/>
  <c r="AH296" i="5"/>
  <c r="AC296" i="5"/>
  <c r="AG296" i="5"/>
  <c r="AI296" i="5"/>
  <c r="AE97" i="5"/>
  <c r="AD97" i="5"/>
  <c r="AF97" i="5" s="1"/>
  <c r="AK362" i="5"/>
  <c r="AK365" i="5"/>
  <c r="AM365" i="5" s="1"/>
  <c r="AN365" i="5" s="1"/>
  <c r="AO365" i="5" s="1"/>
  <c r="AC136" i="5"/>
  <c r="AI136" i="5"/>
  <c r="AH136" i="5"/>
  <c r="AG136" i="5"/>
  <c r="AK136" i="5" s="1"/>
  <c r="AK373" i="5"/>
  <c r="AH96" i="5"/>
  <c r="AG96" i="5"/>
  <c r="AC96" i="5"/>
  <c r="AI96" i="5"/>
  <c r="AK187" i="5"/>
  <c r="AE308" i="5"/>
  <c r="AD308" i="5"/>
  <c r="AF308" i="5" s="1"/>
  <c r="AH212" i="5"/>
  <c r="AC212" i="5"/>
  <c r="AI212" i="5"/>
  <c r="AG212" i="5"/>
  <c r="AD100" i="5"/>
  <c r="AF100" i="5" s="1"/>
  <c r="AM100" i="5"/>
  <c r="AN100" i="5" s="1"/>
  <c r="AO100" i="5" s="1"/>
  <c r="AE100" i="5"/>
  <c r="AC116" i="5"/>
  <c r="AI116" i="5"/>
  <c r="AH116" i="5"/>
  <c r="AG116" i="5"/>
  <c r="AK116" i="5" s="1"/>
  <c r="L19" i="4"/>
  <c r="AK197" i="5"/>
  <c r="AM197" i="5" s="1"/>
  <c r="AN197" i="5" s="1"/>
  <c r="AO197" i="5" s="1"/>
  <c r="AC75" i="5"/>
  <c r="AI75" i="5"/>
  <c r="AH75" i="5"/>
  <c r="AG75" i="5"/>
  <c r="AG18" i="5"/>
  <c r="AI18" i="5"/>
  <c r="AH18" i="5"/>
  <c r="AC18" i="5"/>
  <c r="AM57" i="5"/>
  <c r="AN57" i="5" s="1"/>
  <c r="AO57" i="5" s="1"/>
  <c r="AD57" i="5"/>
  <c r="AF57" i="5" s="1"/>
  <c r="AE57" i="5"/>
  <c r="AK118" i="5"/>
  <c r="AH148" i="5"/>
  <c r="AG148" i="5"/>
  <c r="AC148" i="5"/>
  <c r="AI148" i="5"/>
  <c r="D12" i="4"/>
  <c r="F12" i="4"/>
  <c r="G12" i="4" s="1"/>
  <c r="H12" i="4" s="1"/>
  <c r="E12" i="4"/>
  <c r="L12" i="4"/>
  <c r="J12" i="4"/>
  <c r="I12" i="4"/>
  <c r="AI317" i="5"/>
  <c r="AC317" i="5"/>
  <c r="AG317" i="5"/>
  <c r="AH317" i="5"/>
  <c r="AC83" i="5"/>
  <c r="AI83" i="5"/>
  <c r="AH83" i="5"/>
  <c r="AG83" i="5"/>
  <c r="AK83" i="5" s="1"/>
  <c r="AD336" i="5"/>
  <c r="AF336" i="5" s="1"/>
  <c r="AM336" i="5"/>
  <c r="AN336" i="5" s="1"/>
  <c r="AO336" i="5" s="1"/>
  <c r="AE336" i="5"/>
  <c r="AD302" i="5"/>
  <c r="AF302" i="5" s="1"/>
  <c r="AE302" i="5"/>
  <c r="F8" i="4"/>
  <c r="G8" i="4" s="1"/>
  <c r="H8" i="4" s="1"/>
  <c r="AK306" i="5"/>
  <c r="AM306" i="5" s="1"/>
  <c r="AN306" i="5" s="1"/>
  <c r="AO306" i="5" s="1"/>
  <c r="AK343" i="5"/>
  <c r="D28" i="4"/>
  <c r="I28" i="4"/>
  <c r="L28" i="4"/>
  <c r="J28" i="4"/>
  <c r="F28" i="4"/>
  <c r="G28" i="4" s="1"/>
  <c r="H28" i="4" s="1"/>
  <c r="E28" i="4"/>
  <c r="AD334" i="5"/>
  <c r="AF334" i="5" s="1"/>
  <c r="AM334" i="5"/>
  <c r="AN334" i="5" s="1"/>
  <c r="AO334" i="5" s="1"/>
  <c r="AE334" i="5"/>
  <c r="AK97" i="5"/>
  <c r="AM97" i="5" s="1"/>
  <c r="AN97" i="5" s="1"/>
  <c r="AO97" i="5" s="1"/>
  <c r="AH72" i="5"/>
  <c r="AG72" i="5"/>
  <c r="AI72" i="5"/>
  <c r="AC72" i="5"/>
  <c r="AC354" i="5"/>
  <c r="AI354" i="5"/>
  <c r="AG354" i="5"/>
  <c r="AH354" i="5"/>
  <c r="AG45" i="5"/>
  <c r="AK45" i="5" s="1"/>
  <c r="AI45" i="5"/>
  <c r="AH45" i="5"/>
  <c r="AC45" i="5"/>
  <c r="AD198" i="5"/>
  <c r="AF198" i="5" s="1"/>
  <c r="AE198" i="5"/>
  <c r="AC28" i="5"/>
  <c r="AG28" i="5"/>
  <c r="AK28" i="5" s="1"/>
  <c r="AH28" i="5"/>
  <c r="AI28" i="5"/>
  <c r="AM295" i="5"/>
  <c r="AN295" i="5" s="1"/>
  <c r="AO295" i="5" s="1"/>
  <c r="AD295" i="5"/>
  <c r="AF295" i="5" s="1"/>
  <c r="AE295" i="5"/>
  <c r="AH356" i="5"/>
  <c r="AI356" i="5"/>
  <c r="AC356" i="5"/>
  <c r="AG356" i="5"/>
  <c r="AK74" i="5"/>
  <c r="AC259" i="5"/>
  <c r="AG259" i="5"/>
  <c r="AH259" i="5"/>
  <c r="AI259" i="5"/>
  <c r="AE340" i="5"/>
  <c r="AM340" i="5"/>
  <c r="AN340" i="5" s="1"/>
  <c r="AO340" i="5" s="1"/>
  <c r="AD340" i="5"/>
  <c r="AF340" i="5" s="1"/>
  <c r="AE284" i="5"/>
  <c r="AD284" i="5"/>
  <c r="AF284" i="5" s="1"/>
  <c r="D31" i="4"/>
  <c r="L31" i="4"/>
  <c r="J31" i="4"/>
  <c r="K31" i="4" s="1"/>
  <c r="I31" i="4"/>
  <c r="F31" i="4"/>
  <c r="G31" i="4" s="1"/>
  <c r="H31" i="4" s="1"/>
  <c r="AE91" i="5"/>
  <c r="AD91" i="5"/>
  <c r="AF91" i="5" s="1"/>
  <c r="AC189" i="5"/>
  <c r="AI189" i="5"/>
  <c r="AH189" i="5"/>
  <c r="AG189" i="5"/>
  <c r="AK189" i="5" s="1"/>
  <c r="AK341" i="5"/>
  <c r="AK99" i="5"/>
  <c r="AM99" i="5" s="1"/>
  <c r="AN99" i="5" s="1"/>
  <c r="AO99" i="5" s="1"/>
  <c r="AK173" i="5"/>
  <c r="AC158" i="5"/>
  <c r="AI158" i="5"/>
  <c r="AH158" i="5"/>
  <c r="AG158" i="5"/>
  <c r="AK158" i="5" s="1"/>
  <c r="AC199" i="5"/>
  <c r="AG199" i="5"/>
  <c r="AK199" i="5" s="1"/>
  <c r="AI199" i="5"/>
  <c r="AH199" i="5"/>
  <c r="AC52" i="5"/>
  <c r="AG52" i="5"/>
  <c r="AH52" i="5"/>
  <c r="AI52" i="5"/>
  <c r="AH126" i="5"/>
  <c r="AG126" i="5"/>
  <c r="AC126" i="5"/>
  <c r="AI126" i="5"/>
  <c r="AH377" i="5"/>
  <c r="AG377" i="5"/>
  <c r="AI377" i="5"/>
  <c r="AC377" i="5"/>
  <c r="AI378" i="5"/>
  <c r="AH378" i="5"/>
  <c r="AC378" i="5"/>
  <c r="AG378" i="5"/>
  <c r="AC286" i="5"/>
  <c r="AI286" i="5"/>
  <c r="AH286" i="5"/>
  <c r="AG286" i="5"/>
  <c r="AK286" i="5" s="1"/>
  <c r="F37" i="4"/>
  <c r="G37" i="4" s="1"/>
  <c r="H37" i="4" s="1"/>
  <c r="E37" i="4"/>
  <c r="D37" i="4"/>
  <c r="J37" i="4"/>
  <c r="L37" i="4"/>
  <c r="I37" i="4"/>
  <c r="AC419" i="5"/>
  <c r="AH419" i="5"/>
  <c r="AG419" i="5"/>
  <c r="AK419" i="5" s="1"/>
  <c r="AI419" i="5"/>
  <c r="AH140" i="5"/>
  <c r="AG140" i="5"/>
  <c r="AI140" i="5"/>
  <c r="AC140" i="5"/>
  <c r="AI418" i="5"/>
  <c r="AH418" i="5"/>
  <c r="AG418" i="5"/>
  <c r="AK418" i="5" s="1"/>
  <c r="AC418" i="5"/>
  <c r="AC151" i="5"/>
  <c r="AI151" i="5"/>
  <c r="AH151" i="5"/>
  <c r="AG151" i="5"/>
  <c r="AI277" i="5"/>
  <c r="AH277" i="5"/>
  <c r="AG277" i="5"/>
  <c r="AK277" i="5" s="1"/>
  <c r="AC277" i="5"/>
  <c r="F22" i="4"/>
  <c r="E22" i="4"/>
  <c r="J22" i="4"/>
  <c r="K22" i="4" s="1"/>
  <c r="L22" i="4"/>
  <c r="D22" i="4"/>
  <c r="I22" i="4"/>
  <c r="AC67" i="5"/>
  <c r="AI67" i="5"/>
  <c r="AH67" i="5"/>
  <c r="AG67" i="5"/>
  <c r="AI165" i="5"/>
  <c r="AH165" i="5"/>
  <c r="AC165" i="5"/>
  <c r="AG165" i="5"/>
  <c r="AK165" i="5" s="1"/>
  <c r="AI191" i="5"/>
  <c r="AH191" i="5"/>
  <c r="AG191" i="5"/>
  <c r="AC191" i="5"/>
  <c r="AI394" i="5"/>
  <c r="AH394" i="5"/>
  <c r="AG394" i="5"/>
  <c r="AK394" i="5" s="1"/>
  <c r="AC394" i="5"/>
  <c r="AI122" i="5"/>
  <c r="AH122" i="5"/>
  <c r="AG122" i="5"/>
  <c r="AC122" i="5"/>
  <c r="AC253" i="5"/>
  <c r="AI253" i="5"/>
  <c r="AG253" i="5"/>
  <c r="AH253" i="5"/>
  <c r="AC421" i="5"/>
  <c r="AI421" i="5"/>
  <c r="AH421" i="5"/>
  <c r="AG421" i="5"/>
  <c r="AH24" i="5"/>
  <c r="AC24" i="5"/>
  <c r="AG24" i="5"/>
  <c r="AI24" i="5"/>
  <c r="AH86" i="5"/>
  <c r="AI86" i="5"/>
  <c r="AG86" i="5"/>
  <c r="AC86" i="5"/>
  <c r="AH268" i="5"/>
  <c r="AC268" i="5"/>
  <c r="AG268" i="5"/>
  <c r="AI268" i="5"/>
  <c r="AI325" i="5"/>
  <c r="AC325" i="5"/>
  <c r="AH325" i="5"/>
  <c r="AG325" i="5"/>
  <c r="AI359" i="5"/>
  <c r="AH359" i="5"/>
  <c r="AG359" i="5"/>
  <c r="AK359" i="5" s="1"/>
  <c r="AC359" i="5"/>
  <c r="AH110" i="5"/>
  <c r="AI110" i="5"/>
  <c r="AG110" i="5"/>
  <c r="AC110" i="5"/>
  <c r="AC205" i="5"/>
  <c r="AI205" i="5"/>
  <c r="AH205" i="5"/>
  <c r="AG205" i="5"/>
  <c r="AK205" i="5" s="1"/>
  <c r="AC228" i="5"/>
  <c r="AG228" i="5"/>
  <c r="AI228" i="5"/>
  <c r="AH228" i="5"/>
  <c r="AH48" i="5"/>
  <c r="AC48" i="5"/>
  <c r="AI48" i="5"/>
  <c r="AG48" i="5"/>
  <c r="AK48" i="5" s="1"/>
  <c r="AI423" i="5"/>
  <c r="AC423" i="5"/>
  <c r="AH423" i="5"/>
  <c r="AG423" i="5"/>
  <c r="AC192" i="5"/>
  <c r="AH192" i="5"/>
  <c r="AG192" i="5"/>
  <c r="AI192" i="5"/>
  <c r="E23" i="4"/>
  <c r="L23" i="4"/>
  <c r="D23" i="4"/>
  <c r="J23" i="4"/>
  <c r="K23" i="4" s="1"/>
  <c r="I23" i="4"/>
  <c r="F23" i="4"/>
  <c r="AG424" i="5"/>
  <c r="AC424" i="5"/>
  <c r="AH424" i="5"/>
  <c r="AI424" i="5"/>
  <c r="AE169" i="5"/>
  <c r="AD169" i="5"/>
  <c r="AF169" i="5" s="1"/>
  <c r="AM169" i="5"/>
  <c r="AN169" i="5" s="1"/>
  <c r="AO169" i="5" s="1"/>
  <c r="AH280" i="5"/>
  <c r="AC280" i="5"/>
  <c r="AI280" i="5"/>
  <c r="AG280" i="5"/>
  <c r="AK280" i="5" s="1"/>
  <c r="AD402" i="5"/>
  <c r="AF402" i="5" s="1"/>
  <c r="AM402" i="5"/>
  <c r="AN402" i="5" s="1"/>
  <c r="AO402" i="5" s="1"/>
  <c r="AE402" i="5"/>
  <c r="AD371" i="5"/>
  <c r="AF371" i="5" s="1"/>
  <c r="AM371" i="5"/>
  <c r="AN371" i="5" s="1"/>
  <c r="AO371" i="5" s="1"/>
  <c r="AE371" i="5"/>
  <c r="AH78" i="5"/>
  <c r="AI78" i="5"/>
  <c r="AG78" i="5"/>
  <c r="AC78" i="5"/>
  <c r="AE210" i="5"/>
  <c r="AD210" i="5"/>
  <c r="AF210" i="5" s="1"/>
  <c r="AK210" i="5"/>
  <c r="AM210" i="5" s="1"/>
  <c r="AN210" i="5" s="1"/>
  <c r="AO210" i="5" s="1"/>
  <c r="AM362" i="5"/>
  <c r="AN362" i="5" s="1"/>
  <c r="AO362" i="5" s="1"/>
  <c r="AD362" i="5"/>
  <c r="AF362" i="5" s="1"/>
  <c r="AE362" i="5"/>
  <c r="AC27" i="5"/>
  <c r="AG27" i="5"/>
  <c r="AI27" i="5"/>
  <c r="AH27" i="5"/>
  <c r="AK242" i="5"/>
  <c r="AM242" i="5" s="1"/>
  <c r="AN242" i="5" s="1"/>
  <c r="AO242" i="5" s="1"/>
  <c r="AC183" i="5"/>
  <c r="AG183" i="5"/>
  <c r="AK183" i="5" s="1"/>
  <c r="AI183" i="5"/>
  <c r="AH183" i="5"/>
  <c r="AC288" i="5"/>
  <c r="AI288" i="5"/>
  <c r="AH288" i="5"/>
  <c r="AG288" i="5"/>
  <c r="AK288" i="5" s="1"/>
  <c r="AK308" i="5"/>
  <c r="AM308" i="5" s="1"/>
  <c r="AN308" i="5" s="1"/>
  <c r="AO308" i="5" s="1"/>
  <c r="AK403" i="5"/>
  <c r="L21" i="4"/>
  <c r="F21" i="4"/>
  <c r="E21" i="4"/>
  <c r="D21" i="4"/>
  <c r="I21" i="4"/>
  <c r="J21" i="4"/>
  <c r="K21" i="4" s="1"/>
  <c r="F19" i="4"/>
  <c r="G19" i="4" s="1"/>
  <c r="H19" i="4" s="1"/>
  <c r="G32" i="4"/>
  <c r="H32" i="4" s="1"/>
  <c r="AE197" i="5"/>
  <c r="AD197" i="5"/>
  <c r="AF197" i="5" s="1"/>
  <c r="AG37" i="5"/>
  <c r="AI37" i="5"/>
  <c r="AC37" i="5"/>
  <c r="AH37" i="5"/>
  <c r="AI14" i="5"/>
  <c r="AH14" i="5"/>
  <c r="AC14" i="5"/>
  <c r="AG14" i="5"/>
  <c r="AK14" i="5" s="1"/>
  <c r="AG298" i="5"/>
  <c r="AI298" i="5"/>
  <c r="AH298" i="5"/>
  <c r="AC298" i="5"/>
  <c r="AC190" i="5"/>
  <c r="AG190" i="5"/>
  <c r="AI190" i="5"/>
  <c r="AH190" i="5"/>
  <c r="AE154" i="5"/>
  <c r="AM154" i="5"/>
  <c r="AN154" i="5" s="1"/>
  <c r="AO154" i="5" s="1"/>
  <c r="AD154" i="5"/>
  <c r="AF154" i="5" s="1"/>
  <c r="AC279" i="5"/>
  <c r="AI279" i="5"/>
  <c r="AH279" i="5"/>
  <c r="AG279" i="5"/>
  <c r="AG252" i="5"/>
  <c r="AH252" i="5"/>
  <c r="AI252" i="5"/>
  <c r="AC252" i="5"/>
  <c r="AK364" i="5"/>
  <c r="AM364" i="5" s="1"/>
  <c r="AN364" i="5" s="1"/>
  <c r="AO364" i="5" s="1"/>
  <c r="AG245" i="5"/>
  <c r="AK245" i="5" s="1"/>
  <c r="AH245" i="5"/>
  <c r="AI245" i="5"/>
  <c r="AC245" i="5"/>
  <c r="I8" i="4"/>
  <c r="AE370" i="5"/>
  <c r="AD370" i="5"/>
  <c r="AF370" i="5" s="1"/>
  <c r="AM370" i="5"/>
  <c r="AN370" i="5" s="1"/>
  <c r="AO370" i="5" s="1"/>
  <c r="AK198" i="5"/>
  <c r="AM198" i="5" s="1"/>
  <c r="AN198" i="5" s="1"/>
  <c r="AO198" i="5" s="1"/>
  <c r="AG79" i="5"/>
  <c r="AI79" i="5"/>
  <c r="AH79" i="5"/>
  <c r="AC79" i="5"/>
  <c r="AK92" i="5"/>
  <c r="AM92" i="5" s="1"/>
  <c r="AN92" i="5" s="1"/>
  <c r="AO92" i="5" s="1"/>
  <c r="AM174" i="5"/>
  <c r="AN174" i="5" s="1"/>
  <c r="AO174" i="5" s="1"/>
  <c r="AE174" i="5"/>
  <c r="AD174" i="5"/>
  <c r="AF174" i="5" s="1"/>
  <c r="AK208" i="5"/>
  <c r="AM208" i="5" s="1"/>
  <c r="AN208" i="5" s="1"/>
  <c r="AO208" i="5" s="1"/>
  <c r="D24" i="4"/>
  <c r="J24" i="4"/>
  <c r="I24" i="4"/>
  <c r="F24" i="4"/>
  <c r="E24" i="4"/>
  <c r="AE426" i="5"/>
  <c r="AD426" i="5"/>
  <c r="AF426" i="5" s="1"/>
  <c r="AM426" i="5"/>
  <c r="AN426" i="5" s="1"/>
  <c r="AO426" i="5" s="1"/>
  <c r="AK340" i="5"/>
  <c r="AK284" i="5"/>
  <c r="AM284" i="5" s="1"/>
  <c r="AN284" i="5" s="1"/>
  <c r="AO284" i="5" s="1"/>
  <c r="AK220" i="5"/>
  <c r="AM220" i="5" s="1"/>
  <c r="AN220" i="5" s="1"/>
  <c r="AO220" i="5" s="1"/>
  <c r="AM266" i="5"/>
  <c r="AN266" i="5" s="1"/>
  <c r="AO266" i="5" s="1"/>
  <c r="AE266" i="5"/>
  <c r="AD266" i="5"/>
  <c r="AF266" i="5" s="1"/>
  <c r="AG408" i="5"/>
  <c r="AK408" i="5" s="1"/>
  <c r="AH408" i="5"/>
  <c r="AI408" i="5"/>
  <c r="AC408" i="5"/>
  <c r="AG315" i="5"/>
  <c r="AI315" i="5"/>
  <c r="AH315" i="5"/>
  <c r="AC315" i="5"/>
  <c r="AK330" i="5"/>
  <c r="AM330" i="5" s="1"/>
  <c r="AN330" i="5" s="1"/>
  <c r="AO330" i="5" s="1"/>
  <c r="AH46" i="5"/>
  <c r="AI46" i="5"/>
  <c r="AG46" i="5"/>
  <c r="AK46" i="5" s="1"/>
  <c r="AC46" i="5"/>
  <c r="AE300" i="5"/>
  <c r="AM300" i="5"/>
  <c r="AN300" i="5" s="1"/>
  <c r="AO300" i="5" s="1"/>
  <c r="AD300" i="5"/>
  <c r="AF300" i="5" s="1"/>
  <c r="AE89" i="5"/>
  <c r="AD89" i="5"/>
  <c r="AF89" i="5" s="1"/>
  <c r="AG383" i="5"/>
  <c r="AI383" i="5"/>
  <c r="AH383" i="5"/>
  <c r="AC383" i="5"/>
  <c r="F6" i="4"/>
  <c r="G6" i="4" s="1"/>
  <c r="H6" i="4" s="1"/>
  <c r="E6" i="4"/>
  <c r="L6" i="4"/>
  <c r="D6" i="4"/>
  <c r="J6" i="4"/>
  <c r="I6" i="4"/>
  <c r="AC430" i="5"/>
  <c r="AG430" i="5"/>
  <c r="AI430" i="5"/>
  <c r="AH430" i="5"/>
  <c r="AG247" i="5"/>
  <c r="AC247" i="5"/>
  <c r="AH247" i="5"/>
  <c r="AI247" i="5"/>
  <c r="AI9" i="5"/>
  <c r="AH9" i="5"/>
  <c r="AG9" i="5"/>
  <c r="AK9" i="5" s="1"/>
  <c r="AC9" i="5"/>
  <c r="J10" i="4"/>
  <c r="I10" i="4"/>
  <c r="F10" i="4"/>
  <c r="G10" i="4" s="1"/>
  <c r="H10" i="4" s="1"/>
  <c r="E10" i="4"/>
  <c r="L10" i="4"/>
  <c r="D10" i="4"/>
  <c r="AG7" i="5"/>
  <c r="AK7" i="5" s="1"/>
  <c r="AI7" i="5"/>
  <c r="AH7" i="5"/>
  <c r="AC7" i="5"/>
  <c r="AG178" i="5"/>
  <c r="AI178" i="5"/>
  <c r="AH178" i="5"/>
  <c r="AC178" i="5"/>
  <c r="L16" i="4"/>
  <c r="D16" i="4"/>
  <c r="I16" i="4"/>
  <c r="J16" i="4"/>
  <c r="F16" i="4"/>
  <c r="G16" i="4" s="1"/>
  <c r="H16" i="4" s="1"/>
  <c r="E16" i="4"/>
  <c r="AI233" i="5"/>
  <c r="AC233" i="5"/>
  <c r="AH233" i="5"/>
  <c r="AG233" i="5"/>
  <c r="AG384" i="5"/>
  <c r="AH384" i="5"/>
  <c r="AI384" i="5"/>
  <c r="AC384" i="5"/>
  <c r="AC59" i="5"/>
  <c r="AI59" i="5"/>
  <c r="AH59" i="5"/>
  <c r="AG59" i="5"/>
  <c r="AC117" i="5"/>
  <c r="AG117" i="5"/>
  <c r="AI117" i="5"/>
  <c r="AH117" i="5"/>
  <c r="AG432" i="5"/>
  <c r="AH432" i="5"/>
  <c r="AI432" i="5"/>
  <c r="AC432" i="5"/>
  <c r="L24" i="4"/>
  <c r="F14" i="4"/>
  <c r="K3" i="2"/>
  <c r="C3" i="2"/>
  <c r="C14" i="1" s="1"/>
  <c r="J3" i="2"/>
  <c r="E14" i="4"/>
  <c r="O3" i="2"/>
  <c r="L14" i="4"/>
  <c r="D14" i="4"/>
  <c r="I3" i="2"/>
  <c r="H3" i="2"/>
  <c r="J14" i="4"/>
  <c r="I14" i="4"/>
  <c r="E3" i="2"/>
  <c r="D3" i="2"/>
  <c r="E14" i="1" s="1"/>
  <c r="F68" i="4"/>
  <c r="I65" i="4"/>
  <c r="J64" i="4"/>
  <c r="K64" i="4" s="1"/>
  <c r="L62" i="4"/>
  <c r="D62" i="4"/>
  <c r="E61" i="4"/>
  <c r="G61" i="4" s="1"/>
  <c r="H61" i="4" s="1"/>
  <c r="F60" i="4"/>
  <c r="I67" i="4"/>
  <c r="J66" i="4"/>
  <c r="K66" i="4" s="1"/>
  <c r="L64" i="4"/>
  <c r="J2" i="4"/>
  <c r="J4" i="3"/>
  <c r="B4" i="3"/>
  <c r="C3" i="3"/>
  <c r="D2" i="3"/>
  <c r="H2" i="2"/>
  <c r="I2" i="4"/>
  <c r="J3" i="3"/>
  <c r="C2" i="3"/>
  <c r="H3" i="3"/>
  <c r="I3" i="3" s="1"/>
  <c r="G3" i="3"/>
  <c r="B3" i="3"/>
  <c r="O2" i="2"/>
  <c r="C2" i="2"/>
  <c r="H4" i="3"/>
  <c r="I4" i="3" s="1"/>
  <c r="J2" i="3"/>
  <c r="B2" i="3"/>
  <c r="F2" i="4"/>
  <c r="G2" i="3"/>
  <c r="G4" i="3"/>
  <c r="E2" i="2"/>
  <c r="H2" i="3"/>
  <c r="D2" i="2"/>
  <c r="K2" i="2"/>
  <c r="L2" i="4"/>
  <c r="D2" i="4"/>
  <c r="D4" i="3"/>
  <c r="J2" i="2"/>
  <c r="J8" i="2" s="1"/>
  <c r="E2" i="4"/>
  <c r="C4" i="3"/>
  <c r="D3" i="3"/>
  <c r="I2" i="2"/>
  <c r="I8" i="2" s="1"/>
  <c r="AI269" i="5"/>
  <c r="AC269" i="5"/>
  <c r="AH269" i="5"/>
  <c r="AG269" i="5"/>
  <c r="AK269" i="5" s="1"/>
  <c r="AD373" i="5"/>
  <c r="AF373" i="5" s="1"/>
  <c r="AM373" i="5"/>
  <c r="AN373" i="5" s="1"/>
  <c r="AO373" i="5" s="1"/>
  <c r="AE373" i="5"/>
  <c r="AD157" i="5"/>
  <c r="AF157" i="5" s="1"/>
  <c r="AM157" i="5"/>
  <c r="AN157" i="5" s="1"/>
  <c r="AO157" i="5" s="1"/>
  <c r="AE157" i="5"/>
  <c r="AE265" i="5"/>
  <c r="AD265" i="5"/>
  <c r="AF265" i="5" s="1"/>
  <c r="AM265" i="5"/>
  <c r="AN265" i="5" s="1"/>
  <c r="AO265" i="5" s="1"/>
  <c r="AC406" i="5"/>
  <c r="AI406" i="5"/>
  <c r="AH406" i="5"/>
  <c r="AG406" i="5"/>
  <c r="AC60" i="5"/>
  <c r="AG60" i="5"/>
  <c r="AI60" i="5"/>
  <c r="AH60" i="5"/>
  <c r="AK360" i="5"/>
  <c r="AM360" i="5" s="1"/>
  <c r="AN360" i="5" s="1"/>
  <c r="AO360" i="5" s="1"/>
  <c r="AE360" i="5"/>
  <c r="AD360" i="5"/>
  <c r="AF360" i="5" s="1"/>
  <c r="AH248" i="5"/>
  <c r="AI248" i="5"/>
  <c r="AG248" i="5"/>
  <c r="AK248" i="5" s="1"/>
  <c r="AC248" i="5"/>
  <c r="AH54" i="5"/>
  <c r="AC54" i="5"/>
  <c r="AI54" i="5"/>
  <c r="AG54" i="5"/>
  <c r="AC167" i="5"/>
  <c r="AI167" i="5"/>
  <c r="AH167" i="5"/>
  <c r="AG167" i="5"/>
  <c r="AK167" i="5" s="1"/>
  <c r="AM303" i="5"/>
  <c r="AN303" i="5" s="1"/>
  <c r="AO303" i="5" s="1"/>
  <c r="AE303" i="5"/>
  <c r="AD303" i="5"/>
  <c r="AF303" i="5" s="1"/>
  <c r="AE333" i="5"/>
  <c r="AD333" i="5"/>
  <c r="AF333" i="5" s="1"/>
  <c r="AM333" i="5"/>
  <c r="AN333" i="5" s="1"/>
  <c r="AO333" i="5" s="1"/>
  <c r="AE297" i="5"/>
  <c r="AD297" i="5"/>
  <c r="AF297" i="5" s="1"/>
  <c r="AM297" i="5"/>
  <c r="AN297" i="5" s="1"/>
  <c r="AO297" i="5" s="1"/>
  <c r="AE305" i="5"/>
  <c r="AM305" i="5"/>
  <c r="AN305" i="5" s="1"/>
  <c r="AO305" i="5" s="1"/>
  <c r="AD305" i="5"/>
  <c r="AF305" i="5" s="1"/>
  <c r="AI260" i="5"/>
  <c r="AC260" i="5"/>
  <c r="AG260" i="5"/>
  <c r="AH260" i="5"/>
  <c r="AM301" i="5"/>
  <c r="AN301" i="5" s="1"/>
  <c r="AO301" i="5" s="1"/>
  <c r="AE301" i="5"/>
  <c r="AD301" i="5"/>
  <c r="AF301" i="5" s="1"/>
  <c r="AH324" i="5"/>
  <c r="AC324" i="5"/>
  <c r="AG324" i="5"/>
  <c r="AI324" i="5"/>
  <c r="AM403" i="5"/>
  <c r="AN403" i="5" s="1"/>
  <c r="AO403" i="5" s="1"/>
  <c r="AE403" i="5"/>
  <c r="AD403" i="5"/>
  <c r="AF403" i="5" s="1"/>
  <c r="AH232" i="5"/>
  <c r="AI232" i="5"/>
  <c r="AG232" i="5"/>
  <c r="AK232" i="5" s="1"/>
  <c r="AC232" i="5"/>
  <c r="AH393" i="5"/>
  <c r="AG393" i="5"/>
  <c r="AI393" i="5"/>
  <c r="AC393" i="5"/>
  <c r="AI113" i="5"/>
  <c r="AH113" i="5"/>
  <c r="AG113" i="5"/>
  <c r="AK113" i="5" s="1"/>
  <c r="AC113" i="5"/>
  <c r="AH369" i="5"/>
  <c r="AG369" i="5"/>
  <c r="AI369" i="5"/>
  <c r="AC369" i="5"/>
  <c r="AK73" i="5"/>
  <c r="AM73" i="5" s="1"/>
  <c r="AN73" i="5" s="1"/>
  <c r="AO73" i="5" s="1"/>
  <c r="AI207" i="5"/>
  <c r="AH207" i="5"/>
  <c r="AG207" i="5"/>
  <c r="AC207" i="5"/>
  <c r="AC115" i="5"/>
  <c r="AI115" i="5"/>
  <c r="AH115" i="5"/>
  <c r="AG115" i="5"/>
  <c r="AI214" i="5"/>
  <c r="AH214" i="5"/>
  <c r="AG214" i="5"/>
  <c r="AC214" i="5"/>
  <c r="AK302" i="5"/>
  <c r="AM302" i="5" s="1"/>
  <c r="AN302" i="5" s="1"/>
  <c r="AO302" i="5" s="1"/>
  <c r="AC135" i="5"/>
  <c r="AI135" i="5"/>
  <c r="AH135" i="5"/>
  <c r="AG135" i="5"/>
  <c r="AH62" i="5"/>
  <c r="AI62" i="5"/>
  <c r="AG62" i="5"/>
  <c r="AK62" i="5" s="1"/>
  <c r="AC62" i="5"/>
  <c r="AM343" i="5"/>
  <c r="AN343" i="5" s="1"/>
  <c r="AO343" i="5" s="1"/>
  <c r="AD343" i="5"/>
  <c r="AF343" i="5" s="1"/>
  <c r="AE343" i="5"/>
  <c r="AH32" i="5"/>
  <c r="AC32" i="5"/>
  <c r="AI32" i="5"/>
  <c r="AG32" i="5"/>
  <c r="AK32" i="5" s="1"/>
  <c r="AH264" i="5"/>
  <c r="AI264" i="5"/>
  <c r="AG264" i="5"/>
  <c r="AC264" i="5"/>
  <c r="AK370" i="5"/>
  <c r="AI164" i="5"/>
  <c r="AH164" i="5"/>
  <c r="AG164" i="5"/>
  <c r="AK164" i="5" s="1"/>
  <c r="AC164" i="5"/>
  <c r="AK12" i="5"/>
  <c r="AM12" i="5" s="1"/>
  <c r="AN12" i="5" s="1"/>
  <c r="AO12" i="5" s="1"/>
  <c r="AH194" i="5"/>
  <c r="AI194" i="5"/>
  <c r="AC194" i="5"/>
  <c r="AG194" i="5"/>
  <c r="AH374" i="5"/>
  <c r="AG374" i="5"/>
  <c r="AI374" i="5"/>
  <c r="AC374" i="5"/>
  <c r="AK17" i="5"/>
  <c r="AM17" i="5" s="1"/>
  <c r="AN17" i="5" s="1"/>
  <c r="AO17" i="5" s="1"/>
  <c r="AD74" i="5"/>
  <c r="AF74" i="5" s="1"/>
  <c r="AE74" i="5"/>
  <c r="AM74" i="5"/>
  <c r="AN74" i="5" s="1"/>
  <c r="AO74" i="5" s="1"/>
  <c r="AK273" i="5"/>
  <c r="AM273" i="5" s="1"/>
  <c r="AN273" i="5" s="1"/>
  <c r="AO273" i="5" s="1"/>
  <c r="AC159" i="5"/>
  <c r="AG159" i="5"/>
  <c r="AI159" i="5"/>
  <c r="AH159" i="5"/>
  <c r="AK249" i="5"/>
  <c r="AM249" i="5" s="1"/>
  <c r="AN249" i="5" s="1"/>
  <c r="AO249" i="5" s="1"/>
  <c r="AK266" i="5"/>
  <c r="AC388" i="5"/>
  <c r="AH388" i="5"/>
  <c r="AG388" i="5"/>
  <c r="AI388" i="5"/>
  <c r="AE299" i="5"/>
  <c r="AD299" i="5"/>
  <c r="AF299" i="5" s="1"/>
  <c r="AM299" i="5"/>
  <c r="AN299" i="5" s="1"/>
  <c r="AO299" i="5" s="1"/>
  <c r="AK304" i="5"/>
  <c r="AM304" i="5" s="1"/>
  <c r="AN304" i="5" s="1"/>
  <c r="AO304" i="5" s="1"/>
  <c r="AM172" i="5"/>
  <c r="AN172" i="5" s="1"/>
  <c r="AO172" i="5" s="1"/>
  <c r="AE172" i="5"/>
  <c r="AD172" i="5"/>
  <c r="AF172" i="5" s="1"/>
  <c r="AM19" i="5"/>
  <c r="AN19" i="5" s="1"/>
  <c r="AO19" i="5" s="1"/>
  <c r="AE19" i="5"/>
  <c r="AD19" i="5"/>
  <c r="AF19" i="5" s="1"/>
  <c r="AK89" i="5"/>
  <c r="AM89" i="5" s="1"/>
  <c r="AN89" i="5" s="1"/>
  <c r="AO89" i="5" s="1"/>
  <c r="AI58" i="5"/>
  <c r="AC58" i="5"/>
  <c r="AH58" i="5"/>
  <c r="AG58" i="5"/>
  <c r="AK58" i="5" s="1"/>
  <c r="AC215" i="5"/>
  <c r="AH215" i="5"/>
  <c r="AG215" i="5"/>
  <c r="AI215" i="5"/>
  <c r="AI180" i="5"/>
  <c r="AH180" i="5"/>
  <c r="AG180" i="5"/>
  <c r="AC180" i="5"/>
  <c r="AC123" i="5"/>
  <c r="AI123" i="5"/>
  <c r="AH123" i="5"/>
  <c r="AG123" i="5"/>
  <c r="AC381" i="5"/>
  <c r="AI381" i="5"/>
  <c r="AH381" i="5"/>
  <c r="AG381" i="5"/>
  <c r="AK381" i="5" s="1"/>
  <c r="AI181" i="5"/>
  <c r="AH181" i="5"/>
  <c r="AG181" i="5"/>
  <c r="AC181" i="5"/>
  <c r="AI395" i="5"/>
  <c r="AH395" i="5"/>
  <c r="AC395" i="5"/>
  <c r="AG395" i="5"/>
  <c r="AK395" i="5" s="1"/>
  <c r="AH120" i="5"/>
  <c r="AG120" i="5"/>
  <c r="AK120" i="5" s="1"/>
  <c r="AI120" i="5"/>
  <c r="AC120" i="5"/>
  <c r="AC76" i="5"/>
  <c r="AG76" i="5"/>
  <c r="AI76" i="5"/>
  <c r="AH76" i="5"/>
  <c r="AC398" i="5"/>
  <c r="AG398" i="5"/>
  <c r="AK398" i="5" s="1"/>
  <c r="AI398" i="5"/>
  <c r="AH398" i="5"/>
  <c r="AG254" i="5"/>
  <c r="AC254" i="5"/>
  <c r="AI254" i="5"/>
  <c r="AH254" i="5"/>
  <c r="AH202" i="5"/>
  <c r="AI202" i="5"/>
  <c r="AG202" i="5"/>
  <c r="AC202" i="5"/>
  <c r="AC128" i="5"/>
  <c r="AI128" i="5"/>
  <c r="AH128" i="5"/>
  <c r="AG128" i="5"/>
  <c r="AK128" i="5" s="1"/>
  <c r="AI196" i="5"/>
  <c r="AH196" i="5"/>
  <c r="AG196" i="5"/>
  <c r="AC196" i="5"/>
  <c r="AG4" i="5"/>
  <c r="AI4" i="5"/>
  <c r="AH4" i="5"/>
  <c r="AC4" i="5"/>
  <c r="AI262" i="5"/>
  <c r="AH262" i="5"/>
  <c r="AC262" i="5"/>
  <c r="AG262" i="5"/>
  <c r="AC405" i="5"/>
  <c r="AH405" i="5"/>
  <c r="AG405" i="5"/>
  <c r="AI405" i="5"/>
  <c r="AH177" i="5"/>
  <c r="AI177" i="5"/>
  <c r="AG177" i="5"/>
  <c r="AC177" i="5"/>
  <c r="AG238" i="5"/>
  <c r="AI238" i="5"/>
  <c r="AH238" i="5"/>
  <c r="AC238" i="5"/>
  <c r="AI114" i="5"/>
  <c r="AH114" i="5"/>
  <c r="AG114" i="5"/>
  <c r="AC114" i="5"/>
  <c r="AC10" i="5"/>
  <c r="AI10" i="5"/>
  <c r="AH10" i="5"/>
  <c r="AG10" i="5"/>
  <c r="AK10" i="5" s="1"/>
  <c r="AI121" i="5"/>
  <c r="AH121" i="5"/>
  <c r="AG121" i="5"/>
  <c r="AC121" i="5"/>
  <c r="AC320" i="5"/>
  <c r="AG320" i="5"/>
  <c r="AI320" i="5"/>
  <c r="AH320" i="5"/>
  <c r="AI81" i="5"/>
  <c r="AH81" i="5"/>
  <c r="AG81" i="5"/>
  <c r="AC81" i="5"/>
  <c r="AC358" i="5"/>
  <c r="AG358" i="5"/>
  <c r="AH358" i="5"/>
  <c r="AI358" i="5"/>
  <c r="AI352" i="5"/>
  <c r="AG352" i="5"/>
  <c r="AK352" i="5" s="1"/>
  <c r="AC352" i="5"/>
  <c r="AH352" i="5"/>
  <c r="AI150" i="5"/>
  <c r="AC150" i="5"/>
  <c r="AG150" i="5"/>
  <c r="AH150" i="5"/>
  <c r="AC182" i="5"/>
  <c r="AI182" i="5"/>
  <c r="AH182" i="5"/>
  <c r="AG182" i="5"/>
  <c r="AH163" i="5"/>
  <c r="AG163" i="5"/>
  <c r="AK163" i="5" s="1"/>
  <c r="AI163" i="5"/>
  <c r="AC163" i="5"/>
  <c r="AH2" i="5"/>
  <c r="AG2" i="5"/>
  <c r="AK2" i="5" s="1"/>
  <c r="AC2" i="5"/>
  <c r="AI2" i="5"/>
  <c r="AH425" i="5"/>
  <c r="AI425" i="5"/>
  <c r="AG425" i="5"/>
  <c r="AC425" i="5"/>
  <c r="C13" i="1" l="1"/>
  <c r="C8" i="2"/>
  <c r="AD144" i="5"/>
  <c r="AF144" i="5" s="1"/>
  <c r="AE144" i="5"/>
  <c r="AE287" i="5"/>
  <c r="AD287" i="5"/>
  <c r="AF287" i="5" s="1"/>
  <c r="AE31" i="5"/>
  <c r="AD31" i="5"/>
  <c r="AF31" i="5" s="1"/>
  <c r="AM31" i="5"/>
  <c r="AN31" i="5" s="1"/>
  <c r="AO31" i="5" s="1"/>
  <c r="G17" i="4"/>
  <c r="H17" i="4" s="1"/>
  <c r="AE69" i="5"/>
  <c r="AD69" i="5"/>
  <c r="AF69" i="5" s="1"/>
  <c r="AM69" i="5"/>
  <c r="AN69" i="5" s="1"/>
  <c r="AO69" i="5" s="1"/>
  <c r="AD49" i="5"/>
  <c r="AF49" i="5" s="1"/>
  <c r="AE49" i="5"/>
  <c r="AE278" i="5"/>
  <c r="AD278" i="5"/>
  <c r="AF278" i="5" s="1"/>
  <c r="AE348" i="5"/>
  <c r="AM348" i="5"/>
  <c r="AN348" i="5" s="1"/>
  <c r="AO348" i="5" s="1"/>
  <c r="AD348" i="5"/>
  <c r="AF348" i="5" s="1"/>
  <c r="AK5" i="5"/>
  <c r="AK322" i="5"/>
  <c r="AE87" i="5"/>
  <c r="AD87" i="5"/>
  <c r="AF87" i="5" s="1"/>
  <c r="AK389" i="5"/>
  <c r="AE291" i="5"/>
  <c r="AD291" i="5"/>
  <c r="AF291" i="5" s="1"/>
  <c r="AD255" i="5"/>
  <c r="AF255" i="5" s="1"/>
  <c r="AE255" i="5"/>
  <c r="AD42" i="5"/>
  <c r="AF42" i="5" s="1"/>
  <c r="AE42" i="5"/>
  <c r="AM42" i="5"/>
  <c r="AN42" i="5" s="1"/>
  <c r="AO42" i="5" s="1"/>
  <c r="AE229" i="5"/>
  <c r="AD229" i="5"/>
  <c r="AF229" i="5" s="1"/>
  <c r="AE366" i="5"/>
  <c r="AD366" i="5"/>
  <c r="AF366" i="5" s="1"/>
  <c r="AM366" i="5"/>
  <c r="AN366" i="5" s="1"/>
  <c r="AO366" i="5" s="1"/>
  <c r="AE102" i="5"/>
  <c r="AD102" i="5"/>
  <c r="AF102" i="5" s="1"/>
  <c r="AM102" i="5"/>
  <c r="AN102" i="5" s="1"/>
  <c r="AO102" i="5" s="1"/>
  <c r="AD397" i="5"/>
  <c r="AF397" i="5" s="1"/>
  <c r="AM397" i="5"/>
  <c r="AN397" i="5" s="1"/>
  <c r="AO397" i="5" s="1"/>
  <c r="AE397" i="5"/>
  <c r="AD84" i="5"/>
  <c r="AF84" i="5" s="1"/>
  <c r="AM84" i="5"/>
  <c r="AN84" i="5" s="1"/>
  <c r="AO84" i="5" s="1"/>
  <c r="AE84" i="5"/>
  <c r="AE274" i="5"/>
  <c r="AD274" i="5"/>
  <c r="AF274" i="5" s="1"/>
  <c r="AD203" i="5"/>
  <c r="AF203" i="5" s="1"/>
  <c r="AE203" i="5"/>
  <c r="AE105" i="5"/>
  <c r="AD105" i="5"/>
  <c r="AF105" i="5" s="1"/>
  <c r="AE35" i="5"/>
  <c r="AD35" i="5"/>
  <c r="AF35" i="5" s="1"/>
  <c r="AE227" i="5"/>
  <c r="AD227" i="5"/>
  <c r="AF227" i="5" s="1"/>
  <c r="AE321" i="5"/>
  <c r="AD321" i="5"/>
  <c r="AF321" i="5" s="1"/>
  <c r="AK50" i="5"/>
  <c r="AE195" i="5"/>
  <c r="AD195" i="5"/>
  <c r="AF195" i="5" s="1"/>
  <c r="AM195" i="5"/>
  <c r="AN195" i="5" s="1"/>
  <c r="AO195" i="5" s="1"/>
  <c r="AE293" i="5"/>
  <c r="AD293" i="5"/>
  <c r="AF293" i="5" s="1"/>
  <c r="AD429" i="5"/>
  <c r="AF429" i="5" s="1"/>
  <c r="AE429" i="5"/>
  <c r="AD228" i="5"/>
  <c r="AF228" i="5" s="1"/>
  <c r="AE228" i="5"/>
  <c r="D5" i="3"/>
  <c r="E2" i="3"/>
  <c r="AE178" i="5"/>
  <c r="AD178" i="5"/>
  <c r="AF178" i="5" s="1"/>
  <c r="AE424" i="5"/>
  <c r="AD424" i="5"/>
  <c r="AF424" i="5" s="1"/>
  <c r="AE75" i="5"/>
  <c r="AD75" i="5"/>
  <c r="AF75" i="5" s="1"/>
  <c r="AE217" i="5"/>
  <c r="AD217" i="5"/>
  <c r="AF217" i="5" s="1"/>
  <c r="G4" i="4"/>
  <c r="H4" i="4" s="1"/>
  <c r="AK184" i="5"/>
  <c r="AE407" i="5"/>
  <c r="AD407" i="5"/>
  <c r="AF407" i="5" s="1"/>
  <c r="AK413" i="5"/>
  <c r="AE347" i="5"/>
  <c r="AD347" i="5"/>
  <c r="AF347" i="5" s="1"/>
  <c r="AE400" i="5"/>
  <c r="AD400" i="5"/>
  <c r="AF400" i="5" s="1"/>
  <c r="AK47" i="5"/>
  <c r="AK323" i="5"/>
  <c r="AK61" i="5"/>
  <c r="AK316" i="5"/>
  <c r="AD240" i="5"/>
  <c r="AF240" i="5" s="1"/>
  <c r="AE240" i="5"/>
  <c r="AK36" i="5"/>
  <c r="AM36" i="5" s="1"/>
  <c r="AN36" i="5" s="1"/>
  <c r="AO36" i="5" s="1"/>
  <c r="AK278" i="5"/>
  <c r="AM278" i="5" s="1"/>
  <c r="AN278" i="5" s="1"/>
  <c r="AO278" i="5" s="1"/>
  <c r="AK348" i="5"/>
  <c r="AE13" i="5"/>
  <c r="AD13" i="5"/>
  <c r="AF13" i="5" s="1"/>
  <c r="AM13" i="5"/>
  <c r="AN13" i="5" s="1"/>
  <c r="AO13" i="5" s="1"/>
  <c r="AM322" i="5"/>
  <c r="AN322" i="5" s="1"/>
  <c r="AO322" i="5" s="1"/>
  <c r="AD322" i="5"/>
  <c r="AF322" i="5" s="1"/>
  <c r="AE322" i="5"/>
  <c r="AE271" i="5"/>
  <c r="AD271" i="5"/>
  <c r="AF271" i="5" s="1"/>
  <c r="AK366" i="5"/>
  <c r="AK145" i="5"/>
  <c r="K27" i="4"/>
  <c r="AK386" i="5"/>
  <c r="AK357" i="5"/>
  <c r="AK274" i="5"/>
  <c r="AM274" i="5" s="1"/>
  <c r="AN274" i="5" s="1"/>
  <c r="AO274" i="5" s="1"/>
  <c r="AK203" i="5"/>
  <c r="AM203" i="5" s="1"/>
  <c r="AN203" i="5" s="1"/>
  <c r="AO203" i="5" s="1"/>
  <c r="AK124" i="5"/>
  <c r="AK396" i="5"/>
  <c r="AE141" i="5"/>
  <c r="AD141" i="5"/>
  <c r="AF141" i="5" s="1"/>
  <c r="AM141" i="5"/>
  <c r="AN141" i="5" s="1"/>
  <c r="AO141" i="5" s="1"/>
  <c r="AK216" i="5"/>
  <c r="AK105" i="5"/>
  <c r="AM105" i="5" s="1"/>
  <c r="AN105" i="5" s="1"/>
  <c r="AO105" i="5" s="1"/>
  <c r="AE64" i="5"/>
  <c r="AD64" i="5"/>
  <c r="AF64" i="5" s="1"/>
  <c r="AM64" i="5"/>
  <c r="AN64" i="5" s="1"/>
  <c r="AO64" i="5" s="1"/>
  <c r="AK319" i="5"/>
  <c r="AM401" i="5"/>
  <c r="AN401" i="5" s="1"/>
  <c r="AO401" i="5" s="1"/>
  <c r="AE401" i="5"/>
  <c r="AD401" i="5"/>
  <c r="AF401" i="5" s="1"/>
  <c r="AE30" i="5"/>
  <c r="AD30" i="5"/>
  <c r="AF30" i="5" s="1"/>
  <c r="AD290" i="5"/>
  <c r="AF290" i="5" s="1"/>
  <c r="AE290" i="5"/>
  <c r="AE6" i="5"/>
  <c r="AD6" i="5"/>
  <c r="AF6" i="5" s="1"/>
  <c r="AE292" i="5"/>
  <c r="AD292" i="5"/>
  <c r="AF292" i="5" s="1"/>
  <c r="AD26" i="5"/>
  <c r="AF26" i="5" s="1"/>
  <c r="AE26" i="5"/>
  <c r="AD342" i="5"/>
  <c r="AF342" i="5" s="1"/>
  <c r="AM342" i="5"/>
  <c r="AN342" i="5" s="1"/>
  <c r="AO342" i="5" s="1"/>
  <c r="AE342" i="5"/>
  <c r="AK429" i="5"/>
  <c r="AM429" i="5" s="1"/>
  <c r="AN429" i="5" s="1"/>
  <c r="AO429" i="5" s="1"/>
  <c r="AD15" i="5"/>
  <c r="AF15" i="5" s="1"/>
  <c r="AM15" i="5"/>
  <c r="AN15" i="5" s="1"/>
  <c r="AO15" i="5" s="1"/>
  <c r="AE15" i="5"/>
  <c r="AK109" i="5"/>
  <c r="AE67" i="5"/>
  <c r="AD67" i="5"/>
  <c r="AF67" i="5" s="1"/>
  <c r="AE356" i="5"/>
  <c r="AD356" i="5"/>
  <c r="AF356" i="5" s="1"/>
  <c r="AE398" i="5"/>
  <c r="AD398" i="5"/>
  <c r="AF398" i="5" s="1"/>
  <c r="AM398" i="5"/>
  <c r="AN398" i="5" s="1"/>
  <c r="AO398" i="5" s="1"/>
  <c r="AM164" i="5"/>
  <c r="AN164" i="5" s="1"/>
  <c r="AO164" i="5" s="1"/>
  <c r="AE164" i="5"/>
  <c r="AD164" i="5"/>
  <c r="AF164" i="5" s="1"/>
  <c r="AE115" i="5"/>
  <c r="AD115" i="5"/>
  <c r="AF115" i="5" s="1"/>
  <c r="AK354" i="5"/>
  <c r="AD317" i="5"/>
  <c r="AF317" i="5" s="1"/>
  <c r="AE317" i="5"/>
  <c r="AE282" i="5"/>
  <c r="AD282" i="5"/>
  <c r="AF282" i="5" s="1"/>
  <c r="AD36" i="5"/>
  <c r="AF36" i="5" s="1"/>
  <c r="AE36" i="5"/>
  <c r="AD235" i="5"/>
  <c r="AF235" i="5" s="1"/>
  <c r="AE235" i="5"/>
  <c r="AD263" i="5"/>
  <c r="AF263" i="5" s="1"/>
  <c r="AM263" i="5"/>
  <c r="AN263" i="5" s="1"/>
  <c r="AO263" i="5" s="1"/>
  <c r="AE263" i="5"/>
  <c r="AK43" i="5"/>
  <c r="AK51" i="5"/>
  <c r="AK85" i="5"/>
  <c r="AM85" i="5" s="1"/>
  <c r="AN85" i="5" s="1"/>
  <c r="AO85" i="5" s="1"/>
  <c r="AE281" i="5"/>
  <c r="AD281" i="5"/>
  <c r="AF281" i="5" s="1"/>
  <c r="AE134" i="5"/>
  <c r="AD134" i="5"/>
  <c r="AF134" i="5" s="1"/>
  <c r="AD404" i="5"/>
  <c r="AF404" i="5" s="1"/>
  <c r="AE404" i="5"/>
  <c r="AE386" i="5"/>
  <c r="AD386" i="5"/>
  <c r="AF386" i="5" s="1"/>
  <c r="AM386" i="5"/>
  <c r="AN386" i="5" s="1"/>
  <c r="AO386" i="5" s="1"/>
  <c r="AE77" i="5"/>
  <c r="AD77" i="5"/>
  <c r="AF77" i="5" s="1"/>
  <c r="AM77" i="5"/>
  <c r="AN77" i="5" s="1"/>
  <c r="AO77" i="5" s="1"/>
  <c r="AM379" i="5"/>
  <c r="AN379" i="5" s="1"/>
  <c r="AO379" i="5" s="1"/>
  <c r="AE379" i="5"/>
  <c r="AD379" i="5"/>
  <c r="AF379" i="5" s="1"/>
  <c r="AM213" i="5"/>
  <c r="AN213" i="5" s="1"/>
  <c r="AO213" i="5" s="1"/>
  <c r="AE213" i="5"/>
  <c r="AD213" i="5"/>
  <c r="AF213" i="5" s="1"/>
  <c r="AM33" i="5"/>
  <c r="AN33" i="5" s="1"/>
  <c r="AO33" i="5" s="1"/>
  <c r="AD33" i="5"/>
  <c r="AF33" i="5" s="1"/>
  <c r="AE33" i="5"/>
  <c r="AD8" i="5"/>
  <c r="AF8" i="5" s="1"/>
  <c r="AM8" i="5"/>
  <c r="AN8" i="5" s="1"/>
  <c r="AO8" i="5" s="1"/>
  <c r="AE8" i="5"/>
  <c r="AD256" i="5"/>
  <c r="AF256" i="5" s="1"/>
  <c r="AE256" i="5"/>
  <c r="AM256" i="5"/>
  <c r="AN256" i="5" s="1"/>
  <c r="AO256" i="5" s="1"/>
  <c r="AK30" i="5"/>
  <c r="AM30" i="5" s="1"/>
  <c r="AN30" i="5" s="1"/>
  <c r="AO30" i="5" s="1"/>
  <c r="L4" i="2"/>
  <c r="G15" i="1" s="1"/>
  <c r="AE261" i="5"/>
  <c r="AD261" i="5"/>
  <c r="AF261" i="5" s="1"/>
  <c r="AE211" i="5"/>
  <c r="AD211" i="5"/>
  <c r="AF211" i="5" s="1"/>
  <c r="AD236" i="5"/>
  <c r="AF236" i="5" s="1"/>
  <c r="AE236" i="5"/>
  <c r="AK292" i="5"/>
  <c r="AM292" i="5" s="1"/>
  <c r="AN292" i="5" s="1"/>
  <c r="AO292" i="5" s="1"/>
  <c r="AK342" i="5"/>
  <c r="AM350" i="5"/>
  <c r="AN350" i="5" s="1"/>
  <c r="AO350" i="5" s="1"/>
  <c r="AD350" i="5"/>
  <c r="AF350" i="5" s="1"/>
  <c r="AE350" i="5"/>
  <c r="AK15" i="5"/>
  <c r="AE109" i="5"/>
  <c r="AD109" i="5"/>
  <c r="AF109" i="5" s="1"/>
  <c r="AM109" i="5"/>
  <c r="AN109" i="5" s="1"/>
  <c r="AO109" i="5" s="1"/>
  <c r="H8" i="2"/>
  <c r="L2" i="2"/>
  <c r="AD421" i="5"/>
  <c r="AF421" i="5" s="1"/>
  <c r="AE421" i="5"/>
  <c r="AM248" i="5"/>
  <c r="AN248" i="5" s="1"/>
  <c r="AO248" i="5" s="1"/>
  <c r="AE248" i="5"/>
  <c r="AD248" i="5"/>
  <c r="AF248" i="5" s="1"/>
  <c r="O8" i="2"/>
  <c r="H9" i="1" s="1"/>
  <c r="AK430" i="5"/>
  <c r="AE383" i="5"/>
  <c r="AD383" i="5"/>
  <c r="AF383" i="5" s="1"/>
  <c r="AD252" i="5"/>
  <c r="AF252" i="5" s="1"/>
  <c r="AE252" i="5"/>
  <c r="AE37" i="5"/>
  <c r="AM37" i="5"/>
  <c r="AN37" i="5" s="1"/>
  <c r="AO37" i="5" s="1"/>
  <c r="AD37" i="5"/>
  <c r="AF37" i="5" s="1"/>
  <c r="AE425" i="5"/>
  <c r="AD425" i="5"/>
  <c r="AF425" i="5" s="1"/>
  <c r="AK388" i="5"/>
  <c r="AE207" i="5"/>
  <c r="AD207" i="5"/>
  <c r="AF207" i="5" s="1"/>
  <c r="AK260" i="5"/>
  <c r="AD280" i="5"/>
  <c r="AF280" i="5" s="1"/>
  <c r="AM280" i="5"/>
  <c r="AN280" i="5" s="1"/>
  <c r="AO280" i="5" s="1"/>
  <c r="AE280" i="5"/>
  <c r="AK24" i="5"/>
  <c r="AD419" i="5"/>
  <c r="AF419" i="5" s="1"/>
  <c r="AM419" i="5"/>
  <c r="AN419" i="5" s="1"/>
  <c r="AO419" i="5" s="1"/>
  <c r="AE419" i="5"/>
  <c r="AE18" i="5"/>
  <c r="AD18" i="5"/>
  <c r="AF18" i="5" s="1"/>
  <c r="AK296" i="5"/>
  <c r="AM296" i="5" s="1"/>
  <c r="AN296" i="5" s="1"/>
  <c r="AO296" i="5" s="1"/>
  <c r="AD108" i="5"/>
  <c r="AF108" i="5" s="1"/>
  <c r="AE108" i="5"/>
  <c r="AK399" i="5"/>
  <c r="AM399" i="5" s="1"/>
  <c r="AN399" i="5" s="1"/>
  <c r="AO399" i="5" s="1"/>
  <c r="AK407" i="5"/>
  <c r="AM407" i="5" s="1"/>
  <c r="AN407" i="5" s="1"/>
  <c r="AO407" i="5" s="1"/>
  <c r="AD327" i="5"/>
  <c r="AF327" i="5" s="1"/>
  <c r="AE327" i="5"/>
  <c r="AD106" i="5"/>
  <c r="AF106" i="5" s="1"/>
  <c r="AE106" i="5"/>
  <c r="AK425" i="5"/>
  <c r="AM425" i="5" s="1"/>
  <c r="AN425" i="5" s="1"/>
  <c r="AO425" i="5" s="1"/>
  <c r="AK150" i="5"/>
  <c r="AK405" i="5"/>
  <c r="AM395" i="5"/>
  <c r="AN395" i="5" s="1"/>
  <c r="AO395" i="5" s="1"/>
  <c r="AE395" i="5"/>
  <c r="AD395" i="5"/>
  <c r="AF395" i="5" s="1"/>
  <c r="AK180" i="5"/>
  <c r="AK214" i="5"/>
  <c r="AK207" i="5"/>
  <c r="AM207" i="5" s="1"/>
  <c r="AN207" i="5" s="1"/>
  <c r="AO207" i="5" s="1"/>
  <c r="AM113" i="5"/>
  <c r="AN113" i="5" s="1"/>
  <c r="AO113" i="5" s="1"/>
  <c r="AE113" i="5"/>
  <c r="AD113" i="5"/>
  <c r="AF113" i="5" s="1"/>
  <c r="AE232" i="5"/>
  <c r="AD232" i="5"/>
  <c r="AF232" i="5" s="1"/>
  <c r="AM232" i="5"/>
  <c r="AN232" i="5" s="1"/>
  <c r="AO232" i="5" s="1"/>
  <c r="AK324" i="5"/>
  <c r="AD260" i="5"/>
  <c r="AF260" i="5" s="1"/>
  <c r="AM260" i="5"/>
  <c r="AN260" i="5" s="1"/>
  <c r="AO260" i="5" s="1"/>
  <c r="AE260" i="5"/>
  <c r="AK60" i="5"/>
  <c r="AM60" i="5" s="1"/>
  <c r="AN60" i="5" s="1"/>
  <c r="AO60" i="5" s="1"/>
  <c r="E4" i="3"/>
  <c r="F4" i="3" s="1"/>
  <c r="G5" i="3"/>
  <c r="K14" i="4"/>
  <c r="AE384" i="5"/>
  <c r="AD384" i="5"/>
  <c r="AF384" i="5" s="1"/>
  <c r="AM384" i="5"/>
  <c r="AN384" i="5" s="1"/>
  <c r="AO384" i="5" s="1"/>
  <c r="AE46" i="5"/>
  <c r="AD46" i="5"/>
  <c r="AF46" i="5" s="1"/>
  <c r="AM46" i="5"/>
  <c r="AN46" i="5" s="1"/>
  <c r="AO46" i="5" s="1"/>
  <c r="AK315" i="5"/>
  <c r="AE79" i="5"/>
  <c r="AD79" i="5"/>
  <c r="AF79" i="5" s="1"/>
  <c r="AK298" i="5"/>
  <c r="AK37" i="5"/>
  <c r="G23" i="4"/>
  <c r="H23" i="4" s="1"/>
  <c r="AM48" i="5"/>
  <c r="AN48" i="5" s="1"/>
  <c r="AO48" i="5" s="1"/>
  <c r="AE48" i="5"/>
  <c r="AD48" i="5"/>
  <c r="AF48" i="5" s="1"/>
  <c r="AE268" i="5"/>
  <c r="AD268" i="5"/>
  <c r="AF268" i="5" s="1"/>
  <c r="AD24" i="5"/>
  <c r="AF24" i="5" s="1"/>
  <c r="AM24" i="5"/>
  <c r="AN24" i="5" s="1"/>
  <c r="AO24" i="5" s="1"/>
  <c r="AE24" i="5"/>
  <c r="AK151" i="5"/>
  <c r="AE140" i="5"/>
  <c r="AD140" i="5"/>
  <c r="AF140" i="5" s="1"/>
  <c r="AK377" i="5"/>
  <c r="AK52" i="5"/>
  <c r="AM189" i="5"/>
  <c r="AN189" i="5" s="1"/>
  <c r="AO189" i="5" s="1"/>
  <c r="AE189" i="5"/>
  <c r="AD189" i="5"/>
  <c r="AF189" i="5" s="1"/>
  <c r="AE148" i="5"/>
  <c r="AD148" i="5"/>
  <c r="AF148" i="5" s="1"/>
  <c r="AM148" i="5"/>
  <c r="AN148" i="5" s="1"/>
  <c r="AO148" i="5" s="1"/>
  <c r="AK212" i="5"/>
  <c r="AM212" i="5" s="1"/>
  <c r="AN212" i="5" s="1"/>
  <c r="AO212" i="5" s="1"/>
  <c r="AD136" i="5"/>
  <c r="AF136" i="5" s="1"/>
  <c r="AM136" i="5"/>
  <c r="AN136" i="5" s="1"/>
  <c r="AO136" i="5" s="1"/>
  <c r="AE136" i="5"/>
  <c r="AD296" i="5"/>
  <c r="AF296" i="5" s="1"/>
  <c r="AE296" i="5"/>
  <c r="AE138" i="5"/>
  <c r="AD138" i="5"/>
  <c r="AF138" i="5" s="1"/>
  <c r="AE29" i="5"/>
  <c r="AM29" i="5"/>
  <c r="AN29" i="5" s="1"/>
  <c r="AO29" i="5" s="1"/>
  <c r="AD29" i="5"/>
  <c r="AF29" i="5" s="1"/>
  <c r="AD310" i="5"/>
  <c r="AF310" i="5" s="1"/>
  <c r="AE310" i="5"/>
  <c r="AM310" i="5"/>
  <c r="AN310" i="5" s="1"/>
  <c r="AO310" i="5" s="1"/>
  <c r="AK251" i="5"/>
  <c r="AM251" i="5" s="1"/>
  <c r="AN251" i="5" s="1"/>
  <c r="AO251" i="5" s="1"/>
  <c r="AD185" i="5"/>
  <c r="AF185" i="5" s="1"/>
  <c r="AE185" i="5"/>
  <c r="AK428" i="5"/>
  <c r="AE127" i="5"/>
  <c r="AD127" i="5"/>
  <c r="AF127" i="5" s="1"/>
  <c r="AE21" i="5"/>
  <c r="AM21" i="5"/>
  <c r="AN21" i="5" s="1"/>
  <c r="AO21" i="5" s="1"/>
  <c r="AD21" i="5"/>
  <c r="AF21" i="5" s="1"/>
  <c r="AK282" i="5"/>
  <c r="AM282" i="5" s="1"/>
  <c r="AN282" i="5" s="1"/>
  <c r="AO282" i="5" s="1"/>
  <c r="AE147" i="5"/>
  <c r="AD147" i="5"/>
  <c r="AF147" i="5" s="1"/>
  <c r="AE70" i="5"/>
  <c r="AM70" i="5"/>
  <c r="AN70" i="5" s="1"/>
  <c r="AO70" i="5" s="1"/>
  <c r="AD70" i="5"/>
  <c r="AF70" i="5" s="1"/>
  <c r="AK313" i="5"/>
  <c r="AM313" i="5" s="1"/>
  <c r="AN313" i="5" s="1"/>
  <c r="AO313" i="5" s="1"/>
  <c r="AK106" i="5"/>
  <c r="AM106" i="5" s="1"/>
  <c r="AN106" i="5" s="1"/>
  <c r="AO106" i="5" s="1"/>
  <c r="AK3" i="5"/>
  <c r="AK412" i="5"/>
  <c r="AK188" i="5"/>
  <c r="AK87" i="5"/>
  <c r="AM87" i="5" s="1"/>
  <c r="AN87" i="5" s="1"/>
  <c r="AO87" i="5" s="1"/>
  <c r="AD389" i="5"/>
  <c r="AF389" i="5" s="1"/>
  <c r="AM389" i="5"/>
  <c r="AN389" i="5" s="1"/>
  <c r="AO389" i="5" s="1"/>
  <c r="AE389" i="5"/>
  <c r="G29" i="4"/>
  <c r="H29" i="4" s="1"/>
  <c r="AK263" i="5"/>
  <c r="AK291" i="5"/>
  <c r="AM291" i="5" s="1"/>
  <c r="AN291" i="5" s="1"/>
  <c r="AO291" i="5" s="1"/>
  <c r="AK255" i="5"/>
  <c r="AM255" i="5" s="1"/>
  <c r="AN255" i="5" s="1"/>
  <c r="AO255" i="5" s="1"/>
  <c r="AM43" i="5"/>
  <c r="AN43" i="5" s="1"/>
  <c r="AO43" i="5" s="1"/>
  <c r="AE43" i="5"/>
  <c r="AD43" i="5"/>
  <c r="AF43" i="5" s="1"/>
  <c r="AK229" i="5"/>
  <c r="AM229" i="5" s="1"/>
  <c r="AN229" i="5" s="1"/>
  <c r="AO229" i="5" s="1"/>
  <c r="AM51" i="5"/>
  <c r="AN51" i="5" s="1"/>
  <c r="AO51" i="5" s="1"/>
  <c r="AE51" i="5"/>
  <c r="AD51" i="5"/>
  <c r="AF51" i="5" s="1"/>
  <c r="AK152" i="5"/>
  <c r="AE85" i="5"/>
  <c r="AD85" i="5"/>
  <c r="AF85" i="5" s="1"/>
  <c r="AE239" i="5"/>
  <c r="AD239" i="5"/>
  <c r="AF239" i="5" s="1"/>
  <c r="AK134" i="5"/>
  <c r="AM134" i="5" s="1"/>
  <c r="AN134" i="5" s="1"/>
  <c r="AO134" i="5" s="1"/>
  <c r="AE71" i="5"/>
  <c r="AD71" i="5"/>
  <c r="AF71" i="5" s="1"/>
  <c r="AK129" i="5"/>
  <c r="AD124" i="5"/>
  <c r="AF124" i="5" s="1"/>
  <c r="AM124" i="5"/>
  <c r="AN124" i="5" s="1"/>
  <c r="AO124" i="5" s="1"/>
  <c r="AE124" i="5"/>
  <c r="AM396" i="5"/>
  <c r="AN396" i="5" s="1"/>
  <c r="AO396" i="5" s="1"/>
  <c r="AD396" i="5"/>
  <c r="AF396" i="5" s="1"/>
  <c r="AE396" i="5"/>
  <c r="AD216" i="5"/>
  <c r="AF216" i="5" s="1"/>
  <c r="AE216" i="5"/>
  <c r="AM216" i="5"/>
  <c r="AN216" i="5" s="1"/>
  <c r="AO216" i="5" s="1"/>
  <c r="AE221" i="5"/>
  <c r="AM221" i="5"/>
  <c r="AN221" i="5" s="1"/>
  <c r="AO221" i="5" s="1"/>
  <c r="AD221" i="5"/>
  <c r="AF221" i="5" s="1"/>
  <c r="AK401" i="5"/>
  <c r="AD431" i="5"/>
  <c r="AF431" i="5" s="1"/>
  <c r="AM431" i="5"/>
  <c r="AN431" i="5" s="1"/>
  <c r="AO431" i="5" s="1"/>
  <c r="AE431" i="5"/>
  <c r="G26" i="4"/>
  <c r="H26" i="4" s="1"/>
  <c r="F4" i="2"/>
  <c r="D15" i="1"/>
  <c r="K34" i="4"/>
  <c r="AK420" i="5"/>
  <c r="AK26" i="5"/>
  <c r="AM26" i="5" s="1"/>
  <c r="AN26" i="5" s="1"/>
  <c r="AO26" i="5" s="1"/>
  <c r="AE63" i="5"/>
  <c r="AD63" i="5"/>
  <c r="AF63" i="5" s="1"/>
  <c r="AK226" i="5"/>
  <c r="AE139" i="5"/>
  <c r="AD139" i="5"/>
  <c r="AF139" i="5" s="1"/>
  <c r="AE95" i="5"/>
  <c r="AM95" i="5"/>
  <c r="AN95" i="5" s="1"/>
  <c r="AO95" i="5" s="1"/>
  <c r="AD95" i="5"/>
  <c r="AF95" i="5" s="1"/>
  <c r="AM315" i="5"/>
  <c r="AN315" i="5" s="1"/>
  <c r="AO315" i="5" s="1"/>
  <c r="AE315" i="5"/>
  <c r="AD315" i="5"/>
  <c r="AF315" i="5" s="1"/>
  <c r="AE183" i="5"/>
  <c r="AD183" i="5"/>
  <c r="AF183" i="5" s="1"/>
  <c r="AM183" i="5"/>
  <c r="AN183" i="5" s="1"/>
  <c r="AO183" i="5" s="1"/>
  <c r="AM215" i="5"/>
  <c r="AN215" i="5" s="1"/>
  <c r="AO215" i="5" s="1"/>
  <c r="AE215" i="5"/>
  <c r="AD215" i="5"/>
  <c r="AF215" i="5" s="1"/>
  <c r="AK159" i="5"/>
  <c r="AM159" i="5" s="1"/>
  <c r="AN159" i="5" s="1"/>
  <c r="AO159" i="5" s="1"/>
  <c r="AE62" i="5"/>
  <c r="AD62" i="5"/>
  <c r="AF62" i="5" s="1"/>
  <c r="AM62" i="5"/>
  <c r="AN62" i="5" s="1"/>
  <c r="AO62" i="5" s="1"/>
  <c r="AK369" i="5"/>
  <c r="AK393" i="5"/>
  <c r="F3" i="2"/>
  <c r="D14" i="1"/>
  <c r="AD233" i="5"/>
  <c r="AF233" i="5" s="1"/>
  <c r="AE233" i="5"/>
  <c r="AE377" i="5"/>
  <c r="AD377" i="5"/>
  <c r="AF377" i="5" s="1"/>
  <c r="AM377" i="5"/>
  <c r="AN377" i="5" s="1"/>
  <c r="AO377" i="5" s="1"/>
  <c r="AD28" i="5"/>
  <c r="AF28" i="5" s="1"/>
  <c r="AM28" i="5"/>
  <c r="AN28" i="5" s="1"/>
  <c r="AO28" i="5" s="1"/>
  <c r="AE28" i="5"/>
  <c r="AD4" i="5"/>
  <c r="AF4" i="5" s="1"/>
  <c r="AE4" i="5"/>
  <c r="AM180" i="5"/>
  <c r="AN180" i="5" s="1"/>
  <c r="AO180" i="5" s="1"/>
  <c r="AE180" i="5"/>
  <c r="AD180" i="5"/>
  <c r="AF180" i="5" s="1"/>
  <c r="AK374" i="5"/>
  <c r="G24" i="4"/>
  <c r="H24" i="4" s="1"/>
  <c r="AK424" i="5"/>
  <c r="AM424" i="5" s="1"/>
  <c r="AN424" i="5" s="1"/>
  <c r="AO424" i="5" s="1"/>
  <c r="AK253" i="5"/>
  <c r="AK358" i="5"/>
  <c r="AE254" i="5"/>
  <c r="AD254" i="5"/>
  <c r="AF254" i="5" s="1"/>
  <c r="AD58" i="5"/>
  <c r="AF58" i="5" s="1"/>
  <c r="AE58" i="5"/>
  <c r="AM58" i="5"/>
  <c r="AN58" i="5" s="1"/>
  <c r="AO58" i="5" s="1"/>
  <c r="AM388" i="5"/>
  <c r="AN388" i="5" s="1"/>
  <c r="AO388" i="5" s="1"/>
  <c r="AD388" i="5"/>
  <c r="AF388" i="5" s="1"/>
  <c r="AE388" i="5"/>
  <c r="AK194" i="5"/>
  <c r="AM194" i="5" s="1"/>
  <c r="AN194" i="5" s="1"/>
  <c r="AO194" i="5" s="1"/>
  <c r="G2" i="4"/>
  <c r="H2" i="4" s="1"/>
  <c r="AK383" i="5"/>
  <c r="AM383" i="5" s="1"/>
  <c r="AN383" i="5" s="1"/>
  <c r="AO383" i="5" s="1"/>
  <c r="AD288" i="5"/>
  <c r="AF288" i="5" s="1"/>
  <c r="AE288" i="5"/>
  <c r="AM288" i="5"/>
  <c r="AN288" i="5" s="1"/>
  <c r="AO288" i="5" s="1"/>
  <c r="AK27" i="5"/>
  <c r="K19" i="4"/>
  <c r="AM192" i="5"/>
  <c r="AN192" i="5" s="1"/>
  <c r="AO192" i="5" s="1"/>
  <c r="AE192" i="5"/>
  <c r="AD192" i="5"/>
  <c r="AF192" i="5" s="1"/>
  <c r="AD52" i="5"/>
  <c r="AF52" i="5" s="1"/>
  <c r="AM52" i="5"/>
  <c r="AN52" i="5" s="1"/>
  <c r="AO52" i="5" s="1"/>
  <c r="AE52" i="5"/>
  <c r="AM158" i="5"/>
  <c r="AN158" i="5" s="1"/>
  <c r="AO158" i="5" s="1"/>
  <c r="AE158" i="5"/>
  <c r="AD158" i="5"/>
  <c r="AF158" i="5" s="1"/>
  <c r="AK148" i="5"/>
  <c r="G34" i="4"/>
  <c r="H34" i="4" s="1"/>
  <c r="AD413" i="5"/>
  <c r="AF413" i="5" s="1"/>
  <c r="AM413" i="5"/>
  <c r="AN413" i="5" s="1"/>
  <c r="AO413" i="5" s="1"/>
  <c r="AE413" i="5"/>
  <c r="K17" i="4"/>
  <c r="AK347" i="5"/>
  <c r="AM347" i="5" s="1"/>
  <c r="AN347" i="5" s="1"/>
  <c r="AO347" i="5" s="1"/>
  <c r="AK400" i="5"/>
  <c r="AM400" i="5" s="1"/>
  <c r="AN400" i="5" s="1"/>
  <c r="AO400" i="5" s="1"/>
  <c r="AE392" i="5"/>
  <c r="AD392" i="5"/>
  <c r="AF392" i="5" s="1"/>
  <c r="AK70" i="5"/>
  <c r="AM41" i="5"/>
  <c r="AN41" i="5" s="1"/>
  <c r="AO41" i="5" s="1"/>
  <c r="AD41" i="5"/>
  <c r="AF41" i="5" s="1"/>
  <c r="AE41" i="5"/>
  <c r="AM411" i="5"/>
  <c r="AN411" i="5" s="1"/>
  <c r="AO411" i="5" s="1"/>
  <c r="AE411" i="5"/>
  <c r="AD411" i="5"/>
  <c r="AF411" i="5" s="1"/>
  <c r="AM112" i="5"/>
  <c r="AN112" i="5" s="1"/>
  <c r="AO112" i="5" s="1"/>
  <c r="AE112" i="5"/>
  <c r="AD112" i="5"/>
  <c r="AF112" i="5" s="1"/>
  <c r="AD34" i="5"/>
  <c r="AF34" i="5" s="1"/>
  <c r="AM34" i="5"/>
  <c r="AN34" i="5" s="1"/>
  <c r="AO34" i="5" s="1"/>
  <c r="AE34" i="5"/>
  <c r="AE188" i="5"/>
  <c r="AD188" i="5"/>
  <c r="AF188" i="5" s="1"/>
  <c r="AM188" i="5"/>
  <c r="AN188" i="5" s="1"/>
  <c r="AO188" i="5" s="1"/>
  <c r="AD55" i="5"/>
  <c r="AF55" i="5" s="1"/>
  <c r="AE55" i="5"/>
  <c r="AE416" i="5"/>
  <c r="AD416" i="5"/>
  <c r="AF416" i="5" s="1"/>
  <c r="AD234" i="5"/>
  <c r="AF234" i="5" s="1"/>
  <c r="AM234" i="5"/>
  <c r="AN234" i="5" s="1"/>
  <c r="AO234" i="5" s="1"/>
  <c r="AE234" i="5"/>
  <c r="AE111" i="5"/>
  <c r="AD111" i="5"/>
  <c r="AF111" i="5" s="1"/>
  <c r="AE223" i="5"/>
  <c r="AD223" i="5"/>
  <c r="AF223" i="5" s="1"/>
  <c r="AD129" i="5"/>
  <c r="AF129" i="5" s="1"/>
  <c r="AE129" i="5"/>
  <c r="AM129" i="5"/>
  <c r="AN129" i="5" s="1"/>
  <c r="AO129" i="5" s="1"/>
  <c r="AM357" i="5"/>
  <c r="AN357" i="5" s="1"/>
  <c r="AO357" i="5" s="1"/>
  <c r="AE357" i="5"/>
  <c r="AD357" i="5"/>
  <c r="AF357" i="5" s="1"/>
  <c r="AE225" i="5"/>
  <c r="AD225" i="5"/>
  <c r="AF225" i="5" s="1"/>
  <c r="AM410" i="5"/>
  <c r="AN410" i="5" s="1"/>
  <c r="AO410" i="5" s="1"/>
  <c r="AE410" i="5"/>
  <c r="AD410" i="5"/>
  <c r="AF410" i="5" s="1"/>
  <c r="AD270" i="5"/>
  <c r="AF270" i="5" s="1"/>
  <c r="AM270" i="5"/>
  <c r="AN270" i="5" s="1"/>
  <c r="AO270" i="5" s="1"/>
  <c r="AE270" i="5"/>
  <c r="AE385" i="5"/>
  <c r="AD385" i="5"/>
  <c r="AF385" i="5" s="1"/>
  <c r="AM319" i="5"/>
  <c r="AN319" i="5" s="1"/>
  <c r="AO319" i="5" s="1"/>
  <c r="AE319" i="5"/>
  <c r="AD319" i="5"/>
  <c r="AF319" i="5" s="1"/>
  <c r="AE374" i="5"/>
  <c r="AD374" i="5"/>
  <c r="AF374" i="5" s="1"/>
  <c r="AM374" i="5"/>
  <c r="AN374" i="5" s="1"/>
  <c r="AO374" i="5" s="1"/>
  <c r="AM135" i="5"/>
  <c r="AN135" i="5" s="1"/>
  <c r="AO135" i="5" s="1"/>
  <c r="AE135" i="5"/>
  <c r="AD135" i="5"/>
  <c r="AF135" i="5" s="1"/>
  <c r="AE406" i="5"/>
  <c r="AD406" i="5"/>
  <c r="AF406" i="5" s="1"/>
  <c r="AM406" i="5"/>
  <c r="AN406" i="5" s="1"/>
  <c r="AO406" i="5" s="1"/>
  <c r="H5" i="3"/>
  <c r="I5" i="3" s="1"/>
  <c r="I2" i="3"/>
  <c r="AM182" i="5"/>
  <c r="AN182" i="5" s="1"/>
  <c r="AO182" i="5" s="1"/>
  <c r="AE182" i="5"/>
  <c r="AD182" i="5"/>
  <c r="AF182" i="5" s="1"/>
  <c r="AE123" i="5"/>
  <c r="AD123" i="5"/>
  <c r="AF123" i="5" s="1"/>
  <c r="D13" i="1"/>
  <c r="F2" i="2"/>
  <c r="E8" i="2"/>
  <c r="B5" i="1" s="1"/>
  <c r="AE359" i="5"/>
  <c r="AM359" i="5"/>
  <c r="AN359" i="5" s="1"/>
  <c r="AO359" i="5" s="1"/>
  <c r="AD359" i="5"/>
  <c r="AF359" i="5" s="1"/>
  <c r="AM394" i="5"/>
  <c r="AN394" i="5" s="1"/>
  <c r="AO394" i="5" s="1"/>
  <c r="AE394" i="5"/>
  <c r="AD394" i="5"/>
  <c r="AF394" i="5" s="1"/>
  <c r="AK317" i="5"/>
  <c r="AM317" i="5" s="1"/>
  <c r="AN317" i="5" s="1"/>
  <c r="AO317" i="5" s="1"/>
  <c r="AD214" i="5"/>
  <c r="AF214" i="5" s="1"/>
  <c r="AM214" i="5"/>
  <c r="AN214" i="5" s="1"/>
  <c r="AO214" i="5" s="1"/>
  <c r="AE214" i="5"/>
  <c r="AK192" i="5"/>
  <c r="AD165" i="5"/>
  <c r="AF165" i="5" s="1"/>
  <c r="AE165" i="5"/>
  <c r="AM165" i="5"/>
  <c r="AN165" i="5" s="1"/>
  <c r="AO165" i="5" s="1"/>
  <c r="AM150" i="5"/>
  <c r="AN150" i="5" s="1"/>
  <c r="AO150" i="5" s="1"/>
  <c r="AE150" i="5"/>
  <c r="AD150" i="5"/>
  <c r="AF150" i="5" s="1"/>
  <c r="AK320" i="5"/>
  <c r="AK76" i="5"/>
  <c r="AM76" i="5" s="1"/>
  <c r="AN76" i="5" s="1"/>
  <c r="AO76" i="5" s="1"/>
  <c r="AM32" i="5"/>
  <c r="AN32" i="5" s="1"/>
  <c r="AO32" i="5" s="1"/>
  <c r="AE32" i="5"/>
  <c r="AD32" i="5"/>
  <c r="AF32" i="5" s="1"/>
  <c r="AD324" i="5"/>
  <c r="AF324" i="5" s="1"/>
  <c r="AE324" i="5"/>
  <c r="AM324" i="5"/>
  <c r="AN324" i="5" s="1"/>
  <c r="AO324" i="5" s="1"/>
  <c r="AD167" i="5"/>
  <c r="AF167" i="5" s="1"/>
  <c r="AM167" i="5"/>
  <c r="AN167" i="5" s="1"/>
  <c r="AO167" i="5" s="1"/>
  <c r="AE167" i="5"/>
  <c r="AD60" i="5"/>
  <c r="AF60" i="5" s="1"/>
  <c r="AE60" i="5"/>
  <c r="AM269" i="5"/>
  <c r="AN269" i="5" s="1"/>
  <c r="AO269" i="5" s="1"/>
  <c r="AD269" i="5"/>
  <c r="AF269" i="5" s="1"/>
  <c r="AE269" i="5"/>
  <c r="AK178" i="5"/>
  <c r="AM178" i="5" s="1"/>
  <c r="AN178" i="5" s="1"/>
  <c r="AO178" i="5" s="1"/>
  <c r="K24" i="4"/>
  <c r="AK252" i="5"/>
  <c r="AM252" i="5" s="1"/>
  <c r="AN252" i="5" s="1"/>
  <c r="AO252" i="5" s="1"/>
  <c r="AM205" i="5"/>
  <c r="AN205" i="5" s="1"/>
  <c r="AO205" i="5" s="1"/>
  <c r="AE205" i="5"/>
  <c r="AD205" i="5"/>
  <c r="AF205" i="5" s="1"/>
  <c r="AD286" i="5"/>
  <c r="AF286" i="5" s="1"/>
  <c r="AM286" i="5"/>
  <c r="AN286" i="5" s="1"/>
  <c r="AO286" i="5" s="1"/>
  <c r="AE286" i="5"/>
  <c r="AK259" i="5"/>
  <c r="AM259" i="5" s="1"/>
  <c r="AN259" i="5" s="1"/>
  <c r="AO259" i="5" s="1"/>
  <c r="AD354" i="5"/>
  <c r="AF354" i="5" s="1"/>
  <c r="AM354" i="5"/>
  <c r="AN354" i="5" s="1"/>
  <c r="AO354" i="5" s="1"/>
  <c r="AE354" i="5"/>
  <c r="AK138" i="5"/>
  <c r="AM138" i="5" s="1"/>
  <c r="AN138" i="5" s="1"/>
  <c r="AO138" i="5" s="1"/>
  <c r="G7" i="4"/>
  <c r="H7" i="4" s="1"/>
  <c r="AK217" i="5"/>
  <c r="AM217" i="5" s="1"/>
  <c r="AN217" i="5" s="1"/>
  <c r="AO217" i="5" s="1"/>
  <c r="AD251" i="5"/>
  <c r="AF251" i="5" s="1"/>
  <c r="AE251" i="5"/>
  <c r="AD358" i="5"/>
  <c r="AF358" i="5" s="1"/>
  <c r="AE358" i="5"/>
  <c r="AM358" i="5"/>
  <c r="AN358" i="5" s="1"/>
  <c r="AO358" i="5" s="1"/>
  <c r="AD320" i="5"/>
  <c r="AF320" i="5" s="1"/>
  <c r="AE320" i="5"/>
  <c r="AM320" i="5"/>
  <c r="AN320" i="5" s="1"/>
  <c r="AO320" i="5" s="1"/>
  <c r="AM10" i="5"/>
  <c r="AN10" i="5" s="1"/>
  <c r="AO10" i="5" s="1"/>
  <c r="AE10" i="5"/>
  <c r="AD10" i="5"/>
  <c r="AF10" i="5" s="1"/>
  <c r="AK238" i="5"/>
  <c r="AM238" i="5" s="1"/>
  <c r="AN238" i="5" s="1"/>
  <c r="AO238" i="5" s="1"/>
  <c r="AD405" i="5"/>
  <c r="AF405" i="5" s="1"/>
  <c r="AM405" i="5"/>
  <c r="AN405" i="5" s="1"/>
  <c r="AO405" i="5" s="1"/>
  <c r="AE405" i="5"/>
  <c r="AK4" i="5"/>
  <c r="AM4" i="5" s="1"/>
  <c r="AN4" i="5" s="1"/>
  <c r="AO4" i="5" s="1"/>
  <c r="AM128" i="5"/>
  <c r="AN128" i="5" s="1"/>
  <c r="AO128" i="5" s="1"/>
  <c r="AE128" i="5"/>
  <c r="AD128" i="5"/>
  <c r="AF128" i="5" s="1"/>
  <c r="AK254" i="5"/>
  <c r="AM254" i="5" s="1"/>
  <c r="AN254" i="5" s="1"/>
  <c r="AO254" i="5" s="1"/>
  <c r="AD76" i="5"/>
  <c r="AF76" i="5" s="1"/>
  <c r="AE76" i="5"/>
  <c r="AD381" i="5"/>
  <c r="AF381" i="5" s="1"/>
  <c r="AM381" i="5"/>
  <c r="AN381" i="5" s="1"/>
  <c r="AO381" i="5" s="1"/>
  <c r="AE381" i="5"/>
  <c r="AD194" i="5"/>
  <c r="AF194" i="5" s="1"/>
  <c r="AE194" i="5"/>
  <c r="AK135" i="5"/>
  <c r="AK54" i="5"/>
  <c r="AK406" i="5"/>
  <c r="B5" i="3"/>
  <c r="C5" i="3"/>
  <c r="K2" i="4"/>
  <c r="G14" i="4"/>
  <c r="H14" i="4" s="1"/>
  <c r="AK117" i="5"/>
  <c r="AM117" i="5" s="1"/>
  <c r="AN117" i="5" s="1"/>
  <c r="AO117" i="5" s="1"/>
  <c r="K16" i="4"/>
  <c r="AM7" i="5"/>
  <c r="AN7" i="5" s="1"/>
  <c r="AO7" i="5" s="1"/>
  <c r="AE7" i="5"/>
  <c r="AD7" i="5"/>
  <c r="AF7" i="5" s="1"/>
  <c r="AD247" i="5"/>
  <c r="AF247" i="5" s="1"/>
  <c r="AE247" i="5"/>
  <c r="AM247" i="5"/>
  <c r="AN247" i="5" s="1"/>
  <c r="AO247" i="5" s="1"/>
  <c r="AK279" i="5"/>
  <c r="AM279" i="5" s="1"/>
  <c r="AN279" i="5" s="1"/>
  <c r="AO279" i="5" s="1"/>
  <c r="AD14" i="5"/>
  <c r="AF14" i="5" s="1"/>
  <c r="AM14" i="5"/>
  <c r="AN14" i="5" s="1"/>
  <c r="AO14" i="5" s="1"/>
  <c r="AE14" i="5"/>
  <c r="G21" i="4"/>
  <c r="H21" i="4" s="1"/>
  <c r="AM27" i="5"/>
  <c r="AN27" i="5" s="1"/>
  <c r="AO27" i="5" s="1"/>
  <c r="AE27" i="5"/>
  <c r="AD27" i="5"/>
  <c r="AF27" i="5" s="1"/>
  <c r="AE78" i="5"/>
  <c r="AD78" i="5"/>
  <c r="AF78" i="5" s="1"/>
  <c r="AK423" i="5"/>
  <c r="AE110" i="5"/>
  <c r="AD110" i="5"/>
  <c r="AF110" i="5" s="1"/>
  <c r="AK325" i="5"/>
  <c r="AM325" i="5" s="1"/>
  <c r="AN325" i="5" s="1"/>
  <c r="AO325" i="5" s="1"/>
  <c r="AE86" i="5"/>
  <c r="AD86" i="5"/>
  <c r="AF86" i="5" s="1"/>
  <c r="AM86" i="5"/>
  <c r="AN86" i="5" s="1"/>
  <c r="AO86" i="5" s="1"/>
  <c r="AK421" i="5"/>
  <c r="AM421" i="5" s="1"/>
  <c r="AN421" i="5" s="1"/>
  <c r="AO421" i="5" s="1"/>
  <c r="AD122" i="5"/>
  <c r="AF122" i="5" s="1"/>
  <c r="AM122" i="5"/>
  <c r="AN122" i="5" s="1"/>
  <c r="AO122" i="5" s="1"/>
  <c r="AE122" i="5"/>
  <c r="AE191" i="5"/>
  <c r="AM191" i="5"/>
  <c r="AN191" i="5" s="1"/>
  <c r="AO191" i="5" s="1"/>
  <c r="AD191" i="5"/>
  <c r="AF191" i="5" s="1"/>
  <c r="AK67" i="5"/>
  <c r="AM67" i="5" s="1"/>
  <c r="AN67" i="5" s="1"/>
  <c r="AO67" i="5" s="1"/>
  <c r="AK140" i="5"/>
  <c r="AM140" i="5" s="1"/>
  <c r="AN140" i="5" s="1"/>
  <c r="AO140" i="5" s="1"/>
  <c r="K37" i="4"/>
  <c r="AK378" i="5"/>
  <c r="AM378" i="5" s="1"/>
  <c r="AN378" i="5" s="1"/>
  <c r="AO378" i="5" s="1"/>
  <c r="AE259" i="5"/>
  <c r="AD259" i="5"/>
  <c r="AF259" i="5" s="1"/>
  <c r="AE45" i="5"/>
  <c r="AM45" i="5"/>
  <c r="AN45" i="5" s="1"/>
  <c r="AO45" i="5" s="1"/>
  <c r="AD45" i="5"/>
  <c r="AF45" i="5" s="1"/>
  <c r="AE72" i="5"/>
  <c r="AD72" i="5"/>
  <c r="AF72" i="5" s="1"/>
  <c r="K12" i="4"/>
  <c r="AK18" i="5"/>
  <c r="AM18" i="5" s="1"/>
  <c r="AN18" i="5" s="1"/>
  <c r="AO18" i="5" s="1"/>
  <c r="AD212" i="5"/>
  <c r="AF212" i="5" s="1"/>
  <c r="AE212" i="5"/>
  <c r="AK96" i="5"/>
  <c r="AE38" i="5"/>
  <c r="AD38" i="5"/>
  <c r="AF38" i="5" s="1"/>
  <c r="AK144" i="5"/>
  <c r="AM144" i="5" s="1"/>
  <c r="AN144" i="5" s="1"/>
  <c r="AO144" i="5" s="1"/>
  <c r="AK29" i="5"/>
  <c r="AE285" i="5"/>
  <c r="AD285" i="5"/>
  <c r="AF285" i="5" s="1"/>
  <c r="AM16" i="5"/>
  <c r="AN16" i="5" s="1"/>
  <c r="AO16" i="5" s="1"/>
  <c r="AD16" i="5"/>
  <c r="AF16" i="5" s="1"/>
  <c r="AE16" i="5"/>
  <c r="AK243" i="5"/>
  <c r="AM243" i="5" s="1"/>
  <c r="AN243" i="5" s="1"/>
  <c r="AO243" i="5" s="1"/>
  <c r="AE275" i="5"/>
  <c r="AD275" i="5"/>
  <c r="AF275" i="5" s="1"/>
  <c r="AK287" i="5"/>
  <c r="AM287" i="5" s="1"/>
  <c r="AN287" i="5" s="1"/>
  <c r="AO287" i="5" s="1"/>
  <c r="AM201" i="5"/>
  <c r="AN201" i="5" s="1"/>
  <c r="AO201" i="5" s="1"/>
  <c r="AD201" i="5"/>
  <c r="AF201" i="5" s="1"/>
  <c r="AE201" i="5"/>
  <c r="AK318" i="5"/>
  <c r="AM318" i="5" s="1"/>
  <c r="AN318" i="5" s="1"/>
  <c r="AO318" i="5" s="1"/>
  <c r="AE409" i="5"/>
  <c r="AD409" i="5"/>
  <c r="AF409" i="5" s="1"/>
  <c r="AK147" i="5"/>
  <c r="AM147" i="5" s="1"/>
  <c r="AN147" i="5" s="1"/>
  <c r="AO147" i="5" s="1"/>
  <c r="AD68" i="5"/>
  <c r="AF68" i="5" s="1"/>
  <c r="AM68" i="5"/>
  <c r="AN68" i="5" s="1"/>
  <c r="AO68" i="5" s="1"/>
  <c r="AE68" i="5"/>
  <c r="AE313" i="5"/>
  <c r="AD313" i="5"/>
  <c r="AF313" i="5" s="1"/>
  <c r="AK112" i="5"/>
  <c r="AK44" i="5"/>
  <c r="AM387" i="5"/>
  <c r="AN387" i="5" s="1"/>
  <c r="AO387" i="5" s="1"/>
  <c r="AE387" i="5"/>
  <c r="AD387" i="5"/>
  <c r="AF387" i="5" s="1"/>
  <c r="AM65" i="5"/>
  <c r="AN65" i="5" s="1"/>
  <c r="AO65" i="5" s="1"/>
  <c r="AE65" i="5"/>
  <c r="AD65" i="5"/>
  <c r="AF65" i="5" s="1"/>
  <c r="AK34" i="5"/>
  <c r="AK224" i="5"/>
  <c r="G5" i="4"/>
  <c r="H5" i="4" s="1"/>
  <c r="AE204" i="5"/>
  <c r="AD204" i="5"/>
  <c r="AF204" i="5" s="1"/>
  <c r="AM204" i="5"/>
  <c r="AN204" i="5" s="1"/>
  <c r="AO204" i="5" s="1"/>
  <c r="AE349" i="5"/>
  <c r="AD349" i="5"/>
  <c r="AF349" i="5" s="1"/>
  <c r="AE200" i="5"/>
  <c r="AD200" i="5"/>
  <c r="AF200" i="5" s="1"/>
  <c r="AM200" i="5"/>
  <c r="AN200" i="5" s="1"/>
  <c r="AO200" i="5" s="1"/>
  <c r="AD152" i="5"/>
  <c r="AF152" i="5" s="1"/>
  <c r="AM152" i="5"/>
  <c r="AN152" i="5" s="1"/>
  <c r="AO152" i="5" s="1"/>
  <c r="AE152" i="5"/>
  <c r="AE153" i="5"/>
  <c r="AD153" i="5"/>
  <c r="AF153" i="5" s="1"/>
  <c r="AM153" i="5"/>
  <c r="AN153" i="5" s="1"/>
  <c r="AO153" i="5" s="1"/>
  <c r="AM133" i="5"/>
  <c r="AN133" i="5" s="1"/>
  <c r="AO133" i="5" s="1"/>
  <c r="AD133" i="5"/>
  <c r="AF133" i="5" s="1"/>
  <c r="AE133" i="5"/>
  <c r="G25" i="4"/>
  <c r="H25" i="4" s="1"/>
  <c r="AK71" i="5"/>
  <c r="AM71" i="5" s="1"/>
  <c r="AN71" i="5" s="1"/>
  <c r="AO71" i="5" s="1"/>
  <c r="AE267" i="5"/>
  <c r="AM267" i="5"/>
  <c r="AN267" i="5" s="1"/>
  <c r="AO267" i="5" s="1"/>
  <c r="AD267" i="5"/>
  <c r="AF267" i="5" s="1"/>
  <c r="K35" i="4"/>
  <c r="AE179" i="5"/>
  <c r="AD179" i="5"/>
  <c r="AF179" i="5" s="1"/>
  <c r="AD82" i="5"/>
  <c r="AF82" i="5" s="1"/>
  <c r="AM82" i="5"/>
  <c r="AN82" i="5" s="1"/>
  <c r="AO82" i="5" s="1"/>
  <c r="AE82" i="5"/>
  <c r="AK246" i="5"/>
  <c r="AM246" i="5" s="1"/>
  <c r="AN246" i="5" s="1"/>
  <c r="AO246" i="5" s="1"/>
  <c r="AM351" i="5"/>
  <c r="AN351" i="5" s="1"/>
  <c r="AO351" i="5" s="1"/>
  <c r="AD351" i="5"/>
  <c r="AF351" i="5" s="1"/>
  <c r="AE351" i="5"/>
  <c r="AE149" i="5"/>
  <c r="AD149" i="5"/>
  <c r="AF149" i="5" s="1"/>
  <c r="AM149" i="5"/>
  <c r="AN149" i="5" s="1"/>
  <c r="AO149" i="5" s="1"/>
  <c r="AE137" i="5"/>
  <c r="AD137" i="5"/>
  <c r="AF137" i="5" s="1"/>
  <c r="AM137" i="5"/>
  <c r="AN137" i="5" s="1"/>
  <c r="AO137" i="5" s="1"/>
  <c r="G15" i="4"/>
  <c r="H15" i="4" s="1"/>
  <c r="K26" i="4"/>
  <c r="AK261" i="5"/>
  <c r="AM261" i="5" s="1"/>
  <c r="AN261" i="5" s="1"/>
  <c r="AO261" i="5" s="1"/>
  <c r="AK211" i="5"/>
  <c r="AM211" i="5" s="1"/>
  <c r="AN211" i="5" s="1"/>
  <c r="AO211" i="5" s="1"/>
  <c r="G9" i="4"/>
  <c r="H9" i="4" s="1"/>
  <c r="G20" i="4"/>
  <c r="H20" i="4" s="1"/>
  <c r="AK236" i="5"/>
  <c r="AM236" i="5" s="1"/>
  <c r="AN236" i="5" s="1"/>
  <c r="AO236" i="5" s="1"/>
  <c r="AM420" i="5"/>
  <c r="AN420" i="5" s="1"/>
  <c r="AO420" i="5" s="1"/>
  <c r="AE420" i="5"/>
  <c r="AD420" i="5"/>
  <c r="AF420" i="5" s="1"/>
  <c r="AE355" i="5"/>
  <c r="AD355" i="5"/>
  <c r="AF355" i="5" s="1"/>
  <c r="AM355" i="5"/>
  <c r="AN355" i="5" s="1"/>
  <c r="AO355" i="5" s="1"/>
  <c r="AD171" i="5"/>
  <c r="AF171" i="5" s="1"/>
  <c r="AM171" i="5"/>
  <c r="AN171" i="5" s="1"/>
  <c r="AO171" i="5" s="1"/>
  <c r="AE171" i="5"/>
  <c r="AE193" i="5"/>
  <c r="AD193" i="5"/>
  <c r="AF193" i="5" s="1"/>
  <c r="AM193" i="5"/>
  <c r="AN193" i="5" s="1"/>
  <c r="AO193" i="5" s="1"/>
  <c r="AD339" i="5"/>
  <c r="AF339" i="5" s="1"/>
  <c r="AM339" i="5"/>
  <c r="AN339" i="5" s="1"/>
  <c r="AO339" i="5" s="1"/>
  <c r="AE339" i="5"/>
  <c r="AD279" i="5"/>
  <c r="AF279" i="5" s="1"/>
  <c r="AE279" i="5"/>
  <c r="AM298" i="5"/>
  <c r="AN298" i="5" s="1"/>
  <c r="AO298" i="5" s="1"/>
  <c r="AE298" i="5"/>
  <c r="AD298" i="5"/>
  <c r="AF298" i="5" s="1"/>
  <c r="AE199" i="5"/>
  <c r="AD199" i="5"/>
  <c r="AF199" i="5" s="1"/>
  <c r="AM199" i="5"/>
  <c r="AN199" i="5" s="1"/>
  <c r="AO199" i="5" s="1"/>
  <c r="G60" i="4"/>
  <c r="H60" i="4" s="1"/>
  <c r="K60" i="4"/>
  <c r="AM163" i="5"/>
  <c r="AN163" i="5" s="1"/>
  <c r="AO163" i="5" s="1"/>
  <c r="AE163" i="5"/>
  <c r="AD163" i="5"/>
  <c r="AF163" i="5" s="1"/>
  <c r="AE238" i="5"/>
  <c r="AD238" i="5"/>
  <c r="AF238" i="5" s="1"/>
  <c r="AD159" i="5"/>
  <c r="AF159" i="5" s="1"/>
  <c r="AE159" i="5"/>
  <c r="AK432" i="5"/>
  <c r="AM432" i="5" s="1"/>
  <c r="AN432" i="5" s="1"/>
  <c r="AO432" i="5" s="1"/>
  <c r="AE59" i="5"/>
  <c r="AD59" i="5"/>
  <c r="AF59" i="5" s="1"/>
  <c r="AM430" i="5"/>
  <c r="AN430" i="5" s="1"/>
  <c r="AO430" i="5" s="1"/>
  <c r="AD430" i="5"/>
  <c r="AF430" i="5" s="1"/>
  <c r="AE430" i="5"/>
  <c r="AK268" i="5"/>
  <c r="AM268" i="5" s="1"/>
  <c r="AN268" i="5" s="1"/>
  <c r="AO268" i="5" s="1"/>
  <c r="L3" i="2"/>
  <c r="G14" i="1" s="1"/>
  <c r="K6" i="4"/>
  <c r="AE408" i="5"/>
  <c r="AD408" i="5"/>
  <c r="AF408" i="5" s="1"/>
  <c r="AM408" i="5"/>
  <c r="AN408" i="5" s="1"/>
  <c r="AO408" i="5" s="1"/>
  <c r="AE245" i="5"/>
  <c r="AM245" i="5"/>
  <c r="AN245" i="5" s="1"/>
  <c r="AO245" i="5" s="1"/>
  <c r="AD245" i="5"/>
  <c r="AF245" i="5" s="1"/>
  <c r="AE253" i="5"/>
  <c r="AM253" i="5"/>
  <c r="AN253" i="5" s="1"/>
  <c r="AO253" i="5" s="1"/>
  <c r="AD253" i="5"/>
  <c r="AF253" i="5" s="1"/>
  <c r="AD96" i="5"/>
  <c r="AF96" i="5" s="1"/>
  <c r="AM96" i="5"/>
  <c r="AN96" i="5" s="1"/>
  <c r="AO96" i="5" s="1"/>
  <c r="AE96" i="5"/>
  <c r="AK182" i="5"/>
  <c r="AE81" i="5"/>
  <c r="AD81" i="5"/>
  <c r="AF81" i="5" s="1"/>
  <c r="AM121" i="5"/>
  <c r="AN121" i="5" s="1"/>
  <c r="AO121" i="5" s="1"/>
  <c r="AE121" i="5"/>
  <c r="AD121" i="5"/>
  <c r="AF121" i="5" s="1"/>
  <c r="AD114" i="5"/>
  <c r="AF114" i="5" s="1"/>
  <c r="AE114" i="5"/>
  <c r="AE177" i="5"/>
  <c r="AD177" i="5"/>
  <c r="AF177" i="5" s="1"/>
  <c r="AK262" i="5"/>
  <c r="AE196" i="5"/>
  <c r="AD196" i="5"/>
  <c r="AF196" i="5" s="1"/>
  <c r="AE202" i="5"/>
  <c r="AD202" i="5"/>
  <c r="AF202" i="5" s="1"/>
  <c r="AM120" i="5"/>
  <c r="AN120" i="5" s="1"/>
  <c r="AO120" i="5" s="1"/>
  <c r="AE120" i="5"/>
  <c r="AD120" i="5"/>
  <c r="AF120" i="5" s="1"/>
  <c r="AD181" i="5"/>
  <c r="AF181" i="5" s="1"/>
  <c r="AE181" i="5"/>
  <c r="AM181" i="5"/>
  <c r="AN181" i="5" s="1"/>
  <c r="AO181" i="5" s="1"/>
  <c r="AK123" i="5"/>
  <c r="AM123" i="5" s="1"/>
  <c r="AN123" i="5" s="1"/>
  <c r="AO123" i="5" s="1"/>
  <c r="AE264" i="5"/>
  <c r="AD264" i="5"/>
  <c r="AF264" i="5" s="1"/>
  <c r="AK115" i="5"/>
  <c r="AM115" i="5" s="1"/>
  <c r="AN115" i="5" s="1"/>
  <c r="AO115" i="5" s="1"/>
  <c r="K8" i="2"/>
  <c r="J5" i="3"/>
  <c r="AE117" i="5"/>
  <c r="AD117" i="5"/>
  <c r="AF117" i="5" s="1"/>
  <c r="AK384" i="5"/>
  <c r="K10" i="4"/>
  <c r="AK247" i="5"/>
  <c r="AK79" i="5"/>
  <c r="AM79" i="5" s="1"/>
  <c r="AN79" i="5" s="1"/>
  <c r="AO79" i="5" s="1"/>
  <c r="AK190" i="5"/>
  <c r="AK78" i="5"/>
  <c r="AM78" i="5" s="1"/>
  <c r="AN78" i="5" s="1"/>
  <c r="AO78" i="5" s="1"/>
  <c r="AK110" i="5"/>
  <c r="AM110" i="5" s="1"/>
  <c r="AN110" i="5" s="1"/>
  <c r="AO110" i="5" s="1"/>
  <c r="AK86" i="5"/>
  <c r="AK122" i="5"/>
  <c r="AK191" i="5"/>
  <c r="G22" i="4"/>
  <c r="H22" i="4" s="1"/>
  <c r="AM151" i="5"/>
  <c r="AN151" i="5" s="1"/>
  <c r="AO151" i="5" s="1"/>
  <c r="AE151" i="5"/>
  <c r="AD151" i="5"/>
  <c r="AF151" i="5" s="1"/>
  <c r="AE378" i="5"/>
  <c r="AD378" i="5"/>
  <c r="AF378" i="5" s="1"/>
  <c r="AE126" i="5"/>
  <c r="AD126" i="5"/>
  <c r="AF126" i="5" s="1"/>
  <c r="AM126" i="5"/>
  <c r="AN126" i="5" s="1"/>
  <c r="AO126" i="5" s="1"/>
  <c r="AK75" i="5"/>
  <c r="AM75" i="5" s="1"/>
  <c r="AN75" i="5" s="1"/>
  <c r="AO75" i="5" s="1"/>
  <c r="AK38" i="5"/>
  <c r="AM38" i="5" s="1"/>
  <c r="AN38" i="5" s="1"/>
  <c r="AO38" i="5" s="1"/>
  <c r="K7" i="4"/>
  <c r="AK16" i="5"/>
  <c r="K4" i="4"/>
  <c r="AK185" i="5"/>
  <c r="AM185" i="5" s="1"/>
  <c r="AN185" i="5" s="1"/>
  <c r="AO185" i="5" s="1"/>
  <c r="AD243" i="5"/>
  <c r="AF243" i="5" s="1"/>
  <c r="AE243" i="5"/>
  <c r="AK275" i="5"/>
  <c r="AM275" i="5" s="1"/>
  <c r="AN275" i="5" s="1"/>
  <c r="AO275" i="5" s="1"/>
  <c r="AM428" i="5"/>
  <c r="AN428" i="5" s="1"/>
  <c r="AO428" i="5" s="1"/>
  <c r="AD428" i="5"/>
  <c r="AF428" i="5" s="1"/>
  <c r="AE428" i="5"/>
  <c r="AK127" i="5"/>
  <c r="AM127" i="5" s="1"/>
  <c r="AN127" i="5" s="1"/>
  <c r="AO127" i="5" s="1"/>
  <c r="K18" i="4"/>
  <c r="AD318" i="5"/>
  <c r="AF318" i="5" s="1"/>
  <c r="AE318" i="5"/>
  <c r="AK392" i="5"/>
  <c r="AM392" i="5" s="1"/>
  <c r="AN392" i="5" s="1"/>
  <c r="AO392" i="5" s="1"/>
  <c r="AE323" i="5"/>
  <c r="AD323" i="5"/>
  <c r="AF323" i="5" s="1"/>
  <c r="AM323" i="5"/>
  <c r="AN323" i="5" s="1"/>
  <c r="AO323" i="5" s="1"/>
  <c r="AK49" i="5"/>
  <c r="AM49" i="5" s="1"/>
  <c r="AN49" i="5" s="1"/>
  <c r="AO49" i="5" s="1"/>
  <c r="AE326" i="5"/>
  <c r="AM326" i="5"/>
  <c r="AN326" i="5" s="1"/>
  <c r="AO326" i="5" s="1"/>
  <c r="AD326" i="5"/>
  <c r="AF326" i="5" s="1"/>
  <c r="AM218" i="5"/>
  <c r="AN218" i="5" s="1"/>
  <c r="AO218" i="5" s="1"/>
  <c r="AE218" i="5"/>
  <c r="AD218" i="5"/>
  <c r="AF218" i="5" s="1"/>
  <c r="G36" i="4"/>
  <c r="H36" i="4" s="1"/>
  <c r="AM107" i="5"/>
  <c r="AN107" i="5" s="1"/>
  <c r="AO107" i="5" s="1"/>
  <c r="AE107" i="5"/>
  <c r="AD107" i="5"/>
  <c r="AF107" i="5" s="1"/>
  <c r="AD44" i="5"/>
  <c r="AF44" i="5" s="1"/>
  <c r="AM44" i="5"/>
  <c r="AN44" i="5" s="1"/>
  <c r="AO44" i="5" s="1"/>
  <c r="AE44" i="5"/>
  <c r="AM3" i="5"/>
  <c r="AN3" i="5" s="1"/>
  <c r="AO3" i="5" s="1"/>
  <c r="AE3" i="5"/>
  <c r="AD3" i="5"/>
  <c r="AF3" i="5" s="1"/>
  <c r="AD244" i="5"/>
  <c r="AF244" i="5" s="1"/>
  <c r="AM244" i="5"/>
  <c r="AN244" i="5" s="1"/>
  <c r="AO244" i="5" s="1"/>
  <c r="AE244" i="5"/>
  <c r="AM412" i="5"/>
  <c r="AN412" i="5" s="1"/>
  <c r="AO412" i="5" s="1"/>
  <c r="AD412" i="5"/>
  <c r="AF412" i="5" s="1"/>
  <c r="AE412" i="5"/>
  <c r="AD80" i="5"/>
  <c r="AF80" i="5" s="1"/>
  <c r="AM80" i="5"/>
  <c r="AN80" i="5" s="1"/>
  <c r="AO80" i="5" s="1"/>
  <c r="AE80" i="5"/>
  <c r="AM25" i="5"/>
  <c r="AN25" i="5" s="1"/>
  <c r="AO25" i="5" s="1"/>
  <c r="AD25" i="5"/>
  <c r="AF25" i="5" s="1"/>
  <c r="AE25" i="5"/>
  <c r="AK125" i="5"/>
  <c r="AE289" i="5"/>
  <c r="AD289" i="5"/>
  <c r="AF289" i="5" s="1"/>
  <c r="AM289" i="5"/>
  <c r="AN289" i="5" s="1"/>
  <c r="AO289" i="5" s="1"/>
  <c r="K29" i="4"/>
  <c r="AM314" i="5"/>
  <c r="AN314" i="5" s="1"/>
  <c r="AO314" i="5" s="1"/>
  <c r="AE314" i="5"/>
  <c r="AD314" i="5"/>
  <c r="AF314" i="5" s="1"/>
  <c r="AK200" i="5"/>
  <c r="AM353" i="5"/>
  <c r="AN353" i="5" s="1"/>
  <c r="AO353" i="5" s="1"/>
  <c r="AE353" i="5"/>
  <c r="AD353" i="5"/>
  <c r="AF353" i="5" s="1"/>
  <c r="AE422" i="5"/>
  <c r="AM422" i="5"/>
  <c r="AN422" i="5" s="1"/>
  <c r="AO422" i="5" s="1"/>
  <c r="AD422" i="5"/>
  <c r="AF422" i="5" s="1"/>
  <c r="AK239" i="5"/>
  <c r="AM239" i="5" s="1"/>
  <c r="AN239" i="5" s="1"/>
  <c r="AO239" i="5" s="1"/>
  <c r="AK153" i="5"/>
  <c r="AE337" i="5"/>
  <c r="AM337" i="5"/>
  <c r="AN337" i="5" s="1"/>
  <c r="AO337" i="5" s="1"/>
  <c r="AD337" i="5"/>
  <c r="AF337" i="5" s="1"/>
  <c r="K25" i="4"/>
  <c r="AE170" i="5"/>
  <c r="AM170" i="5"/>
  <c r="AN170" i="5" s="1"/>
  <c r="AO170" i="5" s="1"/>
  <c r="AD170" i="5"/>
  <c r="AF170" i="5" s="1"/>
  <c r="AK206" i="5"/>
  <c r="AK225" i="5"/>
  <c r="AM225" i="5" s="1"/>
  <c r="AN225" i="5" s="1"/>
  <c r="AO225" i="5" s="1"/>
  <c r="AE417" i="5"/>
  <c r="AD417" i="5"/>
  <c r="AF417" i="5" s="1"/>
  <c r="AM417" i="5"/>
  <c r="AN417" i="5" s="1"/>
  <c r="AO417" i="5" s="1"/>
  <c r="AM276" i="5"/>
  <c r="AN276" i="5" s="1"/>
  <c r="AO276" i="5" s="1"/>
  <c r="AD276" i="5"/>
  <c r="AF276" i="5" s="1"/>
  <c r="AE276" i="5"/>
  <c r="AE246" i="5"/>
  <c r="AD246" i="5"/>
  <c r="AF246" i="5" s="1"/>
  <c r="AK385" i="5"/>
  <c r="AM385" i="5" s="1"/>
  <c r="AN385" i="5" s="1"/>
  <c r="AO385" i="5" s="1"/>
  <c r="AD222" i="5"/>
  <c r="AF222" i="5" s="1"/>
  <c r="AE222" i="5"/>
  <c r="AK380" i="5"/>
  <c r="AM380" i="5" s="1"/>
  <c r="AN380" i="5" s="1"/>
  <c r="AO380" i="5" s="1"/>
  <c r="AK137" i="5"/>
  <c r="AK321" i="5"/>
  <c r="AM321" i="5" s="1"/>
  <c r="AN321" i="5" s="1"/>
  <c r="AO321" i="5" s="1"/>
  <c r="K15" i="4"/>
  <c r="AK290" i="5"/>
  <c r="AM290" i="5" s="1"/>
  <c r="AN290" i="5" s="1"/>
  <c r="AO290" i="5" s="1"/>
  <c r="AK382" i="5"/>
  <c r="AM382" i="5" s="1"/>
  <c r="AN382" i="5" s="1"/>
  <c r="AO382" i="5" s="1"/>
  <c r="AD50" i="5"/>
  <c r="AF50" i="5" s="1"/>
  <c r="AE50" i="5"/>
  <c r="AM50" i="5"/>
  <c r="AN50" i="5" s="1"/>
  <c r="AO50" i="5" s="1"/>
  <c r="AK293" i="5"/>
  <c r="AM293" i="5" s="1"/>
  <c r="AN293" i="5" s="1"/>
  <c r="AO293" i="5" s="1"/>
  <c r="AK6" i="5"/>
  <c r="AM6" i="5" s="1"/>
  <c r="AN6" i="5" s="1"/>
  <c r="AO6" i="5" s="1"/>
  <c r="AK171" i="5"/>
  <c r="AK63" i="5"/>
  <c r="AM63" i="5" s="1"/>
  <c r="AN63" i="5" s="1"/>
  <c r="AO63" i="5" s="1"/>
  <c r="AM226" i="5"/>
  <c r="AN226" i="5" s="1"/>
  <c r="AO226" i="5" s="1"/>
  <c r="AD226" i="5"/>
  <c r="AF226" i="5" s="1"/>
  <c r="AE226" i="5"/>
  <c r="AK139" i="5"/>
  <c r="AM139" i="5" s="1"/>
  <c r="AN139" i="5" s="1"/>
  <c r="AO139" i="5" s="1"/>
  <c r="AK95" i="5"/>
  <c r="AD2" i="5"/>
  <c r="AF2" i="5" s="1"/>
  <c r="AM2" i="5"/>
  <c r="AN2" i="5" s="1"/>
  <c r="AO2" i="5" s="1"/>
  <c r="AE2" i="5"/>
  <c r="AD352" i="5"/>
  <c r="AF352" i="5" s="1"/>
  <c r="AM352" i="5"/>
  <c r="AN352" i="5" s="1"/>
  <c r="AO352" i="5" s="1"/>
  <c r="AE352" i="5"/>
  <c r="AK81" i="5"/>
  <c r="AM81" i="5" s="1"/>
  <c r="AN81" i="5" s="1"/>
  <c r="AO81" i="5" s="1"/>
  <c r="AK121" i="5"/>
  <c r="AK114" i="5"/>
  <c r="AM114" i="5" s="1"/>
  <c r="AN114" i="5" s="1"/>
  <c r="AO114" i="5" s="1"/>
  <c r="AK177" i="5"/>
  <c r="AM177" i="5" s="1"/>
  <c r="AN177" i="5" s="1"/>
  <c r="AO177" i="5" s="1"/>
  <c r="AM262" i="5"/>
  <c r="AN262" i="5" s="1"/>
  <c r="AO262" i="5" s="1"/>
  <c r="AE262" i="5"/>
  <c r="AD262" i="5"/>
  <c r="AF262" i="5" s="1"/>
  <c r="AK196" i="5"/>
  <c r="AM196" i="5" s="1"/>
  <c r="AN196" i="5" s="1"/>
  <c r="AO196" i="5" s="1"/>
  <c r="AK202" i="5"/>
  <c r="AM202" i="5" s="1"/>
  <c r="AN202" i="5" s="1"/>
  <c r="AO202" i="5" s="1"/>
  <c r="AK181" i="5"/>
  <c r="AK215" i="5"/>
  <c r="AK264" i="5"/>
  <c r="AM264" i="5" s="1"/>
  <c r="AN264" i="5" s="1"/>
  <c r="AO264" i="5" s="1"/>
  <c r="AE369" i="5"/>
  <c r="AM369" i="5"/>
  <c r="AN369" i="5" s="1"/>
  <c r="AO369" i="5" s="1"/>
  <c r="AD369" i="5"/>
  <c r="AF369" i="5" s="1"/>
  <c r="AD393" i="5"/>
  <c r="AF393" i="5" s="1"/>
  <c r="AM393" i="5"/>
  <c r="AN393" i="5" s="1"/>
  <c r="AO393" i="5" s="1"/>
  <c r="AE393" i="5"/>
  <c r="AE54" i="5"/>
  <c r="AM54" i="5"/>
  <c r="AN54" i="5" s="1"/>
  <c r="AO54" i="5" s="1"/>
  <c r="AD54" i="5"/>
  <c r="AF54" i="5" s="1"/>
  <c r="E3" i="3"/>
  <c r="F3" i="3" s="1"/>
  <c r="D8" i="2"/>
  <c r="D5" i="1" s="1"/>
  <c r="E13" i="1"/>
  <c r="K68" i="4"/>
  <c r="G68" i="4"/>
  <c r="H68" i="4" s="1"/>
  <c r="AE432" i="5"/>
  <c r="AD432" i="5"/>
  <c r="AF432" i="5" s="1"/>
  <c r="AK59" i="5"/>
  <c r="AM59" i="5" s="1"/>
  <c r="AN59" i="5" s="1"/>
  <c r="AO59" i="5" s="1"/>
  <c r="AK233" i="5"/>
  <c r="AM233" i="5" s="1"/>
  <c r="AN233" i="5" s="1"/>
  <c r="AO233" i="5" s="1"/>
  <c r="AM9" i="5"/>
  <c r="AN9" i="5" s="1"/>
  <c r="AO9" i="5" s="1"/>
  <c r="AE9" i="5"/>
  <c r="AD9" i="5"/>
  <c r="AF9" i="5" s="1"/>
  <c r="AD190" i="5"/>
  <c r="AF190" i="5" s="1"/>
  <c r="AE190" i="5"/>
  <c r="AM190" i="5"/>
  <c r="AN190" i="5" s="1"/>
  <c r="AO190" i="5" s="1"/>
  <c r="AM423" i="5"/>
  <c r="AN423" i="5" s="1"/>
  <c r="AO423" i="5" s="1"/>
  <c r="AE423" i="5"/>
  <c r="AD423" i="5"/>
  <c r="AF423" i="5" s="1"/>
  <c r="AK228" i="5"/>
  <c r="AM228" i="5" s="1"/>
  <c r="AN228" i="5" s="1"/>
  <c r="AO228" i="5" s="1"/>
  <c r="AE325" i="5"/>
  <c r="AD325" i="5"/>
  <c r="AF325" i="5" s="1"/>
  <c r="AE277" i="5"/>
  <c r="AM277" i="5"/>
  <c r="AN277" i="5" s="1"/>
  <c r="AO277" i="5" s="1"/>
  <c r="AD277" i="5"/>
  <c r="AF277" i="5" s="1"/>
  <c r="AM418" i="5"/>
  <c r="AN418" i="5" s="1"/>
  <c r="AO418" i="5" s="1"/>
  <c r="AE418" i="5"/>
  <c r="AD418" i="5"/>
  <c r="AF418" i="5" s="1"/>
  <c r="AK126" i="5"/>
  <c r="AK356" i="5"/>
  <c r="AM356" i="5" s="1"/>
  <c r="AN356" i="5" s="1"/>
  <c r="AO356" i="5" s="1"/>
  <c r="AK72" i="5"/>
  <c r="AM72" i="5" s="1"/>
  <c r="AN72" i="5" s="1"/>
  <c r="AO72" i="5" s="1"/>
  <c r="K28" i="4"/>
  <c r="AM83" i="5"/>
  <c r="AN83" i="5" s="1"/>
  <c r="AO83" i="5" s="1"/>
  <c r="AE83" i="5"/>
  <c r="AD83" i="5"/>
  <c r="AF83" i="5" s="1"/>
  <c r="AD116" i="5"/>
  <c r="AF116" i="5" s="1"/>
  <c r="AM116" i="5"/>
  <c r="AN116" i="5" s="1"/>
  <c r="AO116" i="5" s="1"/>
  <c r="AE116" i="5"/>
  <c r="AK285" i="5"/>
  <c r="AM285" i="5" s="1"/>
  <c r="AN285" i="5" s="1"/>
  <c r="AO285" i="5" s="1"/>
  <c r="AK108" i="5"/>
  <c r="AM108" i="5" s="1"/>
  <c r="AN108" i="5" s="1"/>
  <c r="AO108" i="5" s="1"/>
  <c r="AE184" i="5"/>
  <c r="AM184" i="5"/>
  <c r="AN184" i="5" s="1"/>
  <c r="AO184" i="5" s="1"/>
  <c r="AD184" i="5"/>
  <c r="AF184" i="5" s="1"/>
  <c r="AE399" i="5"/>
  <c r="AD399" i="5"/>
  <c r="AF399" i="5" s="1"/>
  <c r="G33" i="4"/>
  <c r="H33" i="4" s="1"/>
  <c r="AK327" i="5"/>
  <c r="AM327" i="5" s="1"/>
  <c r="AN327" i="5" s="1"/>
  <c r="AO327" i="5" s="1"/>
  <c r="AK409" i="5"/>
  <c r="AM409" i="5" s="1"/>
  <c r="AN409" i="5" s="1"/>
  <c r="AO409" i="5" s="1"/>
  <c r="AE47" i="5"/>
  <c r="AD47" i="5"/>
  <c r="AF47" i="5" s="1"/>
  <c r="AM47" i="5"/>
  <c r="AN47" i="5" s="1"/>
  <c r="AO47" i="5" s="1"/>
  <c r="AE61" i="5"/>
  <c r="AD61" i="5"/>
  <c r="AF61" i="5" s="1"/>
  <c r="AM61" i="5"/>
  <c r="AN61" i="5" s="1"/>
  <c r="AO61" i="5" s="1"/>
  <c r="AK218" i="5"/>
  <c r="K36" i="4"/>
  <c r="AE316" i="5"/>
  <c r="AD316" i="5"/>
  <c r="AF316" i="5" s="1"/>
  <c r="AM316" i="5"/>
  <c r="AN316" i="5" s="1"/>
  <c r="AO316" i="5" s="1"/>
  <c r="AK240" i="5"/>
  <c r="AM240" i="5" s="1"/>
  <c r="AN240" i="5" s="1"/>
  <c r="AO240" i="5" s="1"/>
  <c r="AE5" i="5"/>
  <c r="AM5" i="5"/>
  <c r="AN5" i="5" s="1"/>
  <c r="AO5" i="5" s="1"/>
  <c r="AD5" i="5"/>
  <c r="AF5" i="5" s="1"/>
  <c r="AK235" i="5"/>
  <c r="AM235" i="5" s="1"/>
  <c r="AN235" i="5" s="1"/>
  <c r="AO235" i="5" s="1"/>
  <c r="AE224" i="5"/>
  <c r="AM224" i="5"/>
  <c r="AN224" i="5" s="1"/>
  <c r="AO224" i="5" s="1"/>
  <c r="AD224" i="5"/>
  <c r="AF224" i="5" s="1"/>
  <c r="AK80" i="5"/>
  <c r="AE132" i="5"/>
  <c r="AD132" i="5"/>
  <c r="AF132" i="5" s="1"/>
  <c r="AM132" i="5"/>
  <c r="AN132" i="5" s="1"/>
  <c r="AO132" i="5" s="1"/>
  <c r="AE125" i="5"/>
  <c r="AD125" i="5"/>
  <c r="AF125" i="5" s="1"/>
  <c r="AM125" i="5"/>
  <c r="AN125" i="5" s="1"/>
  <c r="AO125" i="5" s="1"/>
  <c r="AK271" i="5"/>
  <c r="AM271" i="5" s="1"/>
  <c r="AN271" i="5" s="1"/>
  <c r="AO271" i="5" s="1"/>
  <c r="AK314" i="5"/>
  <c r="AK55" i="5"/>
  <c r="AM55" i="5" s="1"/>
  <c r="AN55" i="5" s="1"/>
  <c r="AO55" i="5" s="1"/>
  <c r="AK416" i="5"/>
  <c r="AM416" i="5" s="1"/>
  <c r="AN416" i="5" s="1"/>
  <c r="AO416" i="5" s="1"/>
  <c r="AK349" i="5"/>
  <c r="AM349" i="5" s="1"/>
  <c r="AN349" i="5" s="1"/>
  <c r="AO349" i="5" s="1"/>
  <c r="AK234" i="5"/>
  <c r="AK111" i="5"/>
  <c r="AM111" i="5" s="1"/>
  <c r="AN111" i="5" s="1"/>
  <c r="AO111" i="5" s="1"/>
  <c r="AK223" i="5"/>
  <c r="AM223" i="5" s="1"/>
  <c r="AN223" i="5" s="1"/>
  <c r="AO223" i="5" s="1"/>
  <c r="AD66" i="5"/>
  <c r="AF66" i="5" s="1"/>
  <c r="AM66" i="5"/>
  <c r="AN66" i="5" s="1"/>
  <c r="AO66" i="5" s="1"/>
  <c r="AE66" i="5"/>
  <c r="AE145" i="5"/>
  <c r="AD145" i="5"/>
  <c r="AF145" i="5" s="1"/>
  <c r="AM145" i="5"/>
  <c r="AN145" i="5" s="1"/>
  <c r="AO145" i="5" s="1"/>
  <c r="AK281" i="5"/>
  <c r="AM281" i="5" s="1"/>
  <c r="AN281" i="5" s="1"/>
  <c r="AO281" i="5" s="1"/>
  <c r="AK404" i="5"/>
  <c r="AM404" i="5" s="1"/>
  <c r="AN404" i="5" s="1"/>
  <c r="AO404" i="5" s="1"/>
  <c r="AM166" i="5"/>
  <c r="AN166" i="5" s="1"/>
  <c r="AO166" i="5" s="1"/>
  <c r="AE166" i="5"/>
  <c r="AD166" i="5"/>
  <c r="AF166" i="5" s="1"/>
  <c r="AM331" i="5"/>
  <c r="AN331" i="5" s="1"/>
  <c r="AO331" i="5" s="1"/>
  <c r="AE331" i="5"/>
  <c r="AD331" i="5"/>
  <c r="AF331" i="5" s="1"/>
  <c r="AK179" i="5"/>
  <c r="AM179" i="5" s="1"/>
  <c r="AN179" i="5" s="1"/>
  <c r="AO179" i="5" s="1"/>
  <c r="AD206" i="5"/>
  <c r="AF206" i="5" s="1"/>
  <c r="AE206" i="5"/>
  <c r="AM206" i="5"/>
  <c r="AN206" i="5" s="1"/>
  <c r="AO206" i="5" s="1"/>
  <c r="AE237" i="5"/>
  <c r="AM237" i="5"/>
  <c r="AN237" i="5" s="1"/>
  <c r="AO237" i="5" s="1"/>
  <c r="AD237" i="5"/>
  <c r="AF237" i="5" s="1"/>
  <c r="AK222" i="5"/>
  <c r="AM222" i="5" s="1"/>
  <c r="AN222" i="5" s="1"/>
  <c r="AO222" i="5" s="1"/>
  <c r="AD380" i="5"/>
  <c r="AF380" i="5" s="1"/>
  <c r="AE380" i="5"/>
  <c r="AK35" i="5"/>
  <c r="AM35" i="5" s="1"/>
  <c r="AN35" i="5" s="1"/>
  <c r="AO35" i="5" s="1"/>
  <c r="AK227" i="5"/>
  <c r="AM227" i="5" s="1"/>
  <c r="AN227" i="5" s="1"/>
  <c r="AO227" i="5" s="1"/>
  <c r="AE382" i="5"/>
  <c r="AD382" i="5"/>
  <c r="AF382" i="5" s="1"/>
  <c r="K9" i="4"/>
  <c r="AE146" i="5"/>
  <c r="AD146" i="5"/>
  <c r="AF146" i="5" s="1"/>
  <c r="AM146" i="5"/>
  <c r="AN146" i="5" s="1"/>
  <c r="AO146" i="5" s="1"/>
  <c r="AE53" i="5"/>
  <c r="AD53" i="5"/>
  <c r="AF53" i="5" s="1"/>
  <c r="AM53" i="5"/>
  <c r="AN53" i="5" s="1"/>
  <c r="AO53" i="5" s="1"/>
  <c r="K8" i="4"/>
  <c r="M4" i="2" l="1"/>
  <c r="G4" i="2"/>
  <c r="F15" i="1" s="1"/>
  <c r="E5" i="3"/>
  <c r="F5" i="3" s="1"/>
  <c r="F2" i="3"/>
  <c r="G2" i="2"/>
  <c r="F13" i="1" s="1"/>
  <c r="F8" i="2"/>
  <c r="M2" i="2"/>
  <c r="G3" i="2"/>
  <c r="F14" i="1" s="1"/>
  <c r="M3" i="2"/>
  <c r="L8" i="2"/>
  <c r="H5" i="1" s="1"/>
  <c r="G13" i="1"/>
  <c r="N2" i="2" l="1"/>
  <c r="I13" i="1" s="1"/>
  <c r="H13" i="1"/>
  <c r="M8" i="2"/>
  <c r="F5" i="1"/>
  <c r="G8" i="2"/>
  <c r="H14" i="1"/>
  <c r="N3" i="2"/>
  <c r="I14" i="1" s="1"/>
  <c r="N4" i="2"/>
  <c r="I15" i="1" s="1"/>
  <c r="H15" i="1"/>
  <c r="N8" i="2" l="1"/>
  <c r="D9" i="1" s="1"/>
  <c r="B9" i="1"/>
</calcChain>
</file>

<file path=xl/sharedStrings.xml><?xml version="1.0" encoding="utf-8"?>
<sst xmlns="http://schemas.openxmlformats.org/spreadsheetml/2006/main" count="12946" uniqueCount="489">
  <si>
    <t>ALL AVAILABLE PRODUCT TYPES – NET MARGIN DASHBOARD</t>
  </si>
  <si>
    <t>Landing Value Excl GST</t>
  </si>
  <si>
    <t>Product Cost</t>
  </si>
  <si>
    <t>Gross Margin</t>
  </si>
  <si>
    <t>Operating Costs</t>
  </si>
  <si>
    <t>Net Margin</t>
  </si>
  <si>
    <t>Net Margin %</t>
  </si>
  <si>
    <t>Target Net Margin %</t>
  </si>
  <si>
    <t>Items Below Target</t>
  </si>
  <si>
    <t>Academic Year</t>
  </si>
  <si>
    <t>Product Type</t>
  </si>
  <si>
    <t>Items</t>
  </si>
  <si>
    <t>Landing Value</t>
  </si>
  <si>
    <t>Gross Margin %</t>
  </si>
  <si>
    <t>Operating Cost</t>
  </si>
  <si>
    <t>Product Cost (₹)</t>
  </si>
  <si>
    <t>Landing Value Excl GST (₹)</t>
  </si>
  <si>
    <t>Gross Margin (₹)</t>
  </si>
  <si>
    <t>Transport (₹)</t>
  </si>
  <si>
    <t>Warehouse (₹)</t>
  </si>
  <si>
    <t>Salary (₹)</t>
  </si>
  <si>
    <t>Additional Services (₹)</t>
  </si>
  <si>
    <t>Operating Cost (₹)</t>
  </si>
  <si>
    <t>Net Margin (₹)</t>
  </si>
  <si>
    <t>2027-2028</t>
  </si>
  <si>
    <t>Core</t>
  </si>
  <si>
    <t>MINI</t>
  </si>
  <si>
    <t>MINI+WB</t>
  </si>
  <si>
    <t>2026-2027</t>
  </si>
  <si>
    <t>Optional</t>
  </si>
  <si>
    <t>CSR</t>
  </si>
  <si>
    <t>2025-2026</t>
  </si>
  <si>
    <t>ALL</t>
  </si>
  <si>
    <t>TOTAL</t>
  </si>
  <si>
    <t>Grade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</si>
  <si>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</si>
  <si>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</si>
  <si>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</si>
  <si>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</si>
  <si>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</si>
  <si>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</si>
  <si>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</si>
  <si>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</si>
  <si>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K1</t>
  </si>
  <si>
    <t>K2</t>
  </si>
  <si>
    <t>Nursery</t>
  </si>
  <si>
    <t>Pre Nursery</t>
  </si>
  <si>
    <t>Optional AY 26-27</t>
  </si>
  <si>
    <t>Grade 9</t>
  </si>
  <si>
    <t>Product Name</t>
  </si>
  <si>
    <t>Grades</t>
  </si>
  <si>
    <t>Subjects</t>
  </si>
  <si>
    <t>Item Name</t>
  </si>
  <si>
    <t>Ratio</t>
  </si>
  <si>
    <t>Item Type</t>
  </si>
  <si>
    <t>Edition</t>
  </si>
  <si>
    <t>Type</t>
  </si>
  <si>
    <t>Core Kit SKU</t>
  </si>
  <si>
    <t>CP</t>
  </si>
  <si>
    <t>Aprox Margin</t>
  </si>
  <si>
    <t>CP + Margin</t>
  </si>
  <si>
    <t>GST %</t>
  </si>
  <si>
    <t>GST Value</t>
  </si>
  <si>
    <t>Base Price with GST</t>
  </si>
  <si>
    <t>Base %</t>
  </si>
  <si>
    <t>Base Bundle</t>
  </si>
  <si>
    <t>MRP Bundle</t>
  </si>
  <si>
    <t>MRP IND</t>
  </si>
  <si>
    <t>Value Type</t>
  </si>
  <si>
    <t>Selling Price</t>
  </si>
  <si>
    <t>Corekit AY 2027-2028</t>
  </si>
  <si>
    <t>Maths</t>
  </si>
  <si>
    <t>T1_G1_Math_Scholars_TB B2B (27)</t>
  </si>
  <si>
    <t>1:1</t>
  </si>
  <si>
    <t>Book</t>
  </si>
  <si>
    <t>Term 1</t>
  </si>
  <si>
    <t>Based on Base %</t>
  </si>
  <si>
    <t>T1_G1_Math_Scholars_WB B2B (27)</t>
  </si>
  <si>
    <t>English</t>
  </si>
  <si>
    <t>Annual_G1_English_RB B2B (27)</t>
  </si>
  <si>
    <t>T1_G1_English_RC B2B (27)</t>
  </si>
  <si>
    <t>Workbook</t>
  </si>
  <si>
    <t>T1_G1_English_WB B2B (27)</t>
  </si>
  <si>
    <t>T2_G1_Math_Scholars_TB B2B (27)</t>
  </si>
  <si>
    <t>Term 2</t>
  </si>
  <si>
    <t>T2_G1_Math_Scholars_WB B2B (27)</t>
  </si>
  <si>
    <t>T2_G1_English_RC B2B (27)</t>
  </si>
  <si>
    <t>T2_G1_English_WB B2B (27)</t>
  </si>
  <si>
    <t>Combo Kit</t>
  </si>
  <si>
    <t>B2B Sci-Pi Visual Maths Kit G1 27-28</t>
  </si>
  <si>
    <t>Kit</t>
  </si>
  <si>
    <t>Fixed Price ( Base Price with GST)</t>
  </si>
  <si>
    <t>Service</t>
  </si>
  <si>
    <t>Services Charges_25_26</t>
  </si>
  <si>
    <t>Services Charges</t>
  </si>
  <si>
    <t>T1_G2_Math_Scholars_TB B2B (27)</t>
  </si>
  <si>
    <t>T1_G2_Math_Scholars_WB B2B (27)</t>
  </si>
  <si>
    <t>Annual_G2_English_RB B2B (27)</t>
  </si>
  <si>
    <t>T1_G2_English_RC B2B (27)</t>
  </si>
  <si>
    <t>T1_G2_English_WB B2B (27)</t>
  </si>
  <si>
    <t>T2_G2_Math_Scholars_TB B2B (27)</t>
  </si>
  <si>
    <t>T2_G2_Math_Scholars_WB B2B (27)</t>
  </si>
  <si>
    <t>T2_G2_English_RC B2B (27)</t>
  </si>
  <si>
    <t>T2_G2_English_WB B2B (27)</t>
  </si>
  <si>
    <t>B2B Sci-Pi Visual Maths Kit G2 27-28</t>
  </si>
  <si>
    <t>Science</t>
  </si>
  <si>
    <t>T1_G3_Science Explorers_TB B2B (27)</t>
  </si>
  <si>
    <t>T1_G3_Science Explorers_WB B2B (27)</t>
  </si>
  <si>
    <t>T1_G3_Math_Scholars_TB B2B (27)</t>
  </si>
  <si>
    <t>T1_G3_Math_Scholars_WB B2B (27)</t>
  </si>
  <si>
    <t>Annual_G3_English_Comp B2B (27)</t>
  </si>
  <si>
    <t>T1_G3_English_RC B2B (27)</t>
  </si>
  <si>
    <t>T1_G3_English_WB B2B (27)</t>
  </si>
  <si>
    <t>IDP</t>
  </si>
  <si>
    <t>T1_G3_IDP_TB B2B (27)</t>
  </si>
  <si>
    <t>T2_G3_Science Explorers_TB B2B (27)</t>
  </si>
  <si>
    <t>T2_G3_Science Explorers_WB B2B (27)</t>
  </si>
  <si>
    <t>T2_G3_Math_Scholars_TB B2B (27)</t>
  </si>
  <si>
    <t>T2_G3_Math_Scholars_WB B2B (27)</t>
  </si>
  <si>
    <t>T2_G3_English_RC B2B (27)</t>
  </si>
  <si>
    <t>T2_G3_English_WB B2B (27)</t>
  </si>
  <si>
    <t>T2_G3_IDP_TB B2B (27)</t>
  </si>
  <si>
    <t>B2B Sci-Pi Combined Kit G3 27-28</t>
  </si>
  <si>
    <t>T1_G4_Science Explorers_TB B2B (27)</t>
  </si>
  <si>
    <t>T1_G4_Science Explorers_WB B2B (27)</t>
  </si>
  <si>
    <t>T1_G4_Math_Scholars_TB B2B (27)</t>
  </si>
  <si>
    <t>T1_G4_Math_Scholars_WB B2B (27)</t>
  </si>
  <si>
    <t>Annual_G4_English_Comp B2B (27)</t>
  </si>
  <si>
    <t>T1_G4_English_RC B2B (27)</t>
  </si>
  <si>
    <t>T1_G4_English_WB B2B (27)</t>
  </si>
  <si>
    <t>T1_G4_IDP_TB B2B (27)</t>
  </si>
  <si>
    <t>T2_G4_Science Explorers_TB B2B (27)</t>
  </si>
  <si>
    <t>T2_G4_Science Explorers_WB B2B (27)</t>
  </si>
  <si>
    <t>T2_G4_Math_Scholars_TB B2B (27)</t>
  </si>
  <si>
    <t>T2_G4_Math_Scholars_WB B2B (27)</t>
  </si>
  <si>
    <t>T2_G4_English_RC B2B (27)</t>
  </si>
  <si>
    <t>T2_G4_English_WB B2B (27)</t>
  </si>
  <si>
    <t>T2_G4_IDP_TB B2B (27)</t>
  </si>
  <si>
    <t>B2B Sci-Pi Combined Kit G4 27-28</t>
  </si>
  <si>
    <t>T1_G5_Science Explorers_TB B2B (27)</t>
  </si>
  <si>
    <t>T1_G5_Science Explorers_WB B2B (27)</t>
  </si>
  <si>
    <t>T1_G5_Math_Scholars_TB B2B (27)</t>
  </si>
  <si>
    <t>T1_G5_Math_Scholars_WB B2B (27)</t>
  </si>
  <si>
    <t>Annual_G5_English_Comp B2B (27)</t>
  </si>
  <si>
    <t>T1_G5_English_RC B2B (27)</t>
  </si>
  <si>
    <t>T1_G5_English_WB B2B (27)</t>
  </si>
  <si>
    <t>T1_G5_IDP_TB B2B (27)</t>
  </si>
  <si>
    <t>T2_G5_Science Explorers_TB B2B (27)</t>
  </si>
  <si>
    <t>T2_G5_Science Explorers_WB B2B (27)</t>
  </si>
  <si>
    <t>T2_G5_Math_Scholars_TB B2B (27)</t>
  </si>
  <si>
    <t>T2_G5_Math_Scholars_WB B2B (27)</t>
  </si>
  <si>
    <t>T2_G5_English_RC B2B (27)</t>
  </si>
  <si>
    <t>T2_G5_English_WB B2B (27)</t>
  </si>
  <si>
    <t>T2_G5_IDP_TB B2B (27)</t>
  </si>
  <si>
    <t>B2B Sci-Pi Combined Kit G5 27-28</t>
  </si>
  <si>
    <t>T1_G6_Science Explorers_TB B2B (27)</t>
  </si>
  <si>
    <t>T1_G6_Science Explorers_WB B2B (27)</t>
  </si>
  <si>
    <t>T1_G6_Math_Scholars_TB B2B (27)</t>
  </si>
  <si>
    <t>Annual_G6_English_Supp B2B (27)</t>
  </si>
  <si>
    <t>T1_G6_English_TB B2B (27)</t>
  </si>
  <si>
    <t>T1_G6_English_WB B2B (27)</t>
  </si>
  <si>
    <t>SST</t>
  </si>
  <si>
    <t>T1_G6_SST_Mastering Social _TB B2B (27)</t>
  </si>
  <si>
    <t>T2_G6_Science Explorers_TB B2B (27)</t>
  </si>
  <si>
    <t>T2_G6_Science Explorers_WB B2B (27)</t>
  </si>
  <si>
    <t>T2_G6_Math_Scholars_TB B2B (27)</t>
  </si>
  <si>
    <t>T2_G6_English_TB B2B (27)</t>
  </si>
  <si>
    <t>T2_G6_English_WB B2B (27)</t>
  </si>
  <si>
    <t>T2_G6_SST_Mastering Social _TB B2B (27)</t>
  </si>
  <si>
    <t>B2B Sci-Pi Combined Kit G6 27-28</t>
  </si>
  <si>
    <t>T1_G7_Science Explorers_TB B2B (27)</t>
  </si>
  <si>
    <t>T1_G7_Science Explorers_WB B2B (27)</t>
  </si>
  <si>
    <t>T1_G7_Math_Scholars_TB B2B (27)</t>
  </si>
  <si>
    <t>Annual_G7_English_Supp B2B (27)</t>
  </si>
  <si>
    <t>T1_G7_English_TB B2B (27)</t>
  </si>
  <si>
    <t>T1_G7_English_WB B2B (27)</t>
  </si>
  <si>
    <t>T1_G7_SST_Mastering Social _TB B2B (27)</t>
  </si>
  <si>
    <t>T2_G7_Science Explorers_TB B2B (27)</t>
  </si>
  <si>
    <t>T2_G7_Science Explorers_WB B2B (27)</t>
  </si>
  <si>
    <t>T2_G7_Math_Scholars_TB B2B (27)</t>
  </si>
  <si>
    <t>T2_G7_English_TB B2B (27)</t>
  </si>
  <si>
    <t>T2_G7_English_WB B2B (27)</t>
  </si>
  <si>
    <t>T2_G7_SST_Mastering Social _TB B2B (27)</t>
  </si>
  <si>
    <t>B2B Sci-Pi Combined Kit G7 27-28</t>
  </si>
  <si>
    <t>T1_G8_Science Explorers_TB B2B (27)</t>
  </si>
  <si>
    <t>T1_G8_Science Explorers_WB B2B (27)</t>
  </si>
  <si>
    <t>T1_G8_Math_Scholars_TB B2B (27)</t>
  </si>
  <si>
    <t>Annual_G8_English_Supp B2B (27)</t>
  </si>
  <si>
    <t>T1_G8_English_TB B2B (27)</t>
  </si>
  <si>
    <t>T1_G8_English_WB B2B (27)</t>
  </si>
  <si>
    <t>T1_G8_SST_Mastering Social _TB B2B (27)</t>
  </si>
  <si>
    <t>T2_G8_Science Explorers_TB B2B (27)</t>
  </si>
  <si>
    <t>T2_G8_Science Explorers_WB B2B (27)</t>
  </si>
  <si>
    <t>T2_G8_Math_Scholars_TB B2B (27)</t>
  </si>
  <si>
    <t>T2_G8_English_TB B2B (27)</t>
  </si>
  <si>
    <t>T2_G8_English_WB B2B (27)</t>
  </si>
  <si>
    <t>T2_G8_SST_Mastering Social _TB B2B (27)</t>
  </si>
  <si>
    <t>B2B Sci-Pi Combined Kit G8 27-28</t>
  </si>
  <si>
    <t>Picture Book</t>
  </si>
  <si>
    <t>AL_K1_My A to Z_Pic Talk Book B2B (27)</t>
  </si>
  <si>
    <t>Rhymes</t>
  </si>
  <si>
    <t>AL_K1_Happy Hoppers_Rhymes_Book B2B (27)</t>
  </si>
  <si>
    <t>Literacy</t>
  </si>
  <si>
    <t>T1_K1_Literacy_Play, L &amp; G_TB B2B (27)</t>
  </si>
  <si>
    <t>T1_K1_Literacy_Play, L &amp; G_WB B2B (27)</t>
  </si>
  <si>
    <t>Numeracy</t>
  </si>
  <si>
    <t>T1_K1_Numeracy_Play, L &amp; G_TB B2B (27)</t>
  </si>
  <si>
    <t>T1_K1_Numeracy_Play, L &amp; G_WB B2B (27)</t>
  </si>
  <si>
    <t>T2_K1_Literacy_Play, L &amp; G_TB B2B (27)</t>
  </si>
  <si>
    <t>T2_K1_Literacy_Play, L &amp; G_WB B2B (27)</t>
  </si>
  <si>
    <t>T2_K1_Numeracy_Play, L &amp; G_TB B2B (27)</t>
  </si>
  <si>
    <t>T2_K1_Numeracy_Play, L &amp; G_WB B2B (27)</t>
  </si>
  <si>
    <t>Early Explorers K1 27-28</t>
  </si>
  <si>
    <t>Reading Module</t>
  </si>
  <si>
    <t>AL_K2_Literacy_Reading Module B2B (27)</t>
  </si>
  <si>
    <t>AL_K2_Happy Hoppers_Rhymes_Book B2B (27)</t>
  </si>
  <si>
    <t>T1_K2_Numeracy_Play, L &amp; G_TB B2B (27)</t>
  </si>
  <si>
    <t>T1_K2_Numeracy_Play, L &amp; G_WB B2B (27)</t>
  </si>
  <si>
    <t>T1_K2_Literacy_Play, L &amp; G_TB B2B (27)</t>
  </si>
  <si>
    <t>T1_K2_Literacy_Play, L &amp; G_WB B2B (27)</t>
  </si>
  <si>
    <t>T2_K2_Literacy_Play, L &amp; G_TB B2B (27)</t>
  </si>
  <si>
    <t>T2_K2_Literacy_Play, L &amp; G_WB B2B (27)</t>
  </si>
  <si>
    <t>T2_K2_Numeracy_Play, L &amp; G_TB B2B (27)</t>
  </si>
  <si>
    <t>T2_K2_Numeracy_Play, L &amp; G_WB B2B (27)</t>
  </si>
  <si>
    <t>Early Explorers K2 27-28</t>
  </si>
  <si>
    <t>AL_Nur_My ABC_Picture Book B2B (27)</t>
  </si>
  <si>
    <t>AL_Nur_Happy Hoppers_RhymesBook B2B (27)</t>
  </si>
  <si>
    <t>T1_Nur_Literacy_Play, L &amp; G_TB B2B (27)</t>
  </si>
  <si>
    <t>T1_Nur_Literacy_Play, L &amp; G_WB B2B (27)</t>
  </si>
  <si>
    <t>T1_Nur_Numeracy_Play, L &amp; G_TB B2B (27)</t>
  </si>
  <si>
    <t>T1_Nur_Numeracy_Play, L &amp; G_WB B2B (27)</t>
  </si>
  <si>
    <t>T2_Nur_Literacy_Play, L &amp; G_TB B2B (27)</t>
  </si>
  <si>
    <t>T2_Nur_Literacy_Play, L &amp; G_WB B2B (27)</t>
  </si>
  <si>
    <t>T2_Nur_Numeracy_Play, L &amp; G_TB B2B (27)</t>
  </si>
  <si>
    <t>T2_Nur_Numeracy_Play, L &amp; G_WB B2B (27)</t>
  </si>
  <si>
    <t>Early Explorers Nursery 27-28</t>
  </si>
  <si>
    <t>AL_PN_Happy Hoppers_Rhymes_Book B2B (27)</t>
  </si>
  <si>
    <t>T1_PN_Literacy_Play, L &amp; G_TB B2B (27)</t>
  </si>
  <si>
    <t>T1_PN_Numeracy_Play, L &amp; G_TB B2B (27)</t>
  </si>
  <si>
    <t>T2_PN_Literacy_Play, L &amp; G_TB B2B (27)</t>
  </si>
  <si>
    <t>T2_PN_Numeracy_Play, L &amp; G_TB B2B (27)</t>
  </si>
  <si>
    <t>Early Explorers Pre Nursery 27-28</t>
  </si>
  <si>
    <t>MINI AY 2027-2028</t>
  </si>
  <si>
    <t>Learner Kit</t>
  </si>
  <si>
    <t>Learners Kit G1 B2B V.27-28</t>
  </si>
  <si>
    <t>Learners Kit G2 B2B V.27-28</t>
  </si>
  <si>
    <t>Learners Kit G3 B2B V.27-28</t>
  </si>
  <si>
    <t>Learners Kit G4 B2B V.27-28</t>
  </si>
  <si>
    <t>Learners Kit G5 B2B V.27-28</t>
  </si>
  <si>
    <t>Learners Kit G6 B2B V.27-28</t>
  </si>
  <si>
    <t>Learners Kit G7 B2B V.27-28</t>
  </si>
  <si>
    <t>Learners Kit G8 B2B V.27-28</t>
  </si>
  <si>
    <t>Learner's Kit_K1 B2B V.27-28</t>
  </si>
  <si>
    <t>Learner's Kit_K2 B2B V.27-28</t>
  </si>
  <si>
    <t>Learner's Kit_Nursery B2B V.27-28</t>
  </si>
  <si>
    <t>Learner's Kit_Pre Nursery B2B V.27-28</t>
  </si>
  <si>
    <t>MINI+WB AY 2027-2028</t>
  </si>
  <si>
    <t>Art Education</t>
  </si>
  <si>
    <t>Annual_G1_Art and Craft_TB B2B (26)</t>
  </si>
  <si>
    <t>Art Kit</t>
  </si>
  <si>
    <t>Art Grade 1 Orchids V.23-24</t>
  </si>
  <si>
    <t>Dance Book</t>
  </si>
  <si>
    <t>T1_G1_Dance &amp; Music_TB B2B (26)</t>
  </si>
  <si>
    <t>T2_G1_Dance &amp; Music_TB B2B (26)</t>
  </si>
  <si>
    <t>Financial Literacy</t>
  </si>
  <si>
    <t>Annual_G1_Financial Literacy_TB B2B (26)</t>
  </si>
  <si>
    <t>EVS</t>
  </si>
  <si>
    <t>Annual_G1_EVS_TB B2B (26)</t>
  </si>
  <si>
    <t>Hindi_2nd language</t>
  </si>
  <si>
    <t>T1_G1_Hindi_Parivartan_TB B2B (26)</t>
  </si>
  <si>
    <t>T2_G1_Hindi_Parivartan_TB B2B (26)</t>
  </si>
  <si>
    <t>Sports</t>
  </si>
  <si>
    <t>Annual_G1_Physical Education_TB B2B (26)</t>
  </si>
  <si>
    <t>Hindi Amoli</t>
  </si>
  <si>
    <t>TLH-V1-Naman Hindi Vyakaran 01 (23)</t>
  </si>
  <si>
    <t>TLH-V2-Amoli Hindi Textbook-1-(23)</t>
  </si>
  <si>
    <t>Annual_G2_Art and Craft_TB B2B (26)</t>
  </si>
  <si>
    <t>Art Grade 2 Orchids V.23-24.</t>
  </si>
  <si>
    <t>T1_G2_Dance &amp; Music_TB B2B (26)</t>
  </si>
  <si>
    <t>T2_G2_Dance &amp; Music_TB B2B (26)</t>
  </si>
  <si>
    <t>Annual_G2_Financial Literacy_TB B2B (26)</t>
  </si>
  <si>
    <t>Annual_G2_EVS_TB B2B (26)</t>
  </si>
  <si>
    <t>Hindi (2nd language)</t>
  </si>
  <si>
    <t>T1_G2_Hindi_Parivartan_TB B2B (26)</t>
  </si>
  <si>
    <t>T2_G2_Hindi_Parivartan_TB B2B (26)</t>
  </si>
  <si>
    <t>Annual_G2_Physical Education_TB B2B (26)</t>
  </si>
  <si>
    <t>TLH-V1-Naman Hindi Vyakaran 02 (23)</t>
  </si>
  <si>
    <t>TLH-V2-Amoli Hindi Textbook-2-(23)</t>
  </si>
  <si>
    <t>Annual_G3_Art and Craft_TB B2B (26)</t>
  </si>
  <si>
    <t>Art Grade 3 Orchids V.23-24.</t>
  </si>
  <si>
    <t>T1_G3_Dance &amp; Music_TB B2B (26)</t>
  </si>
  <si>
    <t>T2_G3_Dance &amp; Music_TB B2B (26)</t>
  </si>
  <si>
    <t>Annual_G3_Financial Literacy_TB B2B (26)</t>
  </si>
  <si>
    <t>T1_G3_Hindi_Parivartan_TB B2B (26)</t>
  </si>
  <si>
    <t>T2_G3_Hindi_Parivartan_TB B2B (26)</t>
  </si>
  <si>
    <t>Annual_G3_Physical Education_TB B2B (26)</t>
  </si>
  <si>
    <t>TLH-V1-Naman Hindi Vyakaran 03 (23)</t>
  </si>
  <si>
    <t>TLH-V2-Amoli Hindi Textbook-3-(23)</t>
  </si>
  <si>
    <t>Annual_G4_Art and Craft_TB B2B (26)</t>
  </si>
  <si>
    <t>Art Grade 4 B2B V.23-24</t>
  </si>
  <si>
    <t>T1_G4_Dance &amp; Music_TB B2B (26)</t>
  </si>
  <si>
    <t>T2_G4_Dance &amp; Music_TB B2B (26)</t>
  </si>
  <si>
    <t>Annual_G4_Financial Literacy_TB B2B (26)</t>
  </si>
  <si>
    <t>T1_G4_Hindi_Parivartan_TB B2B (26)</t>
  </si>
  <si>
    <t>T2_G4_Hindi_Parivartan_TB B2B (26)</t>
  </si>
  <si>
    <t>Annual_G4_Physical Education_TB B2B (26)</t>
  </si>
  <si>
    <t>TLH-V1-Naman Hindi Vyakaran 04 (23)</t>
  </si>
  <si>
    <t>TLH-V2-Amoli Hindi Textbook-4-(23)</t>
  </si>
  <si>
    <t>Annual_G5_Art and Craft_TB B2B (26)</t>
  </si>
  <si>
    <t>Art Grade 5 B2B V.23-24</t>
  </si>
  <si>
    <t>T1_G5_Dance &amp; Music_TB B2B (26)</t>
  </si>
  <si>
    <t>T2_G5_Dance &amp; Music_TB B2B (26)</t>
  </si>
  <si>
    <t>Annual_G5_Financial Literacy_TB B2B (26)</t>
  </si>
  <si>
    <t>T1_G5_Hindi_Parivartan_TB B2B (26)</t>
  </si>
  <si>
    <t>T2_G5_Hindi_Parivartan_TB B2B (26)</t>
  </si>
  <si>
    <t>Annual_G5_Physical Education_TB B2B (26)</t>
  </si>
  <si>
    <t>TLH-V1-Naman Hindi Vyakaran 05 (23)</t>
  </si>
  <si>
    <t>TLH-V2-Amoli Hindi Textbook-5-(23)</t>
  </si>
  <si>
    <t>T1_G6_Dance &amp; Music_TB B2B (26)</t>
  </si>
  <si>
    <t>T2_G6_Dance &amp; Music_TB B2B (26)</t>
  </si>
  <si>
    <t>Annual_G6_Financial Literacy_TB B2B (26)</t>
  </si>
  <si>
    <t>T1_G6_Hindi_Parivartan_TB B2B (26)</t>
  </si>
  <si>
    <t>Annual_G6_Hindi_Sanrachana_TB B2B (26)</t>
  </si>
  <si>
    <t>T2_G6_Hindi_Parivartan_TB B2B (26)</t>
  </si>
  <si>
    <t>Annual_G6_Physical Education_TB B2B (26)</t>
  </si>
  <si>
    <t>TLH-V1-Naman Hindi Vyakaran 06 (23)</t>
  </si>
  <si>
    <t>TLH-V2-Amoli Hindi Textbook-6-(23)</t>
  </si>
  <si>
    <t>T1_G7_Dance &amp; Music_TB B2B (26)</t>
  </si>
  <si>
    <t>T2_G7_Dance &amp; Music_TB B2B (26)</t>
  </si>
  <si>
    <t>Annual_G7_Financial Literacy_TB B2B (26)</t>
  </si>
  <si>
    <t>T1_G7_Hindi_Parivartan_TB B2B (26)</t>
  </si>
  <si>
    <t>Annual_G7_Hindi_Sanrachana_TB B2B (26)</t>
  </si>
  <si>
    <t>T2_G7_Hindi_Parivartan_TB B2B (26)</t>
  </si>
  <si>
    <t>Annual_G7_Physical Education_TB B2B (26)</t>
  </si>
  <si>
    <t>TLH-V1-Naman Hindi Vyakaran 07 (23)</t>
  </si>
  <si>
    <t>TLH-V2-Amoli Hindi Textbook-7-(23)</t>
  </si>
  <si>
    <t>T1_G8_Dance &amp; Music_TB B2B (26)</t>
  </si>
  <si>
    <t>T2_G8_Dance &amp; Music_TB B2B (26)</t>
  </si>
  <si>
    <t>Annual_G8_Financial Literacy_TB B2B (26)</t>
  </si>
  <si>
    <t>T1_G8_Hindi_Parivartan_TB B2B (26)</t>
  </si>
  <si>
    <t>Annual_G8_Hindi_Sanrachana_TB B2B (26)</t>
  </si>
  <si>
    <t>T2_G8_Hindi_Parivartan_TB B2B (26)</t>
  </si>
  <si>
    <t>Annual_G8_Physical Education_TB B2B (26)</t>
  </si>
  <si>
    <t>TLH-V1-Naman Hindi Vyakaran 08 (23)</t>
  </si>
  <si>
    <t>TLH-V2-Amoli Hindi Textbook-8-(23)</t>
  </si>
  <si>
    <t>Amoli Grammar</t>
  </si>
  <si>
    <t>MS-V2-Timbuktu-Hindi-02-Swar Gyan-(23)</t>
  </si>
  <si>
    <t>MS-V2-Timbuktu-Hindi-02-Vyanjan Gyan-(23)</t>
  </si>
  <si>
    <t>Art</t>
  </si>
  <si>
    <t>Annual_K1_Art and Craft_TB B2B (26)</t>
  </si>
  <si>
    <t>Art Kit Grade K1 Orchids V.23-24</t>
  </si>
  <si>
    <t>Annual_K1_Activ8EVS B2B (26)</t>
  </si>
  <si>
    <t>EVS Kit</t>
  </si>
  <si>
    <t>EVS KIT K1 (22)B2B</t>
  </si>
  <si>
    <t>Annual_K1_Physical Education_TB B2B (26)</t>
  </si>
  <si>
    <t>MS-V2-Timbuktu-Hindi-03-Shabd Gyan-3-(23)</t>
  </si>
  <si>
    <t>MS-V2-Timbuktu-Lekhan Vidhi-Shabd-03-(23)</t>
  </si>
  <si>
    <t>Annual_K2_Art and Craft_TB B2B (26)</t>
  </si>
  <si>
    <t>Art Kit Grade K2 Orchids V.23-24</t>
  </si>
  <si>
    <t>Annual_K2_Activ8EVS B2B (26)</t>
  </si>
  <si>
    <t>EVS KIT K2 (22)B2B</t>
  </si>
  <si>
    <t>Annual_K2_Physical Education_TB B2B (26)</t>
  </si>
  <si>
    <t>MS-V2-Timbuktu Hands on Hindi Swar-A (23)</t>
  </si>
  <si>
    <t>MS-V2-Timbuktu-Hindi-01-Varn Gyan-(23)</t>
  </si>
  <si>
    <t>Annual_Nur_Art and Craft_TB B2B (26)</t>
  </si>
  <si>
    <t>Art Grade Nursery Orchids V.23-24</t>
  </si>
  <si>
    <t>Annual_Nur_Activ8EVS B2B (26)</t>
  </si>
  <si>
    <t>EVS KIT NUR (22)B2B</t>
  </si>
  <si>
    <t>Annual_Nur_PhysicalEducation_TB B2B (26)</t>
  </si>
  <si>
    <t>Annual_PN_Art and Craft_TB B2B (26)</t>
  </si>
  <si>
    <t>Art Grade Pre Nursery B2B V.23-24</t>
  </si>
  <si>
    <t>CSR AY 2026-2027</t>
  </si>
  <si>
    <t>Computer</t>
  </si>
  <si>
    <t>Annual_G1_CS_TB B2B (26)</t>
  </si>
  <si>
    <t>Vol 1</t>
  </si>
  <si>
    <t>23G1CS01</t>
  </si>
  <si>
    <t>Robotics</t>
  </si>
  <si>
    <t>Annual_G1_Robotics &amp; ET_TB B2B (26)</t>
  </si>
  <si>
    <t>Vol 3</t>
  </si>
  <si>
    <t>23G1RB01</t>
  </si>
  <si>
    <t>Robotics Kit</t>
  </si>
  <si>
    <t>Robotics Grade 1 B2B V.26-27</t>
  </si>
  <si>
    <t>FGS023B</t>
  </si>
  <si>
    <t>Annual_G2_CS_TB B2B (26)</t>
  </si>
  <si>
    <t>23G2CS01</t>
  </si>
  <si>
    <t>Annual_G2_Robotics &amp; ET_TB B2B (26)</t>
  </si>
  <si>
    <t>23G2RB01</t>
  </si>
  <si>
    <t>Robotics Grade 2 B2B V.26-27</t>
  </si>
  <si>
    <t>Annual_G3_CS &amp; Gen. AI_TB B2B (26)</t>
  </si>
  <si>
    <t>23G3CS01</t>
  </si>
  <si>
    <t>Annual_G3_Robotics &amp; ET_TB B2B (26)</t>
  </si>
  <si>
    <t>23G3RB01</t>
  </si>
  <si>
    <t>Robotics Grade 3 B2B V.26-27</t>
  </si>
  <si>
    <t>FGS025B</t>
  </si>
  <si>
    <t>Annual_G4_CS &amp; Gen. AI_TB B2B (26)</t>
  </si>
  <si>
    <t>23G4CS01</t>
  </si>
  <si>
    <t>Annual_G4_Robotics &amp; ET_TB B2B (26)</t>
  </si>
  <si>
    <t>23G4RB01</t>
  </si>
  <si>
    <t>Robotics Grade 4 B2B V.26-27</t>
  </si>
  <si>
    <t>FGS026B</t>
  </si>
  <si>
    <t>Annual_G5_CS &amp; Gen. AI_TB B2B (26)</t>
  </si>
  <si>
    <t>23G5CS01</t>
  </si>
  <si>
    <t>Annual_G5_Robotics &amp; ET_TB B2B (26)</t>
  </si>
  <si>
    <t>23G5RB01</t>
  </si>
  <si>
    <t>Robotics Grade 5 B2B V.26-27</t>
  </si>
  <si>
    <t>FGS027B</t>
  </si>
  <si>
    <t>Annual_G6_CS &amp; Gen. AI_TB B2B (26)</t>
  </si>
  <si>
    <t>23G6CS01</t>
  </si>
  <si>
    <t>Annual_G6_Robotics &amp; ET_TB B2B (26)</t>
  </si>
  <si>
    <t>23G6RB01</t>
  </si>
  <si>
    <t>Robotics Grade 6 B2B V.26-27</t>
  </si>
  <si>
    <t>FGS028B</t>
  </si>
  <si>
    <t>Annual_G7_CS &amp; Gen. AI_TB B2B (26)</t>
  </si>
  <si>
    <t>23G7CS01</t>
  </si>
  <si>
    <t>Annual_G7_Robotics &amp; ET_TB B2B (26)</t>
  </si>
  <si>
    <t>23G7RB01</t>
  </si>
  <si>
    <t>Robotics Grade 7 B2B V.26-27</t>
  </si>
  <si>
    <t>FGS029B</t>
  </si>
  <si>
    <t>Annual_G8_CS &amp; Gen. AI_TB B2B (26)</t>
  </si>
  <si>
    <t>23G8CS01</t>
  </si>
  <si>
    <t>Annual_G8_Robotics &amp; ET_TB B2B (26)</t>
  </si>
  <si>
    <t>23G8RB01</t>
  </si>
  <si>
    <t>Robotics Grade 8 B2B V.26-27</t>
  </si>
  <si>
    <t>FGS030B</t>
  </si>
  <si>
    <t>Annual_G9_CS &amp; Gen. AI_TB B2B (26)</t>
  </si>
  <si>
    <t>23G9CS01</t>
  </si>
  <si>
    <t>Annual_G9_Robotics &amp; ET_TB B2B (26)</t>
  </si>
  <si>
    <t>23G9RB01</t>
  </si>
  <si>
    <t>Robotics Grade 9 B2B V.24-25</t>
  </si>
  <si>
    <t>FGS031B</t>
  </si>
  <si>
    <t>1:5</t>
  </si>
  <si>
    <t>CSR AY 2025-2026</t>
  </si>
  <si>
    <t>Computer Science G1 (25)</t>
  </si>
  <si>
    <t>Robotics &amp; Emerging Technology G1 (25)</t>
  </si>
  <si>
    <t>Robotics Grade 1 B2B V.24-25</t>
  </si>
  <si>
    <t>Computer Science G2 (25)</t>
  </si>
  <si>
    <t>Robotics &amp; Emerging Technology G2 (25)</t>
  </si>
  <si>
    <t>Robotics Grade 2 B2B V.24-25</t>
  </si>
  <si>
    <t>Computer Science G3 (25)</t>
  </si>
  <si>
    <t>Robotics &amp; Emerging Technology G3 (25)</t>
  </si>
  <si>
    <t>Robotics Grade 3 B2B V.24-25</t>
  </si>
  <si>
    <t>Computer Science G4 (25)</t>
  </si>
  <si>
    <t>Robotics &amp; Emerging Technology G4 (25)</t>
  </si>
  <si>
    <t>Robotics Grade 4 B2B V.24-25</t>
  </si>
  <si>
    <t>Computer Science G5 (25)</t>
  </si>
  <si>
    <t>Robotics &amp; Emerging Technology G5 (25)</t>
  </si>
  <si>
    <t>Robotics Grade 5 B2B V.24-25</t>
  </si>
  <si>
    <t>Computer Science G6 (25)</t>
  </si>
  <si>
    <t>Robotics &amp; Emerging Technology G6 (25)</t>
  </si>
  <si>
    <t>Robotics Grade 6 B2B V.24-25</t>
  </si>
  <si>
    <t>Computer Science G7 (25)</t>
  </si>
  <si>
    <t>Robotics &amp; Emerging Technology G7 (25)</t>
  </si>
  <si>
    <t>Robotics Grade 7 B2B V.24-25</t>
  </si>
  <si>
    <t>Computer Science G8 (25)</t>
  </si>
  <si>
    <t>Robotics &amp; Emerging Technology G8 (25)</t>
  </si>
  <si>
    <t>Robotics Grade 8 B2B V.24-25</t>
  </si>
  <si>
    <t>Computer Science G9 (25)</t>
  </si>
  <si>
    <t>Robotics &amp; Emerging Technology G9 (25)</t>
  </si>
  <si>
    <t>MARGIN MODEL CONTROLS – ALL AVAILABLE ACADEMIC YEARS / PRODUCT TYPES</t>
  </si>
  <si>
    <t>OPERATING COST PERCENTAGES BY PRODUCT TYPE</t>
  </si>
  <si>
    <t>Transportation %</t>
  </si>
  <si>
    <t>Warehouse &amp; Facility %</t>
  </si>
  <si>
    <t>Employee Salary %</t>
  </si>
  <si>
    <t>Additional Services %</t>
  </si>
  <si>
    <t>Total Operating Cost %</t>
  </si>
  <si>
    <t>Operating Cost Basis</t>
  </si>
  <si>
    <t>Landing Price Excl GST</t>
  </si>
  <si>
    <t>Note</t>
  </si>
  <si>
    <t>CSR source uses its source MRP/base-value field as the cost/base input for margin analysis.</t>
  </si>
  <si>
    <t>HSN Code</t>
  </si>
  <si>
    <t>Printed MRP</t>
  </si>
  <si>
    <t>Difference</t>
  </si>
  <si>
    <t>Volume</t>
  </si>
  <si>
    <t>SKU</t>
  </si>
  <si>
    <t>MRP</t>
  </si>
  <si>
    <t>SAP Code</t>
  </si>
  <si>
    <t>Selling Price After Discount @30% (₹)</t>
  </si>
  <si>
    <t>Allocated Landing Price (Incl GST) (₹)</t>
  </si>
  <si>
    <t>Landing Price (Excl GST) (₹)</t>
  </si>
  <si>
    <t>Cost Price (₹)</t>
  </si>
  <si>
    <t>Markup on Cost %</t>
  </si>
  <si>
    <t>Gross Margin Status</t>
  </si>
  <si>
    <t>Transportation Cost (₹)</t>
  </si>
  <si>
    <t>Warehouse &amp; Facility Cost (₹)</t>
  </si>
  <si>
    <t>Employee Salary Cost (₹)</t>
  </si>
  <si>
    <t>Additional Services Cost (₹)</t>
  </si>
  <si>
    <t>Total Operating Cost (₹)</t>
  </si>
  <si>
    <t>Operating Cost % Applied</t>
  </si>
  <si>
    <t>Net Margin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</si>
</sst>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;[Red]&quot;(₹&quot;#,##0.00\);\-"/>
    <numFmt numFmtId="165" formatCode="0.0%"/>
    <numFmt numFmtId="166" formatCode="[&gt;=10000000]##\,##\,##\,##0;[&gt;=100000]##\,##\,##0;##,##0"/>
  </numFmts>
  <fonts count="18">
    <font>
      <sz val="11"/>
      <color theme="1"/>
      <name val="Calibri"/>
    </font>
    <font>
      <b/>
      <sz val="16"/>
      <color rgb="FFFFFFFF"/>
      <name val="Cambria"/>
      <family val="1"/>
    </font>
    <font>
      <b/>
      <sz val="11"/>
      <color rgb="FFFFFFFF"/>
      <name val="Cambria"/>
      <family val="1"/>
    </font>
    <font>
      <b/>
      <sz val="14"/>
      <name val="Cambria"/>
      <family val="1"/>
    </font>
    <font>
      <sz val="11"/>
      <color rgb="FF008000"/>
      <name val="Cambria"/>
      <family val="1"/>
    </font>
    <font>
      <sz val="11"/>
      <color rgb="FF000000"/>
      <name val="Cambria"/>
      <family val="1"/>
    </font>
    <font>
      <b/>
      <sz val="14"/>
      <color rgb="FFFFFFFF"/>
      <name val="Cambria"/>
      <family val="1"/>
    </font>
    <font>
      <sz val="11"/>
      <color rgb="FF0000FF"/>
      <name val="Cambria"/>
      <family val="1"/>
    </font>
    <font>
      <b/>
      <sz val="11"/>
      <color theme="1"/>
      <name val="Archivo Narrow"/>
    </font>
    <font>
      <b/>
      <sz val="11"/>
      <color rgb="FFFFFFFF"/>
      <name val="Archivo Narrow"/>
    </font>
    <font>
      <sz val="11"/>
      <color theme="1"/>
      <name val="Archivo Narrow"/>
    </font>
    <font>
      <b/>
      <sz val="11"/>
      <color rgb="FF3C78D8"/>
      <name val="Archivo Narrow"/>
    </font>
    <font>
      <sz val="11"/>
      <color theme="1"/>
      <name val="Arial"/>
      <family val="2"/>
    </font>
    <font>
      <b/>
      <sz val="11"/>
      <color rgb="FFF6B26B"/>
      <name val="Archivo Narrow"/>
    </font>
    <font>
      <b/>
      <sz val="9"/>
      <color theme="1"/>
      <name val="Roboto Condensed"/>
    </font>
    <font>
      <sz val="9"/>
      <color rgb="FFFFFFFF"/>
      <name val="Roboto Condensed"/>
    </font>
    <font>
      <sz val="9"/>
      <color theme="1"/>
      <name val="Roboto Condensed"/>
    </font>
    <font>
      <b/>
      <sz val="9"/>
      <color rgb="FFFFFFFF"/>
      <name val="Roboto Condensed"/>
    </font>
  </fonts>
  <fills count="1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9FC5E8"/>
      </patternFill>
    </fill>
    <fill>
      <patternFill patternType="solid">
        <fgColor rgb="FF0000FF"/>
      </patternFill>
    </fill>
    <fill>
      <patternFill patternType="solid">
        <fgColor rgb="FF6AA84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00FFFF"/>
      </patternFill>
    </fill>
    <fill>
      <patternFill patternType="solid">
        <fgColor rgb="FF00FF00"/>
      </patternFill>
    </fill>
    <fill>
      <patternFill patternType="solid">
        <fgColor rgb="FFFFFF00"/>
      </patternFill>
    </fill>
    <fill>
      <patternFill patternType="solid">
        <fgColor rgb="FFD5A6BD"/>
      </patternFill>
    </fill>
    <fill>
      <patternFill patternType="solid">
        <fgColor rgb="FF8E7CC3"/>
      </patternFill>
    </fill>
    <fill>
      <patternFill patternType="solid">
        <fgColor rgb="FFF1C232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EFEFEF"/>
      </patternFill>
    </fill>
    <fill>
      <patternFill patternType="solid">
        <fgColor rgb="FFC9DAF8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2" fillId="3" borderId="0" xfId="0" applyFont="1" applyFill="1"/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/>
    <xf numFmtId="0" fontId="2" fillId="3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5" fontId="7" fillId="0" borderId="0" xfId="0" applyNumberFormat="1" applyFont="1"/>
    <xf numFmtId="165" fontId="2" fillId="3" borderId="0" xfId="0" applyNumberFormat="1" applyFont="1" applyFill="1"/>
    <xf numFmtId="0" fontId="7" fillId="0" borderId="0" xfId="0" applyFont="1"/>
    <xf numFmtId="0" fontId="8" fillId="4" borderId="1" xfId="0" applyFont="1" applyFill="1" applyBorder="1" applyAlignment="1">
      <alignment horizontal="center" wrapText="1"/>
    </xf>
    <xf numFmtId="0" fontId="9" fillId="5" borderId="1" xfId="0" applyFont="1" applyFill="1" applyBorder="1" applyAlignment="1">
      <alignment horizontal="center" wrapText="1"/>
    </xf>
    <xf numFmtId="49" fontId="9" fillId="6" borderId="1" xfId="0" applyNumberFormat="1" applyFont="1" applyFill="1" applyBorder="1" applyAlignment="1">
      <alignment horizontal="center" wrapText="1"/>
    </xf>
    <xf numFmtId="4" fontId="8" fillId="7" borderId="1" xfId="0" applyNumberFormat="1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8" borderId="1" xfId="0" applyFont="1" applyFill="1" applyBorder="1" applyAlignment="1">
      <alignment horizontal="center" wrapText="1"/>
    </xf>
    <xf numFmtId="4" fontId="8" fillId="0" borderId="1" xfId="0" applyNumberFormat="1" applyFont="1" applyBorder="1" applyAlignment="1">
      <alignment horizontal="center" wrapText="1"/>
    </xf>
    <xf numFmtId="0" fontId="8" fillId="9" borderId="1" xfId="0" applyFont="1" applyFill="1" applyBorder="1" applyAlignment="1">
      <alignment horizontal="center" wrapText="1"/>
    </xf>
    <xf numFmtId="10" fontId="8" fillId="0" borderId="1" xfId="0" applyNumberFormat="1" applyFont="1" applyBorder="1" applyAlignment="1">
      <alignment horizontal="center" wrapText="1"/>
    </xf>
    <xf numFmtId="4" fontId="8" fillId="8" borderId="1" xfId="0" applyNumberFormat="1" applyFont="1" applyFill="1" applyBorder="1" applyAlignment="1">
      <alignment horizontal="center" wrapText="1"/>
    </xf>
    <xf numFmtId="2" fontId="8" fillId="10" borderId="1" xfId="0" applyNumberFormat="1" applyFont="1" applyFill="1" applyBorder="1" applyAlignment="1">
      <alignment horizontal="center" wrapText="1"/>
    </xf>
    <xf numFmtId="4" fontId="8" fillId="10" borderId="1" xfId="0" applyNumberFormat="1" applyFont="1" applyFill="1" applyBorder="1" applyAlignment="1">
      <alignment horizontal="center" wrapText="1"/>
    </xf>
    <xf numFmtId="0" fontId="8" fillId="11" borderId="1" xfId="0" applyFont="1" applyFill="1" applyBorder="1" applyAlignment="1">
      <alignment horizontal="center" wrapText="1"/>
    </xf>
    <xf numFmtId="0" fontId="10" fillId="0" borderId="2" xfId="0" applyFont="1" applyBorder="1"/>
    <xf numFmtId="0" fontId="10" fillId="0" borderId="3" xfId="0" applyFont="1" applyBorder="1"/>
    <xf numFmtId="49" fontId="10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12" fillId="0" borderId="3" xfId="0" applyFont="1" applyBorder="1"/>
    <xf numFmtId="9" fontId="10" fillId="0" borderId="3" xfId="0" applyNumberFormat="1" applyFont="1" applyBorder="1" applyAlignment="1">
      <alignment horizontal="center"/>
    </xf>
    <xf numFmtId="4" fontId="10" fillId="0" borderId="3" xfId="0" applyNumberFormat="1" applyFont="1" applyBorder="1" applyAlignment="1">
      <alignment horizontal="center"/>
    </xf>
    <xf numFmtId="10" fontId="10" fillId="0" borderId="3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166" fontId="10" fillId="0" borderId="3" xfId="0" applyNumberFormat="1" applyFont="1" applyBorder="1" applyAlignment="1">
      <alignment horizontal="center"/>
    </xf>
    <xf numFmtId="0" fontId="10" fillId="0" borderId="4" xfId="0" applyFont="1" applyBorder="1" applyAlignment="1">
      <alignment horizontal="right"/>
    </xf>
    <xf numFmtId="0" fontId="10" fillId="0" borderId="5" xfId="0" applyFont="1" applyBorder="1"/>
    <xf numFmtId="0" fontId="10" fillId="0" borderId="0" xfId="0" applyFont="1"/>
    <xf numFmtId="49" fontId="10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12" borderId="0" xfId="0" applyFont="1" applyFill="1" applyAlignment="1">
      <alignment horizontal="center"/>
    </xf>
    <xf numFmtId="0" fontId="12" fillId="0" borderId="0" xfId="0" applyFont="1"/>
    <xf numFmtId="9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0" fontId="10" fillId="0" borderId="6" xfId="0" applyFont="1" applyBorder="1" applyAlignment="1">
      <alignment horizontal="right"/>
    </xf>
    <xf numFmtId="0" fontId="13" fillId="13" borderId="0" xfId="0" applyFont="1" applyFill="1" applyAlignment="1">
      <alignment horizontal="center"/>
    </xf>
    <xf numFmtId="0" fontId="8" fillId="14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8" fillId="15" borderId="0" xfId="0" applyFont="1" applyFill="1" applyAlignment="1">
      <alignment horizontal="center"/>
    </xf>
    <xf numFmtId="4" fontId="8" fillId="15" borderId="0" xfId="0" applyNumberFormat="1" applyFont="1" applyFill="1" applyAlignment="1">
      <alignment horizontal="center"/>
    </xf>
    <xf numFmtId="9" fontId="8" fillId="15" borderId="0" xfId="0" applyNumberFormat="1" applyFont="1" applyFill="1" applyAlignment="1">
      <alignment horizontal="center"/>
    </xf>
    <xf numFmtId="10" fontId="8" fillId="15" borderId="0" xfId="0" applyNumberFormat="1" applyFont="1" applyFill="1" applyAlignment="1">
      <alignment horizontal="center"/>
    </xf>
    <xf numFmtId="2" fontId="8" fillId="15" borderId="0" xfId="0" applyNumberFormat="1" applyFont="1" applyFill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49" fontId="10" fillId="0" borderId="8" xfId="0" applyNumberFormat="1" applyFont="1" applyBorder="1" applyAlignment="1">
      <alignment horizontal="center"/>
    </xf>
    <xf numFmtId="0" fontId="9" fillId="7" borderId="8" xfId="0" applyFont="1" applyFill="1" applyBorder="1"/>
    <xf numFmtId="0" fontId="10" fillId="0" borderId="8" xfId="0" applyFont="1" applyBorder="1" applyAlignment="1">
      <alignment horizontal="center"/>
    </xf>
    <xf numFmtId="0" fontId="8" fillId="12" borderId="8" xfId="0" applyFont="1" applyFill="1" applyBorder="1" applyAlignment="1">
      <alignment horizontal="center"/>
    </xf>
    <xf numFmtId="0" fontId="8" fillId="15" borderId="8" xfId="0" applyFont="1" applyFill="1" applyBorder="1" applyAlignment="1">
      <alignment horizontal="center"/>
    </xf>
    <xf numFmtId="4" fontId="8" fillId="15" borderId="8" xfId="0" applyNumberFormat="1" applyFont="1" applyFill="1" applyBorder="1" applyAlignment="1">
      <alignment horizontal="center"/>
    </xf>
    <xf numFmtId="0" fontId="12" fillId="15" borderId="8" xfId="0" applyFont="1" applyFill="1" applyBorder="1"/>
    <xf numFmtId="9" fontId="8" fillId="15" borderId="8" xfId="0" applyNumberFormat="1" applyFont="1" applyFill="1" applyBorder="1" applyAlignment="1">
      <alignment horizontal="center"/>
    </xf>
    <xf numFmtId="10" fontId="8" fillId="15" borderId="8" xfId="0" applyNumberFormat="1" applyFont="1" applyFill="1" applyBorder="1" applyAlignment="1">
      <alignment horizontal="center"/>
    </xf>
    <xf numFmtId="2" fontId="8" fillId="15" borderId="8" xfId="0" applyNumberFormat="1" applyFont="1" applyFill="1" applyBorder="1" applyAlignment="1">
      <alignment horizontal="center"/>
    </xf>
    <xf numFmtId="166" fontId="10" fillId="0" borderId="8" xfId="0" applyNumberFormat="1" applyFont="1" applyBorder="1" applyAlignment="1">
      <alignment horizontal="center"/>
    </xf>
    <xf numFmtId="0" fontId="10" fillId="0" borderId="9" xfId="0" applyFont="1" applyBorder="1" applyAlignment="1">
      <alignment horizontal="right"/>
    </xf>
    <xf numFmtId="0" fontId="10" fillId="0" borderId="10" xfId="0" applyFont="1" applyBorder="1"/>
    <xf numFmtId="0" fontId="10" fillId="0" borderId="11" xfId="0" applyFont="1" applyBorder="1" applyAlignment="1">
      <alignment horizontal="right"/>
    </xf>
    <xf numFmtId="0" fontId="9" fillId="7" borderId="0" xfId="0" applyFont="1" applyFill="1"/>
    <xf numFmtId="0" fontId="12" fillId="15" borderId="0" xfId="0" applyFont="1" applyFill="1"/>
    <xf numFmtId="0" fontId="12" fillId="16" borderId="3" xfId="0" applyFont="1" applyFill="1" applyBorder="1"/>
    <xf numFmtId="4" fontId="10" fillId="17" borderId="3" xfId="0" applyNumberFormat="1" applyFont="1" applyFill="1" applyBorder="1" applyAlignment="1">
      <alignment horizontal="center"/>
    </xf>
    <xf numFmtId="9" fontId="10" fillId="17" borderId="3" xfId="0" applyNumberFormat="1" applyFont="1" applyFill="1" applyBorder="1" applyAlignment="1">
      <alignment horizontal="center"/>
    </xf>
    <xf numFmtId="10" fontId="10" fillId="16" borderId="3" xfId="0" applyNumberFormat="1" applyFont="1" applyFill="1" applyBorder="1" applyAlignment="1">
      <alignment horizontal="center"/>
    </xf>
    <xf numFmtId="4" fontId="10" fillId="16" borderId="3" xfId="0" applyNumberFormat="1" applyFont="1" applyFill="1" applyBorder="1" applyAlignment="1">
      <alignment horizontal="center"/>
    </xf>
    <xf numFmtId="2" fontId="10" fillId="16" borderId="3" xfId="0" applyNumberFormat="1" applyFont="1" applyFill="1" applyBorder="1" applyAlignment="1">
      <alignment horizontal="center"/>
    </xf>
    <xf numFmtId="0" fontId="12" fillId="0" borderId="0" xfId="0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2" fillId="0" borderId="3" xfId="0" applyNumberFormat="1" applyFont="1" applyBorder="1"/>
    <xf numFmtId="4" fontId="12" fillId="0" borderId="0" xfId="0" applyNumberFormat="1" applyFont="1"/>
    <xf numFmtId="0" fontId="14" fillId="4" borderId="0" xfId="0" applyFont="1" applyFill="1" applyAlignment="1">
      <alignment horizontal="center" vertical="center" wrapText="1"/>
    </xf>
    <xf numFmtId="49" fontId="15" fillId="6" borderId="0" xfId="0" applyNumberFormat="1" applyFont="1" applyFill="1" applyAlignment="1">
      <alignment horizontal="center" vertical="center" wrapText="1"/>
    </xf>
    <xf numFmtId="4" fontId="14" fillId="7" borderId="0" xfId="0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2" fontId="14" fillId="10" borderId="0" xfId="0" applyNumberFormat="1" applyFont="1" applyFill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14" fillId="18" borderId="0" xfId="0" applyFont="1" applyFill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4" fontId="16" fillId="0" borderId="0" xfId="0" applyNumberFormat="1" applyFont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9" fontId="16" fillId="16" borderId="0" xfId="0" applyNumberFormat="1" applyFont="1" applyFill="1" applyAlignment="1">
      <alignment horizontal="center" vertical="center"/>
    </xf>
    <xf numFmtId="4" fontId="16" fillId="16" borderId="0" xfId="0" applyNumberFormat="1" applyFont="1" applyFill="1" applyAlignment="1">
      <alignment horizontal="center" vertical="center"/>
    </xf>
    <xf numFmtId="10" fontId="16" fillId="16" borderId="0" xfId="0" applyNumberFormat="1" applyFont="1" applyFill="1" applyAlignment="1">
      <alignment horizontal="center" vertical="center"/>
    </xf>
    <xf numFmtId="2" fontId="16" fillId="16" borderId="0" xfId="0" applyNumberFormat="1" applyFont="1" applyFill="1" applyAlignment="1">
      <alignment horizontal="center" vertical="center"/>
    </xf>
    <xf numFmtId="9" fontId="16" fillId="0" borderId="0" xfId="0" applyNumberFormat="1" applyFont="1" applyAlignment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4" fontId="16" fillId="11" borderId="0" xfId="0" applyNumberFormat="1" applyFont="1" applyFill="1" applyAlignment="1">
      <alignment horizontal="center" vertical="center"/>
    </xf>
    <xf numFmtId="2" fontId="16" fillId="11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4" fillId="4" borderId="0" xfId="0" applyFont="1" applyFill="1" applyAlignment="1">
      <alignment horizontal="center" wrapText="1"/>
    </xf>
    <xf numFmtId="0" fontId="17" fillId="5" borderId="0" xfId="0" applyFont="1" applyFill="1" applyAlignment="1">
      <alignment horizontal="center" wrapText="1"/>
    </xf>
    <xf numFmtId="49" fontId="17" fillId="6" borderId="0" xfId="0" applyNumberFormat="1" applyFont="1" applyFill="1" applyAlignment="1">
      <alignment horizontal="center" wrapText="1"/>
    </xf>
    <xf numFmtId="4" fontId="14" fillId="7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8" borderId="0" xfId="0" applyFont="1" applyFill="1" applyAlignment="1">
      <alignment horizontal="center" wrapText="1"/>
    </xf>
    <xf numFmtId="4" fontId="14" fillId="0" borderId="0" xfId="0" applyNumberFormat="1" applyFont="1" applyAlignment="1">
      <alignment horizontal="center" wrapText="1"/>
    </xf>
    <xf numFmtId="0" fontId="14" fillId="9" borderId="0" xfId="0" applyFont="1" applyFill="1" applyAlignment="1">
      <alignment horizontal="center" wrapText="1"/>
    </xf>
    <xf numFmtId="2" fontId="14" fillId="8" borderId="0" xfId="0" applyNumberFormat="1" applyFont="1" applyFill="1" applyAlignment="1">
      <alignment horizontal="center" wrapText="1"/>
    </xf>
    <xf numFmtId="2" fontId="14" fillId="10" borderId="0" xfId="0" applyNumberFormat="1" applyFont="1" applyFill="1" applyAlignment="1">
      <alignment horizontal="center" wrapText="1"/>
    </xf>
    <xf numFmtId="0" fontId="14" fillId="11" borderId="0" xfId="0" applyFont="1" applyFill="1" applyAlignment="1">
      <alignment horizontal="center" wrapText="1"/>
    </xf>
    <xf numFmtId="0" fontId="14" fillId="0" borderId="0" xfId="0" applyFont="1"/>
    <xf numFmtId="0" fontId="16" fillId="0" borderId="0" xfId="0" applyFont="1"/>
    <xf numFmtId="49" fontId="16" fillId="0" borderId="0" xfId="0" applyNumberFormat="1" applyFont="1" applyAlignment="1">
      <alignment horizontal="center"/>
    </xf>
    <xf numFmtId="0" fontId="14" fillId="12" borderId="0" xfId="0" applyFont="1" applyFill="1" applyAlignment="1">
      <alignment horizontal="center"/>
    </xf>
    <xf numFmtId="4" fontId="16" fillId="0" borderId="0" xfId="0" applyNumberFormat="1" applyFont="1" applyAlignment="1">
      <alignment horizontal="center"/>
    </xf>
    <xf numFmtId="9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right"/>
    </xf>
    <xf numFmtId="0" fontId="14" fillId="14" borderId="0" xfId="0" applyFont="1" applyFill="1" applyAlignment="1">
      <alignment horizontal="center"/>
    </xf>
    <xf numFmtId="4" fontId="16" fillId="17" borderId="0" xfId="0" applyNumberFormat="1" applyFont="1" applyFill="1" applyAlignment="1">
      <alignment horizontal="center"/>
    </xf>
    <xf numFmtId="0" fontId="16" fillId="16" borderId="0" xfId="0" applyFont="1" applyFill="1" applyAlignment="1">
      <alignment horizontal="center"/>
    </xf>
    <xf numFmtId="9" fontId="16" fillId="17" borderId="0" xfId="0" applyNumberFormat="1" applyFont="1" applyFill="1" applyAlignment="1">
      <alignment horizontal="center"/>
    </xf>
    <xf numFmtId="10" fontId="16" fillId="16" borderId="0" xfId="0" applyNumberFormat="1" applyFont="1" applyFill="1" applyAlignment="1">
      <alignment horizontal="center"/>
    </xf>
    <xf numFmtId="2" fontId="16" fillId="16" borderId="0" xfId="0" applyNumberFormat="1" applyFont="1" applyFill="1" applyAlignment="1">
      <alignment horizontal="center"/>
    </xf>
    <xf numFmtId="0" fontId="16" fillId="17" borderId="0" xfId="0" applyFont="1" applyFill="1" applyAlignment="1">
      <alignment horizontal="right"/>
    </xf>
    <xf numFmtId="49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9" fontId="14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right"/>
    </xf>
    <xf numFmtId="0" fontId="14" fillId="16" borderId="0" xfId="0" applyFont="1" applyFill="1" applyAlignment="1">
      <alignment horizontal="center"/>
    </xf>
    <xf numFmtId="4" fontId="14" fillId="17" borderId="0" xfId="0" applyNumberFormat="1" applyFont="1" applyFill="1" applyAlignment="1">
      <alignment horizontal="center"/>
    </xf>
    <xf numFmtId="9" fontId="14" fillId="17" borderId="0" xfId="0" applyNumberFormat="1" applyFont="1" applyFill="1" applyAlignment="1">
      <alignment horizontal="center"/>
    </xf>
    <xf numFmtId="10" fontId="14" fillId="16" borderId="0" xfId="0" applyNumberFormat="1" applyFont="1" applyFill="1" applyAlignment="1">
      <alignment horizontal="center"/>
    </xf>
    <xf numFmtId="2" fontId="14" fillId="16" borderId="0" xfId="0" applyNumberFormat="1" applyFont="1" applyFill="1" applyAlignment="1">
      <alignment horizontal="center"/>
    </xf>
    <xf numFmtId="0" fontId="14" fillId="17" borderId="0" xfId="0" applyFont="1" applyFill="1" applyAlignment="1">
      <alignment horizontal="right"/>
    </xf>
    <xf numFmtId="0" fontId="16" fillId="16" borderId="0" xfId="0" applyFont="1" applyFill="1"/>
    <xf numFmtId="49" fontId="16" fillId="16" borderId="0" xfId="0" applyNumberFormat="1" applyFont="1" applyFill="1" applyAlignment="1">
      <alignment horizontal="center"/>
    </xf>
    <xf numFmtId="1" fontId="5" fillId="0" borderId="0" xfId="0" applyNumberFormat="1" applyFont="1"/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E7CC3"/>
      <rgbColor rgb="FF9999FF"/>
      <rgbColor rgb="FF993366"/>
      <rgbColor rgb="FFF3F3F3"/>
      <rgbColor rgb="FFEFEFE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FC5E8"/>
      <rgbColor rgb="FFF6B26B"/>
      <rgbColor rgb="FFCC99FF"/>
      <rgbColor rgb="FFF4CCCC"/>
      <rgbColor rgb="FF3C78D8"/>
      <rgbColor rgb="FF33CCCC"/>
      <rgbColor rgb="FF99CC00"/>
      <rgbColor rgb="FFF1C232"/>
      <rgbColor rgb="FFFF9900"/>
      <rgbColor rgb="FFFF6600"/>
      <rgbColor rgb="FF666699"/>
      <rgbColor rgb="FF969696"/>
      <rgbColor rgb="FF17365D"/>
      <rgbColor rgb="FF6AA84F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showGridLines="0" workbookViewId="0">
      <selection sqref="A1:H1"/>
    </sheetView>
  </sheetViews>
  <sheetFormatPr baseColWidth="10" defaultColWidth="8.6640625" defaultRowHeight="15"/>
  <cols>
    <col min="1" max="1" width="16" customWidth="1"/>
    <col min="2" max="2" width="15" customWidth="1"/>
    <col min="3" max="3" width="12" customWidth="1"/>
    <col min="4" max="4" width="16" customWidth="1"/>
    <col min="5" max="5" width="15" customWidth="1"/>
    <col min="6" max="7" width="17" customWidth="1"/>
    <col min="8" max="8" width="13" customWidth="1"/>
    <col min="9" max="9" width="15" customWidth="1"/>
  </cols>
  <sheetData>
    <row r="1" spans="1:9" ht="21">
      <c r="A1" s="167" t="s">
        <v>0</v>
      </c>
      <c r="B1" s="167"/>
      <c r="C1" s="167"/>
      <c r="D1" s="167"/>
      <c r="E1" s="167"/>
      <c r="F1" s="167"/>
      <c r="G1" s="167"/>
      <c r="H1" s="167"/>
    </row>
    <row r="4" spans="1:9">
      <c r="A4" s="1" t="s">
        <v>1</v>
      </c>
      <c r="C4" s="1" t="s">
        <v>2</v>
      </c>
      <c r="E4" s="1" t="s">
        <v>3</v>
      </c>
      <c r="G4" s="1" t="s">
        <v>4</v>
      </c>
    </row>
    <row r="5" spans="1:9" ht="18">
      <c r="B5" s="2">
        <f>'Product Type Summary'!E8</f>
        <v>0</v>
      </c>
      <c r="D5" s="2">
        <f>'Product Type Summary'!D8</f>
        <v>0</v>
      </c>
      <c r="F5" s="2">
        <f>'Product Type Summary'!F8</f>
        <v>0</v>
      </c>
      <c r="H5" s="2">
        <f>'Product Type Summary'!L8</f>
        <v>0</v>
      </c>
    </row>
    <row r="8" spans="1:9">
      <c r="A8" s="1" t="s">
        <v>5</v>
      </c>
      <c r="C8" s="1" t="s">
        <v>6</v>
      </c>
      <c r="E8" s="1" t="s">
        <v>7</v>
      </c>
      <c r="G8" s="1" t="s">
        <v>8</v>
      </c>
    </row>
    <row r="9" spans="1:9" ht="18">
      <c r="B9" s="2">
        <f>'Product Type Summary'!M8</f>
        <v>0</v>
      </c>
      <c r="D9" s="3">
        <f>'Product Type Summary'!N8</f>
        <v>0</v>
      </c>
      <c r="F9" s="3">
        <f>Assumptions!B3</f>
        <v>0.3</v>
      </c>
      <c r="H9" s="4">
        <f>'Product Type Summary'!O8</f>
        <v>0</v>
      </c>
    </row>
    <row r="12" spans="1:9">
      <c r="A12" s="5" t="s">
        <v>9</v>
      </c>
      <c r="B12" s="5" t="s">
        <v>10</v>
      </c>
      <c r="C12" s="5" t="s">
        <v>11</v>
      </c>
      <c r="D12" s="5" t="s">
        <v>12</v>
      </c>
      <c r="E12" s="5" t="s">
        <v>2</v>
      </c>
      <c r="F12" s="5" t="s">
        <v>13</v>
      </c>
      <c r="G12" s="5" t="s">
        <v>14</v>
      </c>
      <c r="H12" s="5" t="s">
        <v>5</v>
      </c>
      <c r="I12" s="5" t="s">
        <v>6</v>
      </c>
    </row>
    <row r="13" spans="1:9">
      <c r="A13" t="str">
        <f>'Product Type Summary'!A2</f>
        <v>2027-2028</v>
      </c>
      <c r="B13" t="str">
        <f>'Product Type Summary'!B2</f>
        <v>Core</v>
      </c>
      <c r="C13">
        <f>'Product Type Summary'!C2</f>
        <v>0</v>
      </c>
      <c r="D13" s="6">
        <f>'Product Type Summary'!E2</f>
        <v>0</v>
      </c>
      <c r="E13" s="6">
        <f>'Product Type Summary'!D2</f>
        <v>0</v>
      </c>
      <c r="F13" s="7">
        <f>'Product Type Summary'!G2</f>
        <v>0</v>
      </c>
      <c r="G13" s="6">
        <f>'Product Type Summary'!L2</f>
        <v>0</v>
      </c>
      <c r="H13" s="6">
        <f>'Product Type Summary'!M2</f>
        <v>0</v>
      </c>
      <c r="I13" s="7">
        <f>'Product Type Summary'!N2</f>
        <v>0</v>
      </c>
    </row>
    <row r="14" spans="1:9">
      <c r="A14" t="str">
        <f>'Product Type Summary'!A3</f>
        <v>2027-2028</v>
      </c>
      <c r="B14" t="str">
        <f>'Product Type Summary'!B3</f>
        <v>MINI</v>
      </c>
      <c r="C14">
        <f>'Product Type Summary'!C3</f>
        <v>0</v>
      </c>
      <c r="D14" s="6">
        <f>'Product Type Summary'!E3</f>
        <v>0</v>
      </c>
      <c r="E14" s="6">
        <f>'Product Type Summary'!D3</f>
        <v>0</v>
      </c>
      <c r="F14" s="7">
        <f>'Product Type Summary'!G3</f>
        <v>0</v>
      </c>
      <c r="G14" s="6">
        <f>'Product Type Summary'!L3</f>
        <v>0</v>
      </c>
      <c r="H14" s="6">
        <f>'Product Type Summary'!M3</f>
        <v>0</v>
      </c>
      <c r="I14" s="7">
        <f>'Product Type Summary'!N3</f>
        <v>0</v>
      </c>
    </row>
    <row r="15" spans="1:9">
      <c r="A15" t="str">
        <f>'Product Type Summary'!A4</f>
        <v>2027-2028</v>
      </c>
      <c r="B15" t="str">
        <f>'Product Type Summary'!B4</f>
        <v>MINI+WB</v>
      </c>
      <c r="C15">
        <f>'Product Type Summary'!C4</f>
        <v>0</v>
      </c>
      <c r="D15" s="6">
        <f>'Product Type Summary'!E4</f>
        <v>0</v>
      </c>
      <c r="E15" s="6">
        <f>'Product Type Summary'!D4</f>
        <v>0</v>
      </c>
      <c r="F15" s="7">
        <f>'Product Type Summary'!G4</f>
        <v>0</v>
      </c>
      <c r="G15" s="6">
        <f>'Product Type Summary'!L4</f>
        <v>0</v>
      </c>
      <c r="H15" s="6">
        <f>'Product Type Summary'!M4</f>
        <v>0</v>
      </c>
      <c r="I15" s="7">
        <f>'Product Type Summary'!N4</f>
        <v>0</v>
      </c>
    </row>
    <row r="16" spans="1:9">
      <c r="A16" t="str">
        <f>'Product Type Summary'!A5</f>
        <v>2026-2027</v>
      </c>
      <c r="B16" t="str">
        <f>'Product Type Summary'!B5</f>
        <v>Optional</v>
      </c>
      <c r="C16">
        <f>'Product Type Summary'!C5</f>
        <v>0</v>
      </c>
      <c r="D16" s="6">
        <f>'Product Type Summary'!E5</f>
        <v>0</v>
      </c>
      <c r="E16" s="6">
        <f>'Product Type Summary'!D5</f>
        <v>0</v>
      </c>
      <c r="F16" s="7">
        <f>'Product Type Summary'!G5</f>
        <v>0</v>
      </c>
      <c r="G16" s="6">
        <f>'Product Type Summary'!L5</f>
        <v>0</v>
      </c>
      <c r="H16" s="6">
        <f>'Product Type Summary'!M5</f>
        <v>0</v>
      </c>
      <c r="I16" s="7">
        <f>'Product Type Summary'!N5</f>
        <v>0</v>
      </c>
    </row>
    <row r="17" spans="1:9">
      <c r="A17" t="str">
        <f>'Product Type Summary'!A6</f>
        <v>2026-2027</v>
      </c>
      <c r="B17" t="str">
        <f>'Product Type Summary'!B6</f>
        <v>CSR</v>
      </c>
      <c r="C17">
        <f>'Product Type Summary'!C6</f>
        <v>0</v>
      </c>
      <c r="D17" s="6">
        <f>'Product Type Summary'!E6</f>
        <v>0</v>
      </c>
      <c r="E17" s="6">
        <f>'Product Type Summary'!D6</f>
        <v>0</v>
      </c>
      <c r="F17" s="7">
        <f>'Product Type Summary'!G6</f>
        <v>0</v>
      </c>
      <c r="G17" s="6">
        <f>'Product Type Summary'!L6</f>
        <v>0</v>
      </c>
      <c r="H17" s="6">
        <f>'Product Type Summary'!M6</f>
        <v>0</v>
      </c>
      <c r="I17" s="7">
        <f>'Product Type Summary'!N6</f>
        <v>0</v>
      </c>
    </row>
    <row r="18" spans="1:9">
      <c r="A18" t="str">
        <f>'Product Type Summary'!A7</f>
        <v>2025-2026</v>
      </c>
      <c r="B18" t="str">
        <f>'Product Type Summary'!B7</f>
        <v>CSR</v>
      </c>
      <c r="C18">
        <f>'Product Type Summary'!C7</f>
        <v>0</v>
      </c>
      <c r="D18" s="6">
        <f>'Product Type Summary'!E7</f>
        <v>0</v>
      </c>
      <c r="E18" s="6">
        <f>'Product Type Summary'!D7</f>
        <v>0</v>
      </c>
      <c r="F18" s="7">
        <f>'Product Type Summary'!G7</f>
        <v>0</v>
      </c>
      <c r="G18" s="6">
        <f>'Product Type Summary'!L7</f>
        <v>0</v>
      </c>
      <c r="H18" s="6">
        <f>'Product Type Summary'!M7</f>
        <v>0</v>
      </c>
      <c r="I18" s="7">
        <f>'Product Type Summary'!N7</f>
        <v>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showGridLines="0" workbookViewId="0"/>
  </sheetViews>
  <sheetFormatPr baseColWidth="10" defaultColWidth="8.6640625" defaultRowHeight="15"/>
  <cols>
    <col min="1" max="1" width="16" customWidth="1"/>
    <col min="2" max="2" width="15" customWidth="1"/>
    <col min="3" max="3" width="12" customWidth="1"/>
    <col min="4" max="4" width="19" customWidth="1"/>
    <col min="5" max="5" width="24" customWidth="1"/>
    <col min="6" max="6" width="19" customWidth="1"/>
    <col min="7" max="7" width="17" customWidth="1"/>
    <col min="8" max="9" width="16" customWidth="1"/>
    <col min="10" max="10" width="13" customWidth="1"/>
    <col min="11" max="11" width="24" customWidth="1"/>
    <col min="12" max="12" width="21" customWidth="1"/>
    <col min="13" max="13" width="17" customWidth="1"/>
    <col min="14" max="14" width="15" customWidth="1"/>
    <col min="15" max="15" width="21" customWidth="1"/>
  </cols>
  <sheetData>
    <row r="1" spans="1:15">
      <c r="A1" s="5" t="s">
        <v>9</v>
      </c>
      <c r="B1" s="5" t="s">
        <v>10</v>
      </c>
      <c r="C1" s="5" t="s">
        <v>11</v>
      </c>
      <c r="D1" s="5" t="s">
        <v>15</v>
      </c>
      <c r="E1" s="5" t="s">
        <v>16</v>
      </c>
      <c r="F1" s="5" t="s">
        <v>17</v>
      </c>
      <c r="G1" s="5" t="s">
        <v>13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6</v>
      </c>
      <c r="O1" s="5" t="s">
        <v>8</v>
      </c>
    </row>
    <row r="2" spans="1:15">
      <c r="A2" t="s">
        <v>24</v>
      </c>
      <c r="B2" t="s">
        <v>25</v>
      </c>
      <c r="C2">
        <f>COUNTIFS('Margin Analysis'!$Y$2:$Y$645,$A2,'Margin Analysis'!$X$2:$X$645,$B2)</f>
        <v>0</v>
      </c>
      <c r="D2" s="6">
        <f>SUMIFS('Margin Analysis'!$AB$2:$AB$645,'Margin Analysis'!$Y$2:$Y$645,$A2,'Margin Analysis'!$X$2:$X$645,$B2)</f>
        <v>0</v>
      </c>
      <c r="E2" s="6">
        <f>SUMIFS('Margin Analysis'!$AA$2:$AA$645,'Margin Analysis'!$Y$2:$Y$645,$A2,'Margin Analysis'!$X$2:$X$645,$B2)</f>
        <v>0</v>
      </c>
      <c r="F2" s="6">
        <f t="shared" ref="F2:F7" si="0">E2-D2</f>
        <v>0</v>
      </c>
      <c r="G2" s="7">
        <f t="shared" ref="G2:G8" si="1">IFERROR(F2/E2,0)</f>
        <v>0</v>
      </c>
      <c r="H2" s="6">
        <f>SUMIFS('Margin Analysis'!$AG$2:$AG$645,'Margin Analysis'!$Y$2:$Y$645,$A2,'Margin Analysis'!$X$2:$X$645,$B2)</f>
        <v>0</v>
      </c>
      <c r="I2" s="6">
        <f>SUMIFS('Margin Analysis'!$AH$2:$AH$645,'Margin Analysis'!$Y$2:$Y$645,$A2,'Margin Analysis'!$X$2:$X$645,$B2)</f>
        <v>0</v>
      </c>
      <c r="J2" s="6">
        <f>SUMIFS('Margin Analysis'!$AI$2:$AI$645,'Margin Analysis'!$Y$2:$Y$645,$A2,'Margin Analysis'!$X$2:$X$645,$B2)</f>
        <v>0</v>
      </c>
      <c r="K2" s="6">
        <f>SUMIFS('Margin Analysis'!$AJ$2:$AJ$645,'Margin Analysis'!$Y$2:$Y$645,$A2,'Margin Analysis'!$X$2:$X$645,$B2)</f>
        <v>0</v>
      </c>
      <c r="L2" s="6">
        <f t="shared" ref="L2:L7" si="2">SUM(H2:K2)</f>
        <v>0</v>
      </c>
      <c r="M2" s="6">
        <f t="shared" ref="M2:M7" si="3">F2-L2</f>
        <v>0</v>
      </c>
      <c r="N2" s="7">
        <f t="shared" ref="N2:N8" si="4">IFERROR(M2/E2,0)</f>
        <v>0</v>
      </c>
      <c r="O2">
        <f>COUNTIFS('Margin Analysis'!$Y$2:$Y$645,$A2,'Margin Analysis'!$X$2:$X$645,$B2,'Margin Analysis'!$AN$2:$AN$645,"&lt;"&amp;Assumptions!$B$3)</f>
        <v>0</v>
      </c>
    </row>
    <row r="3" spans="1:15">
      <c r="A3" t="s">
        <v>24</v>
      </c>
      <c r="B3" t="s">
        <v>26</v>
      </c>
      <c r="C3">
        <f>COUNTIFS('Margin Analysis'!$Y$2:$Y$645,$A3,'Margin Analysis'!$X$2:$X$645,$B3)</f>
        <v>0</v>
      </c>
      <c r="D3" s="6">
        <f>SUMIFS('Margin Analysis'!$AB$2:$AB$645,'Margin Analysis'!$Y$2:$Y$645,$A3,'Margin Analysis'!$X$2:$X$645,$B3)</f>
        <v>0</v>
      </c>
      <c r="E3" s="6">
        <f>SUMIFS('Margin Analysis'!$AA$2:$AA$645,'Margin Analysis'!$Y$2:$Y$645,$A3,'Margin Analysis'!$X$2:$X$645,$B3)</f>
        <v>0</v>
      </c>
      <c r="F3" s="6">
        <f t="shared" si="0"/>
        <v>0</v>
      </c>
      <c r="G3" s="7">
        <f t="shared" si="1"/>
        <v>0</v>
      </c>
      <c r="H3" s="6">
        <f>SUMIFS('Margin Analysis'!$AG$2:$AG$645,'Margin Analysis'!$Y$2:$Y$645,$A3,'Margin Analysis'!$X$2:$X$645,$B3)</f>
        <v>0</v>
      </c>
      <c r="I3" s="6">
        <f>SUMIFS('Margin Analysis'!$AH$2:$AH$645,'Margin Analysis'!$Y$2:$Y$645,$A3,'Margin Analysis'!$X$2:$X$645,$B3)</f>
        <v>0</v>
      </c>
      <c r="J3" s="6">
        <f>SUMIFS('Margin Analysis'!$AI$2:$AI$645,'Margin Analysis'!$Y$2:$Y$645,$A3,'Margin Analysis'!$X$2:$X$645,$B3)</f>
        <v>0</v>
      </c>
      <c r="K3" s="6">
        <f>SUMIFS('Margin Analysis'!$AJ$2:$AJ$645,'Margin Analysis'!$Y$2:$Y$645,$A3,'Margin Analysis'!$X$2:$X$645,$B3)</f>
        <v>0</v>
      </c>
      <c r="L3" s="6">
        <f t="shared" si="2"/>
        <v>0</v>
      </c>
      <c r="M3" s="6">
        <f t="shared" si="3"/>
        <v>0</v>
      </c>
      <c r="N3" s="7">
        <f t="shared" si="4"/>
        <v>0</v>
      </c>
      <c r="O3">
        <f>COUNTIFS('Margin Analysis'!$Y$2:$Y$645,$A3,'Margin Analysis'!$X$2:$X$645,$B3,'Margin Analysis'!$AN$2:$AN$645,"&lt;"&amp;Assumptions!$B$3)</f>
        <v>0</v>
      </c>
    </row>
    <row r="4" spans="1:15">
      <c r="A4" t="s">
        <v>24</v>
      </c>
      <c r="B4" t="s">
        <v>27</v>
      </c>
      <c r="C4">
        <f>COUNTIFS('Margin Analysis'!$Y$2:$Y$645,$A4,'Margin Analysis'!$X$2:$X$645,$B4)</f>
        <v>0</v>
      </c>
      <c r="D4" s="6">
        <f>SUMIFS('Margin Analysis'!$AB$2:$AB$645,'Margin Analysis'!$Y$2:$Y$645,$A4,'Margin Analysis'!$X$2:$X$645,$B4)</f>
        <v>0</v>
      </c>
      <c r="E4" s="6">
        <f>SUMIFS('Margin Analysis'!$AA$2:$AA$645,'Margin Analysis'!$Y$2:$Y$645,$A4,'Margin Analysis'!$X$2:$X$645,$B4)</f>
        <v>0</v>
      </c>
      <c r="F4" s="6">
        <f t="shared" si="0"/>
        <v>0</v>
      </c>
      <c r="G4" s="7">
        <f t="shared" si="1"/>
        <v>0</v>
      </c>
      <c r="H4" s="6">
        <f>SUMIFS('Margin Analysis'!$AG$2:$AG$645,'Margin Analysis'!$Y$2:$Y$645,$A4,'Margin Analysis'!$X$2:$X$645,$B4)</f>
        <v>0</v>
      </c>
      <c r="I4" s="6">
        <f>SUMIFS('Margin Analysis'!$AH$2:$AH$645,'Margin Analysis'!$Y$2:$Y$645,$A4,'Margin Analysis'!$X$2:$X$645,$B4)</f>
        <v>0</v>
      </c>
      <c r="J4" s="6">
        <f>SUMIFS('Margin Analysis'!$AI$2:$AI$645,'Margin Analysis'!$Y$2:$Y$645,$A4,'Margin Analysis'!$X$2:$X$645,$B4)</f>
        <v>0</v>
      </c>
      <c r="K4" s="6">
        <f>SUMIFS('Margin Analysis'!$AJ$2:$AJ$645,'Margin Analysis'!$Y$2:$Y$645,$A4,'Margin Analysis'!$X$2:$X$645,$B4)</f>
        <v>0</v>
      </c>
      <c r="L4" s="6">
        <f t="shared" si="2"/>
        <v>0</v>
      </c>
      <c r="M4" s="6">
        <f t="shared" si="3"/>
        <v>0</v>
      </c>
      <c r="N4" s="7">
        <f t="shared" si="4"/>
        <v>0</v>
      </c>
      <c r="O4">
        <f>COUNTIFS('Margin Analysis'!$Y$2:$Y$645,$A4,'Margin Analysis'!$X$2:$X$645,$B4,'Margin Analysis'!$AN$2:$AN$645,"&lt;"&amp;Assumptions!$B$3)</f>
        <v>0</v>
      </c>
    </row>
    <row r="5" spans="1:15">
      <c r="A5" t="s">
        <v>28</v>
      </c>
      <c r="B5" t="s">
        <v>29</v>
      </c>
      <c r="C5">
        <f>COUNTIFS('Margin Analysis'!$Y$2:$Y$645,$A5,'Margin Analysis'!$X$2:$X$645,$B5)</f>
        <v>0</v>
      </c>
      <c r="D5" s="6">
        <f>SUMIFS('Margin Analysis'!$AB$2:$AB$645,'Margin Analysis'!$Y$2:$Y$645,$A5,'Margin Analysis'!$X$2:$X$645,$B5)</f>
        <v>0</v>
      </c>
      <c r="E5" s="6">
        <f>SUMIFS('Margin Analysis'!$AA$2:$AA$645,'Margin Analysis'!$Y$2:$Y$645,$A5,'Margin Analysis'!$X$2:$X$645,$B5)</f>
        <v>0</v>
      </c>
      <c r="F5" s="6">
        <f t="shared" si="0"/>
        <v>0</v>
      </c>
      <c r="G5" s="7">
        <f t="shared" si="1"/>
        <v>0</v>
      </c>
      <c r="H5" s="6">
        <f>SUMIFS('Margin Analysis'!$AG$2:$AG$645,'Margin Analysis'!$Y$2:$Y$645,$A5,'Margin Analysis'!$X$2:$X$645,$B5)</f>
        <v>0</v>
      </c>
      <c r="I5" s="6">
        <f>SUMIFS('Margin Analysis'!$AH$2:$AH$645,'Margin Analysis'!$Y$2:$Y$645,$A5,'Margin Analysis'!$X$2:$X$645,$B5)</f>
        <v>0</v>
      </c>
      <c r="J5" s="6">
        <f>SUMIFS('Margin Analysis'!$AI$2:$AI$645,'Margin Analysis'!$Y$2:$Y$645,$A5,'Margin Analysis'!$X$2:$X$645,$B5)</f>
        <v>0</v>
      </c>
      <c r="K5" s="6">
        <f>SUMIFS('Margin Analysis'!$AJ$2:$AJ$645,'Margin Analysis'!$Y$2:$Y$645,$A5,'Margin Analysis'!$X$2:$X$645,$B5)</f>
        <v>0</v>
      </c>
      <c r="L5" s="6">
        <f t="shared" si="2"/>
        <v>0</v>
      </c>
      <c r="M5" s="6">
        <f t="shared" si="3"/>
        <v>0</v>
      </c>
      <c r="N5" s="7">
        <f t="shared" si="4"/>
        <v>0</v>
      </c>
      <c r="O5">
        <f>COUNTIFS('Margin Analysis'!$Y$2:$Y$645,$A5,'Margin Analysis'!$X$2:$X$645,$B5,'Margin Analysis'!$AN$2:$AN$645,"&lt;"&amp;Assumptions!$B$3)</f>
        <v>0</v>
      </c>
    </row>
    <row r="6" spans="1:15">
      <c r="A6" t="s">
        <v>28</v>
      </c>
      <c r="B6" t="s">
        <v>30</v>
      </c>
      <c r="C6">
        <f>COUNTIFS('Margin Analysis'!$Y$2:$Y$645,$A6,'Margin Analysis'!$X$2:$X$645,$B6)</f>
        <v>0</v>
      </c>
      <c r="D6" s="6">
        <f>SUMIFS('Margin Analysis'!$AB$2:$AB$645,'Margin Analysis'!$Y$2:$Y$645,$A6,'Margin Analysis'!$X$2:$X$645,$B6)</f>
        <v>0</v>
      </c>
      <c r="E6" s="6">
        <f>SUMIFS('Margin Analysis'!$AA$2:$AA$645,'Margin Analysis'!$Y$2:$Y$645,$A6,'Margin Analysis'!$X$2:$X$645,$B6)</f>
        <v>0</v>
      </c>
      <c r="F6" s="6">
        <f t="shared" si="0"/>
        <v>0</v>
      </c>
      <c r="G6" s="7">
        <f t="shared" si="1"/>
        <v>0</v>
      </c>
      <c r="H6" s="6">
        <f>SUMIFS('Margin Analysis'!$AG$2:$AG$645,'Margin Analysis'!$Y$2:$Y$645,$A6,'Margin Analysis'!$X$2:$X$645,$B6)</f>
        <v>0</v>
      </c>
      <c r="I6" s="6">
        <f>SUMIFS('Margin Analysis'!$AH$2:$AH$645,'Margin Analysis'!$Y$2:$Y$645,$A6,'Margin Analysis'!$X$2:$X$645,$B6)</f>
        <v>0</v>
      </c>
      <c r="J6" s="6">
        <f>SUMIFS('Margin Analysis'!$AI$2:$AI$645,'Margin Analysis'!$Y$2:$Y$645,$A6,'Margin Analysis'!$X$2:$X$645,$B6)</f>
        <v>0</v>
      </c>
      <c r="K6" s="6">
        <f>SUMIFS('Margin Analysis'!$AJ$2:$AJ$645,'Margin Analysis'!$Y$2:$Y$645,$A6,'Margin Analysis'!$X$2:$X$645,$B6)</f>
        <v>0</v>
      </c>
      <c r="L6" s="6">
        <f t="shared" si="2"/>
        <v>0</v>
      </c>
      <c r="M6" s="6">
        <f t="shared" si="3"/>
        <v>0</v>
      </c>
      <c r="N6" s="7">
        <f t="shared" si="4"/>
        <v>0</v>
      </c>
      <c r="O6">
        <f>COUNTIFS('Margin Analysis'!$Y$2:$Y$645,$A6,'Margin Analysis'!$X$2:$X$645,$B6,'Margin Analysis'!$AN$2:$AN$645,"&lt;"&amp;Assumptions!$B$3)</f>
        <v>0</v>
      </c>
    </row>
    <row r="7" spans="1:15">
      <c r="A7" t="s">
        <v>31</v>
      </c>
      <c r="B7" t="s">
        <v>30</v>
      </c>
      <c r="C7">
        <f>COUNTIFS('Margin Analysis'!$Y$2:$Y$645,$A7,'Margin Analysis'!$X$2:$X$645,$B7)</f>
        <v>0</v>
      </c>
      <c r="D7" s="6">
        <f>SUMIFS('Margin Analysis'!$AB$2:$AB$645,'Margin Analysis'!$Y$2:$Y$645,$A7,'Margin Analysis'!$X$2:$X$645,$B7)</f>
        <v>0</v>
      </c>
      <c r="E7" s="6">
        <f>SUMIFS('Margin Analysis'!$AA$2:$AA$645,'Margin Analysis'!$Y$2:$Y$645,$A7,'Margin Analysis'!$X$2:$X$645,$B7)</f>
        <v>0</v>
      </c>
      <c r="F7" s="6">
        <f t="shared" si="0"/>
        <v>0</v>
      </c>
      <c r="G7" s="7">
        <f t="shared" si="1"/>
        <v>0</v>
      </c>
      <c r="H7" s="6">
        <f>SUMIFS('Margin Analysis'!$AG$2:$AG$645,'Margin Analysis'!$Y$2:$Y$645,$A7,'Margin Analysis'!$X$2:$X$645,$B7)</f>
        <v>0</v>
      </c>
      <c r="I7" s="6">
        <f>SUMIFS('Margin Analysis'!$AH$2:$AH$645,'Margin Analysis'!$Y$2:$Y$645,$A7,'Margin Analysis'!$X$2:$X$645,$B7)</f>
        <v>0</v>
      </c>
      <c r="J7" s="6">
        <f>SUMIFS('Margin Analysis'!$AI$2:$AI$645,'Margin Analysis'!$Y$2:$Y$645,$A7,'Margin Analysis'!$X$2:$X$645,$B7)</f>
        <v>0</v>
      </c>
      <c r="K7" s="6">
        <f>SUMIFS('Margin Analysis'!$AJ$2:$AJ$645,'Margin Analysis'!$Y$2:$Y$645,$A7,'Margin Analysis'!$X$2:$X$645,$B7)</f>
        <v>0</v>
      </c>
      <c r="L7" s="6">
        <f t="shared" si="2"/>
        <v>0</v>
      </c>
      <c r="M7" s="6">
        <f t="shared" si="3"/>
        <v>0</v>
      </c>
      <c r="N7" s="7">
        <f t="shared" si="4"/>
        <v>0</v>
      </c>
      <c r="O7">
        <f>COUNTIFS('Margin Analysis'!$Y$2:$Y$645,$A7,'Margin Analysis'!$X$2:$X$645,$B7,'Margin Analysis'!$AN$2:$AN$645,"&lt;"&amp;Assumptions!$B$3)</f>
        <v>0</v>
      </c>
    </row>
    <row r="8" spans="1:15">
      <c r="A8" t="s">
        <v>32</v>
      </c>
      <c r="B8" t="s">
        <v>33</v>
      </c>
      <c r="C8">
        <f>SUM(C2:C7)</f>
        <v>0</v>
      </c>
      <c r="D8" s="6">
        <f>SUM(D2:D7)</f>
        <v>0</v>
      </c>
      <c r="E8" s="6">
        <f>SUM(E2:E7)</f>
        <v>0</v>
      </c>
      <c r="F8" s="6">
        <f>SUM(F2:F7)</f>
        <v>0</v>
      </c>
      <c r="G8" s="7">
        <f t="shared" si="1"/>
        <v>0</v>
      </c>
      <c r="H8" s="6">
        <f t="shared" ref="H8:M8" si="5">SUM(H2:H7)</f>
        <v>0</v>
      </c>
      <c r="I8" s="6">
        <f t="shared" si="5"/>
        <v>0</v>
      </c>
      <c r="J8" s="6">
        <f t="shared" si="5"/>
        <v>0</v>
      </c>
      <c r="K8" s="6">
        <f t="shared" si="5"/>
        <v>0</v>
      </c>
      <c r="L8" s="6">
        <f t="shared" si="5"/>
        <v>0</v>
      </c>
      <c r="M8" s="6">
        <f t="shared" si="5"/>
        <v>0</v>
      </c>
      <c r="N8" s="7">
        <f t="shared" si="4"/>
        <v>0</v>
      </c>
      <c r="O8">
        <f>SUM(O2:O7)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showGridLines="0" workbookViewId="0"/>
  </sheetViews>
  <sheetFormatPr baseColWidth="10" defaultColWidth="8.6640625" defaultRowHeight="15"/>
  <cols>
    <col min="1" max="1" width="16" customWidth="1"/>
    <col min="2" max="2" width="12" customWidth="1"/>
    <col min="3" max="3" width="19" customWidth="1"/>
    <col min="4" max="4" width="24" customWidth="1"/>
    <col min="5" max="5" width="19" customWidth="1"/>
    <col min="6" max="6" width="17" customWidth="1"/>
    <col min="7" max="7" width="21" customWidth="1"/>
    <col min="8" max="8" width="17" customWidth="1"/>
    <col min="9" max="9" width="15" customWidth="1"/>
    <col min="10" max="10" width="21" customWidth="1"/>
  </cols>
  <sheetData>
    <row r="1" spans="1:10">
      <c r="A1" s="5" t="s">
        <v>9</v>
      </c>
      <c r="B1" s="5" t="s">
        <v>11</v>
      </c>
      <c r="C1" s="5" t="s">
        <v>15</v>
      </c>
      <c r="D1" s="5" t="s">
        <v>16</v>
      </c>
      <c r="E1" s="5" t="s">
        <v>17</v>
      </c>
      <c r="F1" s="5" t="s">
        <v>13</v>
      </c>
      <c r="G1" s="5" t="s">
        <v>22</v>
      </c>
      <c r="H1" s="5" t="s">
        <v>23</v>
      </c>
      <c r="I1" s="5" t="s">
        <v>6</v>
      </c>
      <c r="J1" s="5" t="s">
        <v>8</v>
      </c>
    </row>
    <row r="2" spans="1:10">
      <c r="A2" t="s">
        <v>24</v>
      </c>
      <c r="B2">
        <f>COUNTIF('Margin Analysis'!$Y$2:$Y$645,A2)</f>
        <v>0</v>
      </c>
      <c r="C2" s="6">
        <f>SUMIF('Margin Analysis'!$Y$2:$Y$645,A2,'Margin Analysis'!$AB$2:$AB$645)</f>
        <v>0</v>
      </c>
      <c r="D2" s="6">
        <f>SUMIF('Margin Analysis'!$Y$2:$Y$645,A2,'Margin Analysis'!$AA$2:$AA$645)</f>
        <v>0</v>
      </c>
      <c r="E2" s="6">
        <f>D2-C2</f>
        <v>0</v>
      </c>
      <c r="F2" s="7">
        <f>IFERROR(E2/D2,0)</f>
        <v>0</v>
      </c>
      <c r="G2" s="6">
        <f>SUMIF('Margin Analysis'!$Y$2:$Y$645,A2,'Margin Analysis'!$AK$2:$AK$645)</f>
        <v>0</v>
      </c>
      <c r="H2" s="6">
        <f>SUMIF('Margin Analysis'!$Y$2:$Y$645,A2,'Margin Analysis'!$AM$2:$AM$645)</f>
        <v>0</v>
      </c>
      <c r="I2" s="7">
        <f>IFERROR(H2/D2,0)</f>
        <v>0</v>
      </c>
      <c r="J2">
        <f>COUNTIFS('Margin Analysis'!$Y$2:$Y$645,A2,'Margin Analysis'!$AN$2:$AN$645,"&lt;"&amp;Assumptions!$B$3)</f>
        <v>0</v>
      </c>
    </row>
    <row r="3" spans="1:10">
      <c r="A3" t="s">
        <v>28</v>
      </c>
      <c r="B3">
        <f>COUNTIF('Margin Analysis'!$Y$2:$Y$645,A3)</f>
        <v>0</v>
      </c>
      <c r="C3" s="6">
        <f>SUMIF('Margin Analysis'!$Y$2:$Y$645,A3,'Margin Analysis'!$AB$2:$AB$645)</f>
        <v>0</v>
      </c>
      <c r="D3" s="6">
        <f>SUMIF('Margin Analysis'!$Y$2:$Y$645,A3,'Margin Analysis'!$AA$2:$AA$645)</f>
        <v>0</v>
      </c>
      <c r="E3" s="6">
        <f>D3-C3</f>
        <v>0</v>
      </c>
      <c r="F3" s="7">
        <f>IFERROR(E3/D3,0)</f>
        <v>0</v>
      </c>
      <c r="G3" s="6">
        <f>SUMIF('Margin Analysis'!$Y$2:$Y$645,A3,'Margin Analysis'!$AK$2:$AK$645)</f>
        <v>0</v>
      </c>
      <c r="H3" s="6">
        <f>SUMIF('Margin Analysis'!$Y$2:$Y$645,A3,'Margin Analysis'!$AM$2:$AM$645)</f>
        <v>0</v>
      </c>
      <c r="I3" s="7">
        <f>IFERROR(H3/D3,0)</f>
        <v>0</v>
      </c>
      <c r="J3">
        <f>COUNTIFS('Margin Analysis'!$Y$2:$Y$645,A3,'Margin Analysis'!$AN$2:$AN$645,"&lt;"&amp;Assumptions!$B$3)</f>
        <v>0</v>
      </c>
    </row>
    <row r="4" spans="1:10">
      <c r="A4" t="s">
        <v>31</v>
      </c>
      <c r="B4">
        <f>COUNTIF('Margin Analysis'!$Y$2:$Y$645,A4)</f>
        <v>0</v>
      </c>
      <c r="C4" s="6">
        <f>SUMIF('Margin Analysis'!$Y$2:$Y$645,A4,'Margin Analysis'!$AB$2:$AB$645)</f>
        <v>0</v>
      </c>
      <c r="D4" s="6">
        <f>SUMIF('Margin Analysis'!$Y$2:$Y$645,A4,'Margin Analysis'!$AA$2:$AA$645)</f>
        <v>0</v>
      </c>
      <c r="E4" s="6">
        <f>D4-C4</f>
        <v>0</v>
      </c>
      <c r="F4" s="7">
        <f>IFERROR(E4/D4,0)</f>
        <v>0</v>
      </c>
      <c r="G4" s="6">
        <f>SUMIF('Margin Analysis'!$Y$2:$Y$645,A4,'Margin Analysis'!$AK$2:$AK$645)</f>
        <v>0</v>
      </c>
      <c r="H4" s="6">
        <f>SUMIF('Margin Analysis'!$Y$2:$Y$645,A4,'Margin Analysis'!$AM$2:$AM$645)</f>
        <v>0</v>
      </c>
      <c r="I4" s="7">
        <f>IFERROR(H4/D4,0)</f>
        <v>0</v>
      </c>
      <c r="J4">
        <f>COUNTIFS('Margin Analysis'!$Y$2:$Y$645,A4,'Margin Analysis'!$AN$2:$AN$645,"&lt;"&amp;Assumptions!$B$3)</f>
        <v>0</v>
      </c>
    </row>
    <row r="5" spans="1:10">
      <c r="A5" t="s">
        <v>33</v>
      </c>
      <c r="B5">
        <f>SUM(B2:B4)</f>
        <v>0</v>
      </c>
      <c r="C5" s="6">
        <f>SUM(C2:C4)</f>
        <v>0</v>
      </c>
      <c r="D5" s="6">
        <f>SUM(D2:D4)</f>
        <v>0</v>
      </c>
      <c r="E5" s="6">
        <f>SUM(E2:E4)</f>
        <v>0</v>
      </c>
      <c r="F5" s="7">
        <f>IFERROR(E5/D5,0)</f>
        <v>0</v>
      </c>
      <c r="G5" s="6">
        <f>SUM(G2:G4)</f>
        <v>0</v>
      </c>
      <c r="H5" s="6">
        <f>SUM(H2:H4)</f>
        <v>0</v>
      </c>
      <c r="I5" s="7">
        <f>IFERROR(H5/D5,0)</f>
        <v>0</v>
      </c>
      <c r="J5">
        <f>SUM(J2:J4)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8"/>
  <sheetViews>
    <sheetView showGridLines="0" workbookViewId="0"/>
  </sheetViews>
  <sheetFormatPr baseColWidth="10" defaultColWidth="8.6640625" defaultRowHeight="15"/>
  <cols>
    <col min="1" max="1" width="16" customWidth="1"/>
    <col min="2" max="2" width="15" customWidth="1"/>
    <col min="3" max="4" width="12" customWidth="1"/>
    <col min="5" max="5" width="19" customWidth="1"/>
    <col min="6" max="6" width="24" customWidth="1"/>
    <col min="7" max="7" width="19" customWidth="1"/>
    <col min="8" max="8" width="17" customWidth="1"/>
    <col min="9" max="9" width="21" customWidth="1"/>
    <col min="10" max="10" width="17" customWidth="1"/>
    <col min="11" max="11" width="15" customWidth="1"/>
    <col min="12" max="12" width="21" customWidth="1"/>
  </cols>
  <sheetData>
    <row r="1" spans="1:12">
      <c r="A1" s="5" t="s">
        <v>9</v>
      </c>
      <c r="B1" s="5" t="s">
        <v>10</v>
      </c>
      <c r="C1" s="5" t="s">
        <v>34</v>
      </c>
      <c r="D1" s="5" t="s">
        <v>11</v>
      </c>
      <c r="E1" s="5" t="s">
        <v>15</v>
      </c>
      <c r="F1" s="5" t="s">
        <v>16</v>
      </c>
      <c r="G1" s="5" t="s">
        <v>17</v>
      </c>
      <c r="H1" s="5" t="s">
        <v>13</v>
      </c>
      <c r="I1" s="5" t="s">
        <v>22</v>
      </c>
      <c r="J1" s="5" t="s">
        <v>23</v>
      </c>
      <c r="K1" s="5" t="s">
        <v>6</v>
      </c>
      <c r="L1" s="5" t="s">
        <v>8</v>
      </c>
    </row>
    <row r="2" spans="1:12">
      <c r="A2" t="s">
        <v>24</v>
      </c>
      <c r="B2" t="s">
        <v>25</v>
      </c>
      <c r="C2" t="s">
        <v>35</v>
      </c>
      <c r="D2">
        <f>COUNTIFS('Margin Analysis'!$Y$2:$Y$645,$A2,'Margin Analysis'!$X$2:$X$645,$B2,'Margin Analysis'!$B$2:$B$645,$C2)</f>
        <v>0</v>
      </c>
      <c r="E2" s="6">
        <f>SUMIFS('Margin Analysis'!$AB$2:$AB$645,'Margin Analysis'!$Y$2:$Y$645,$A2,'Margin Analysis'!$X$2:$X$645,$B2,'Margin Analysis'!$B$2:$B$645,$C2)</f>
        <v>0</v>
      </c>
      <c r="F2" s="6">
        <f>SUMIFS('Margin Analysis'!$AA$2:$AA$645,'Margin Analysis'!$Y$2:$Y$645,$A2,'Margin Analysis'!$X$2:$X$645,$B2,'Margin Analysis'!$B$2:$B$645,$C2)</f>
        <v>0</v>
      </c>
      <c r="G2" s="6">
        <f t="shared" ref="G2:G33" si="0">F2-E2</f>
        <v>0</v>
      </c>
      <c r="H2" s="7">
        <f t="shared" ref="H2:H33" si="1">IFERROR(G2/F2,0)</f>
        <v>0</v>
      </c>
      <c r="I2" s="6">
        <f>SUMIFS('Margin Analysis'!$AK$2:$AK$645,'Margin Analysis'!$Y$2:$Y$645,$A2,'Margin Analysis'!$X$2:$X$645,$B2,'Margin Analysis'!$B$2:$B$645,$C2)</f>
        <v>0</v>
      </c>
      <c r="J2" s="6">
        <f>SUMIFS('Margin Analysis'!$AM$2:$AM$645,'Margin Analysis'!$Y$2:$Y$645,$A2,'Margin Analysis'!$X$2:$X$645,$B2,'Margin Analysis'!$B$2:$B$645,$C2)</f>
        <v>0</v>
      </c>
      <c r="K2" s="7">
        <f t="shared" ref="K2:K33" si="2">IFERROR(J2/F2,0)</f>
        <v>0</v>
      </c>
      <c r="L2">
        <f>COUNTIFS('Margin Analysis'!$Y$2:$Y$645,$A2,'Margin Analysis'!$X$2:$X$645,$B2,'Margin Analysis'!$B$2:$B$645,$C2,'Margin Analysis'!$AN$2:$AN$645,"&lt;"&amp;Assumptions!$B$3)</f>
        <v>0</v>
      </c>
    </row>
    <row r="3" spans="1:12">
      <c r="A3" t="s">
        <v>24</v>
      </c>
      <c r="B3" t="s">
        <v>25</v>
      </c>
      <c r="C3" t="s">
        <v>36</v>
      </c>
      <c r="D3">
        <f>COUNTIFS('Margin Analysis'!$Y$2:$Y$645,$A3,'Margin Analysis'!$X$2:$X$645,$B3,'Margin Analysis'!$B$2:$B$645,$C3)</f>
        <v>0</v>
      </c>
      <c r="E3" s="6">
        <f>SUMIFS('Margin Analysis'!$AB$2:$AB$645,'Margin Analysis'!$Y$2:$Y$645,$A3,'Margin Analysis'!$X$2:$X$645,$B3,'Margin Analysis'!$B$2:$B$645,$C3)</f>
        <v>0</v>
      </c>
      <c r="F3" s="6">
        <f>SUMIFS('Margin Analysis'!$AA$2:$AA$645,'Margin Analysis'!$Y$2:$Y$645,$A3,'Margin Analysis'!$X$2:$X$645,$B3,'Margin Analysis'!$B$2:$B$645,$C3)</f>
        <v>0</v>
      </c>
      <c r="G3" s="6">
        <f t="shared" si="0"/>
        <v>0</v>
      </c>
      <c r="H3" s="7">
        <f t="shared" si="1"/>
        <v>0</v>
      </c>
      <c r="I3" s="6">
        <f>SUMIFS('Margin Analysis'!$AK$2:$AK$645,'Margin Analysis'!$Y$2:$Y$645,$A3,'Margin Analysis'!$X$2:$X$645,$B3,'Margin Analysis'!$B$2:$B$645,$C3)</f>
        <v>0</v>
      </c>
      <c r="J3" s="6">
        <f>SUMIFS('Margin Analysis'!$AM$2:$AM$645,'Margin Analysis'!$Y$2:$Y$645,$A3,'Margin Analysis'!$X$2:$X$645,$B3,'Margin Analysis'!$B$2:$B$645,$C3)</f>
        <v>0</v>
      </c>
      <c r="K3" s="7">
        <f t="shared" si="2"/>
        <v>0</v>
      </c>
      <c r="L3">
        <f>COUNTIFS('Margin Analysis'!$Y$2:$Y$645,$A3,'Margin Analysis'!$X$2:$X$645,$B3,'Margin Analysis'!$B$2:$B$645,$C3,'Margin Analysis'!$AN$2:$AN$645,"&lt;"&amp;Assumptions!$B$3)</f>
        <v>0</v>
      </c>
    </row>
    <row r="4" spans="1:12">
      <c r="A4" t="s">
        <v>24</v>
      </c>
      <c r="B4" t="s">
        <v>25</v>
      </c>
      <c r="C4" t="s">
        <v>37</v>
      </c>
      <c r="D4">
        <f>COUNTIFS('Margin Analysis'!$Y$2:$Y$645,$A4,'Margin Analysis'!$X$2:$X$645,$B4,'Margin Analysis'!$B$2:$B$645,$C4)</f>
        <v>0</v>
      </c>
      <c r="E4" s="6">
        <f>SUMIFS('Margin Analysis'!$AB$2:$AB$645,'Margin Analysis'!$Y$2:$Y$645,$A4,'Margin Analysis'!$X$2:$X$645,$B4,'Margin Analysis'!$B$2:$B$645,$C4)</f>
        <v>0</v>
      </c>
      <c r="F4" s="6">
        <f>SUMIFS('Margin Analysis'!$AA$2:$AA$645,'Margin Analysis'!$Y$2:$Y$645,$A4,'Margin Analysis'!$X$2:$X$645,$B4,'Margin Analysis'!$B$2:$B$645,$C4)</f>
        <v>0</v>
      </c>
      <c r="G4" s="6">
        <f t="shared" si="0"/>
        <v>0</v>
      </c>
      <c r="H4" s="7">
        <f t="shared" si="1"/>
        <v>0</v>
      </c>
      <c r="I4" s="6">
        <f>SUMIFS('Margin Analysis'!$AK$2:$AK$645,'Margin Analysis'!$Y$2:$Y$645,$A4,'Margin Analysis'!$X$2:$X$645,$B4,'Margin Analysis'!$B$2:$B$645,$C4)</f>
        <v>0</v>
      </c>
      <c r="J4" s="6">
        <f>SUMIFS('Margin Analysis'!$AM$2:$AM$645,'Margin Analysis'!$Y$2:$Y$645,$A4,'Margin Analysis'!$X$2:$X$645,$B4,'Margin Analysis'!$B$2:$B$645,$C4)</f>
        <v>0</v>
      </c>
      <c r="K4" s="7">
        <f t="shared" si="2"/>
        <v>0</v>
      </c>
      <c r="L4">
        <f>COUNTIFS('Margin Analysis'!$Y$2:$Y$645,$A4,'Margin Analysis'!$X$2:$X$645,$B4,'Margin Analysis'!$B$2:$B$645,$C4,'Margin Analysis'!$AN$2:$AN$645,"&lt;"&amp;Assumptions!$B$3)</f>
        <v>0</v>
      </c>
    </row>
    <row r="5" spans="1:12">
      <c r="A5" t="s">
        <v>24</v>
      </c>
      <c r="B5" t="s">
        <v>25</v>
      </c>
      <c r="C5" t="s">
        <v>38</v>
      </c>
      <c r="D5">
        <f>COUNTIFS('Margin Analysis'!$Y$2:$Y$645,$A5,'Margin Analysis'!$X$2:$X$645,$B5,'Margin Analysis'!$B$2:$B$645,$C5)</f>
        <v>0</v>
      </c>
      <c r="E5" s="6">
        <f>SUMIFS('Margin Analysis'!$AB$2:$AB$645,'Margin Analysis'!$Y$2:$Y$645,$A5,'Margin Analysis'!$X$2:$X$645,$B5,'Margin Analysis'!$B$2:$B$645,$C5)</f>
        <v>0</v>
      </c>
      <c r="F5" s="6">
        <f>SUMIFS('Margin Analysis'!$AA$2:$AA$645,'Margin Analysis'!$Y$2:$Y$645,$A5,'Margin Analysis'!$X$2:$X$645,$B5,'Margin Analysis'!$B$2:$B$645,$C5)</f>
        <v>0</v>
      </c>
      <c r="G5" s="6">
        <f t="shared" si="0"/>
        <v>0</v>
      </c>
      <c r="H5" s="7">
        <f t="shared" si="1"/>
        <v>0</v>
      </c>
      <c r="I5" s="6">
        <f>SUMIFS('Margin Analysis'!$AK$2:$AK$645,'Margin Analysis'!$Y$2:$Y$645,$A5,'Margin Analysis'!$X$2:$X$645,$B5,'Margin Analysis'!$B$2:$B$645,$C5)</f>
        <v>0</v>
      </c>
      <c r="J5" s="6">
        <f>SUMIFS('Margin Analysis'!$AM$2:$AM$645,'Margin Analysis'!$Y$2:$Y$645,$A5,'Margin Analysis'!$X$2:$X$645,$B5,'Margin Analysis'!$B$2:$B$645,$C5)</f>
        <v>0</v>
      </c>
      <c r="K5" s="7">
        <f t="shared" si="2"/>
        <v>0</v>
      </c>
      <c r="L5">
        <f>COUNTIFS('Margin Analysis'!$Y$2:$Y$645,$A5,'Margin Analysis'!$X$2:$X$645,$B5,'Margin Analysis'!$B$2:$B$645,$C5,'Margin Analysis'!$AN$2:$AN$645,"&lt;"&amp;Assumptions!$B$3)</f>
        <v>0</v>
      </c>
    </row>
    <row r="6" spans="1:12">
      <c r="A6" t="s">
        <v>24</v>
      </c>
      <c r="B6" t="s">
        <v>25</v>
      </c>
      <c r="C6" t="s">
        <v>39</v>
      </c>
      <c r="D6">
        <f>COUNTIFS('Margin Analysis'!$Y$2:$Y$645,$A6,'Margin Analysis'!$X$2:$X$645,$B6,'Margin Analysis'!$B$2:$B$645,$C6)</f>
        <v>0</v>
      </c>
      <c r="E6" s="6">
        <f>SUMIFS('Margin Analysis'!$AB$2:$AB$645,'Margin Analysis'!$Y$2:$Y$645,$A6,'Margin Analysis'!$X$2:$X$645,$B6,'Margin Analysis'!$B$2:$B$645,$C6)</f>
        <v>0</v>
      </c>
      <c r="F6" s="6">
        <f>SUMIFS('Margin Analysis'!$AA$2:$AA$645,'Margin Analysis'!$Y$2:$Y$645,$A6,'Margin Analysis'!$X$2:$X$645,$B6,'Margin Analysis'!$B$2:$B$645,$C6)</f>
        <v>0</v>
      </c>
      <c r="G6" s="6">
        <f t="shared" si="0"/>
        <v>0</v>
      </c>
      <c r="H6" s="7">
        <f t="shared" si="1"/>
        <v>0</v>
      </c>
      <c r="I6" s="6">
        <f>SUMIFS('Margin Analysis'!$AK$2:$AK$645,'Margin Analysis'!$Y$2:$Y$645,$A6,'Margin Analysis'!$X$2:$X$645,$B6,'Margin Analysis'!$B$2:$B$645,$C6)</f>
        <v>0</v>
      </c>
      <c r="J6" s="6">
        <f>SUMIFS('Margin Analysis'!$AM$2:$AM$645,'Margin Analysis'!$Y$2:$Y$645,$A6,'Margin Analysis'!$X$2:$X$645,$B6,'Margin Analysis'!$B$2:$B$645,$C6)</f>
        <v>0</v>
      </c>
      <c r="K6" s="7">
        <f t="shared" si="2"/>
        <v>0</v>
      </c>
      <c r="L6">
        <f>COUNTIFS('Margin Analysis'!$Y$2:$Y$645,$A6,'Margin Analysis'!$X$2:$X$645,$B6,'Margin Analysis'!$B$2:$B$645,$C6,'Margin Analysis'!$AN$2:$AN$645,"&lt;"&amp;Assumptions!$B$3)</f>
        <v>0</v>
      </c>
    </row>
    <row r="7" spans="1:12">
      <c r="A7" t="s">
        <v>24</v>
      </c>
      <c r="B7" t="s">
        <v>25</v>
      </c>
      <c r="C7" t="s">
        <v>40</v>
      </c>
      <c r="D7">
        <f>COUNTIFS('Margin Analysis'!$Y$2:$Y$645,$A7,'Margin Analysis'!$X$2:$X$645,$B7,'Margin Analysis'!$B$2:$B$645,$C7)</f>
        <v>0</v>
      </c>
      <c r="E7" s="6">
        <f>SUMIFS('Margin Analysis'!$AB$2:$AB$645,'Margin Analysis'!$Y$2:$Y$645,$A7,'Margin Analysis'!$X$2:$X$645,$B7,'Margin Analysis'!$B$2:$B$645,$C7)</f>
        <v>0</v>
      </c>
      <c r="F7" s="6">
        <f>SUMIFS('Margin Analysis'!$AA$2:$AA$645,'Margin Analysis'!$Y$2:$Y$645,$A7,'Margin Analysis'!$X$2:$X$645,$B7,'Margin Analysis'!$B$2:$B$645,$C7)</f>
        <v>0</v>
      </c>
      <c r="G7" s="6">
        <f t="shared" si="0"/>
        <v>0</v>
      </c>
      <c r="H7" s="7">
        <f t="shared" si="1"/>
        <v>0</v>
      </c>
      <c r="I7" s="6">
        <f>SUMIFS('Margin Analysis'!$AK$2:$AK$645,'Margin Analysis'!$Y$2:$Y$645,$A7,'Margin Analysis'!$X$2:$X$645,$B7,'Margin Analysis'!$B$2:$B$645,$C7)</f>
        <v>0</v>
      </c>
      <c r="J7" s="6">
        <f>SUMIFS('Margin Analysis'!$AM$2:$AM$645,'Margin Analysis'!$Y$2:$Y$645,$A7,'Margin Analysis'!$X$2:$X$645,$B7,'Margin Analysis'!$B$2:$B$645,$C7)</f>
        <v>0</v>
      </c>
      <c r="K7" s="7">
        <f t="shared" si="2"/>
        <v>0</v>
      </c>
      <c r="L7">
        <f>COUNTIFS('Margin Analysis'!$Y$2:$Y$645,$A7,'Margin Analysis'!$X$2:$X$645,$B7,'Margin Analysis'!$B$2:$B$645,$C7,'Margin Analysis'!$AN$2:$AN$645,"&lt;"&amp;Assumptions!$B$3)</f>
        <v>0</v>
      </c>
    </row>
    <row r="8" spans="1:12">
      <c r="A8" t="s">
        <v>24</v>
      </c>
      <c r="B8" t="s">
        <v>25</v>
      </c>
      <c r="C8" t="s">
        <v>41</v>
      </c>
      <c r="D8">
        <f>COUNTIFS('Margin Analysis'!$Y$2:$Y$645,$A8,'Margin Analysis'!$X$2:$X$645,$B8,'Margin Analysis'!$B$2:$B$645,$C8)</f>
        <v>0</v>
      </c>
      <c r="E8" s="6">
        <f>SUMIFS('Margin Analysis'!$AB$2:$AB$645,'Margin Analysis'!$Y$2:$Y$645,$A8,'Margin Analysis'!$X$2:$X$645,$B8,'Margin Analysis'!$B$2:$B$645,$C8)</f>
        <v>0</v>
      </c>
      <c r="F8" s="6">
        <f>SUMIFS('Margin Analysis'!$AA$2:$AA$645,'Margin Analysis'!$Y$2:$Y$645,$A8,'Margin Analysis'!$X$2:$X$645,$B8,'Margin Analysis'!$B$2:$B$645,$C8)</f>
        <v>0</v>
      </c>
      <c r="G8" s="6">
        <f t="shared" si="0"/>
        <v>0</v>
      </c>
      <c r="H8" s="7">
        <f t="shared" si="1"/>
        <v>0</v>
      </c>
      <c r="I8" s="6">
        <f>SUMIFS('Margin Analysis'!$AK$2:$AK$645,'Margin Analysis'!$Y$2:$Y$645,$A8,'Margin Analysis'!$X$2:$X$645,$B8,'Margin Analysis'!$B$2:$B$645,$C8)</f>
        <v>0</v>
      </c>
      <c r="J8" s="6">
        <f>SUMIFS('Margin Analysis'!$AM$2:$AM$645,'Margin Analysis'!$Y$2:$Y$645,$A8,'Margin Analysis'!$X$2:$X$645,$B8,'Margin Analysis'!$B$2:$B$645,$C8)</f>
        <v>0</v>
      </c>
      <c r="K8" s="7">
        <f t="shared" si="2"/>
        <v>0</v>
      </c>
      <c r="L8">
        <f>COUNTIFS('Margin Analysis'!$Y$2:$Y$645,$A8,'Margin Analysis'!$X$2:$X$645,$B8,'Margin Analysis'!$B$2:$B$645,$C8,'Margin Analysis'!$AN$2:$AN$645,"&lt;"&amp;Assumptions!$B$3)</f>
        <v>0</v>
      </c>
    </row>
    <row r="9" spans="1:12">
      <c r="A9" t="s">
        <v>24</v>
      </c>
      <c r="B9" t="s">
        <v>25</v>
      </c>
      <c r="C9" t="s">
        <v>42</v>
      </c>
      <c r="D9">
        <f>COUNTIFS('Margin Analysis'!$Y$2:$Y$645,$A9,'Margin Analysis'!$X$2:$X$645,$B9,'Margin Analysis'!$B$2:$B$645,$C9)</f>
        <v>0</v>
      </c>
      <c r="E9" s="6">
        <f>SUMIFS('Margin Analysis'!$AB$2:$AB$645,'Margin Analysis'!$Y$2:$Y$645,$A9,'Margin Analysis'!$X$2:$X$645,$B9,'Margin Analysis'!$B$2:$B$645,$C9)</f>
        <v>0</v>
      </c>
      <c r="F9" s="6">
        <f>SUMIFS('Margin Analysis'!$AA$2:$AA$645,'Margin Analysis'!$Y$2:$Y$645,$A9,'Margin Analysis'!$X$2:$X$645,$B9,'Margin Analysis'!$B$2:$B$645,$C9)</f>
        <v>0</v>
      </c>
      <c r="G9" s="6">
        <f t="shared" si="0"/>
        <v>0</v>
      </c>
      <c r="H9" s="7">
        <f t="shared" si="1"/>
        <v>0</v>
      </c>
      <c r="I9" s="6">
        <f>SUMIFS('Margin Analysis'!$AK$2:$AK$645,'Margin Analysis'!$Y$2:$Y$645,$A9,'Margin Analysis'!$X$2:$X$645,$B9,'Margin Analysis'!$B$2:$B$645,$C9)</f>
        <v>0</v>
      </c>
      <c r="J9" s="6">
        <f>SUMIFS('Margin Analysis'!$AM$2:$AM$645,'Margin Analysis'!$Y$2:$Y$645,$A9,'Margin Analysis'!$X$2:$X$645,$B9,'Margin Analysis'!$B$2:$B$645,$C9)</f>
        <v>0</v>
      </c>
      <c r="K9" s="7">
        <f t="shared" si="2"/>
        <v>0</v>
      </c>
      <c r="L9">
        <f>COUNTIFS('Margin Analysis'!$Y$2:$Y$645,$A9,'Margin Analysis'!$X$2:$X$645,$B9,'Margin Analysis'!$B$2:$B$645,$C9,'Margin Analysis'!$AN$2:$AN$645,"&lt;"&amp;Assumptions!$B$3)</f>
        <v>0</v>
      </c>
    </row>
    <row r="10" spans="1:12">
      <c r="A10" t="s">
        <v>24</v>
      </c>
      <c r="B10" t="s">
        <v>25</v>
      </c>
      <c r="C10" t="s">
        <v>43</v>
      </c>
      <c r="D10">
        <f>COUNTIFS('Margin Analysis'!$Y$2:$Y$645,$A10,'Margin Analysis'!$X$2:$X$645,$B10,'Margin Analysis'!$B$2:$B$645,$C10)</f>
        <v>0</v>
      </c>
      <c r="E10" s="6">
        <f>SUMIFS('Margin Analysis'!$AB$2:$AB$645,'Margin Analysis'!$Y$2:$Y$645,$A10,'Margin Analysis'!$X$2:$X$645,$B10,'Margin Analysis'!$B$2:$B$645,$C10)</f>
        <v>0</v>
      </c>
      <c r="F10" s="6">
        <f>SUMIFS('Margin Analysis'!$AA$2:$AA$645,'Margin Analysis'!$Y$2:$Y$645,$A10,'Margin Analysis'!$X$2:$X$645,$B10,'Margin Analysis'!$B$2:$B$645,$C10)</f>
        <v>0</v>
      </c>
      <c r="G10" s="6">
        <f t="shared" si="0"/>
        <v>0</v>
      </c>
      <c r="H10" s="7">
        <f t="shared" si="1"/>
        <v>0</v>
      </c>
      <c r="I10" s="6">
        <f>SUMIFS('Margin Analysis'!$AK$2:$AK$645,'Margin Analysis'!$Y$2:$Y$645,$A10,'Margin Analysis'!$X$2:$X$645,$B10,'Margin Analysis'!$B$2:$B$645,$C10)</f>
        <v>0</v>
      </c>
      <c r="J10" s="6">
        <f>SUMIFS('Margin Analysis'!$AM$2:$AM$645,'Margin Analysis'!$Y$2:$Y$645,$A10,'Margin Analysis'!$X$2:$X$645,$B10,'Margin Analysis'!$B$2:$B$645,$C10)</f>
        <v>0</v>
      </c>
      <c r="K10" s="7">
        <f t="shared" si="2"/>
        <v>0</v>
      </c>
      <c r="L10">
        <f>COUNTIFS('Margin Analysis'!$Y$2:$Y$645,$A10,'Margin Analysis'!$X$2:$X$645,$B10,'Margin Analysis'!$B$2:$B$645,$C10,'Margin Analysis'!$AN$2:$AN$645,"&lt;"&amp;Assumptions!$B$3)</f>
        <v>0</v>
      </c>
    </row>
    <row r="11" spans="1:12">
      <c r="A11" t="s">
        <v>24</v>
      </c>
      <c r="B11" t="s">
        <v>25</v>
      </c>
      <c r="C11" t="s">
        <v>44</v>
      </c>
      <c r="D11">
        <f>COUNTIFS('Margin Analysis'!$Y$2:$Y$645,$A11,'Margin Analysis'!$X$2:$X$645,$B11,'Margin Analysis'!$B$2:$B$645,$C11)</f>
        <v>0</v>
      </c>
      <c r="E11" s="6">
        <f>SUMIFS('Margin Analysis'!$AB$2:$AB$645,'Margin Analysis'!$Y$2:$Y$645,$A11,'Margin Analysis'!$X$2:$X$645,$B11,'Margin Analysis'!$B$2:$B$645,$C11)</f>
        <v>0</v>
      </c>
      <c r="F11" s="6">
        <f>SUMIFS('Margin Analysis'!$AA$2:$AA$645,'Margin Analysis'!$Y$2:$Y$645,$A11,'Margin Analysis'!$X$2:$X$645,$B11,'Margin Analysis'!$B$2:$B$645,$C11)</f>
        <v>0</v>
      </c>
      <c r="G11" s="6">
        <f t="shared" si="0"/>
        <v>0</v>
      </c>
      <c r="H11" s="7">
        <f t="shared" si="1"/>
        <v>0</v>
      </c>
      <c r="I11" s="6">
        <f>SUMIFS('Margin Analysis'!$AK$2:$AK$645,'Margin Analysis'!$Y$2:$Y$645,$A11,'Margin Analysis'!$X$2:$X$645,$B11,'Margin Analysis'!$B$2:$B$645,$C11)</f>
        <v>0</v>
      </c>
      <c r="J11" s="6">
        <f>SUMIFS('Margin Analysis'!$AM$2:$AM$645,'Margin Analysis'!$Y$2:$Y$645,$A11,'Margin Analysis'!$X$2:$X$645,$B11,'Margin Analysis'!$B$2:$B$645,$C11)</f>
        <v>0</v>
      </c>
      <c r="K11" s="7">
        <f t="shared" si="2"/>
        <v>0</v>
      </c>
      <c r="L11">
        <f>COUNTIFS('Margin Analysis'!$Y$2:$Y$645,$A11,'Margin Analysis'!$X$2:$X$645,$B11,'Margin Analysis'!$B$2:$B$645,$C11,'Margin Analysis'!$AN$2:$AN$645,"&lt;"&amp;Assumptions!$B$3)</f>
        <v>0</v>
      </c>
    </row>
    <row r="12" spans="1:12">
      <c r="A12" t="s">
        <v>24</v>
      </c>
      <c r="B12" t="s">
        <v>25</v>
      </c>
      <c r="C12" t="s">
        <v>45</v>
      </c>
      <c r="D12">
        <f>COUNTIFS('Margin Analysis'!$Y$2:$Y$645,$A12,'Margin Analysis'!$X$2:$X$645,$B12,'Margin Analysis'!$B$2:$B$645,$C12)</f>
        <v>0</v>
      </c>
      <c r="E12" s="6">
        <f>SUMIFS('Margin Analysis'!$AB$2:$AB$645,'Margin Analysis'!$Y$2:$Y$645,$A12,'Margin Analysis'!$X$2:$X$645,$B12,'Margin Analysis'!$B$2:$B$645,$C12)</f>
        <v>0</v>
      </c>
      <c r="F12" s="6">
        <f>SUMIFS('Margin Analysis'!$AA$2:$AA$645,'Margin Analysis'!$Y$2:$Y$645,$A12,'Margin Analysis'!$X$2:$X$645,$B12,'Margin Analysis'!$B$2:$B$645,$C12)</f>
        <v>0</v>
      </c>
      <c r="G12" s="6">
        <f t="shared" si="0"/>
        <v>0</v>
      </c>
      <c r="H12" s="7">
        <f t="shared" si="1"/>
        <v>0</v>
      </c>
      <c r="I12" s="6">
        <f>SUMIFS('Margin Analysis'!$AK$2:$AK$645,'Margin Analysis'!$Y$2:$Y$645,$A12,'Margin Analysis'!$X$2:$X$645,$B12,'Margin Analysis'!$B$2:$B$645,$C12)</f>
        <v>0</v>
      </c>
      <c r="J12" s="6">
        <f>SUMIFS('Margin Analysis'!$AM$2:$AM$645,'Margin Analysis'!$Y$2:$Y$645,$A12,'Margin Analysis'!$X$2:$X$645,$B12,'Margin Analysis'!$B$2:$B$645,$C12)</f>
        <v>0</v>
      </c>
      <c r="K12" s="7">
        <f t="shared" si="2"/>
        <v>0</v>
      </c>
      <c r="L12">
        <f>COUNTIFS('Margin Analysis'!$Y$2:$Y$645,$A12,'Margin Analysis'!$X$2:$X$645,$B12,'Margin Analysis'!$B$2:$B$645,$C12,'Margin Analysis'!$AN$2:$AN$645,"&lt;"&amp;Assumptions!$B$3)</f>
        <v>0</v>
      </c>
    </row>
    <row r="13" spans="1:12">
      <c r="A13" t="s">
        <v>24</v>
      </c>
      <c r="B13" t="s">
        <v>25</v>
      </c>
      <c r="C13" t="s">
        <v>46</v>
      </c>
      <c r="D13">
        <f>COUNTIFS('Margin Analysis'!$Y$2:$Y$645,$A13,'Margin Analysis'!$X$2:$X$645,$B13,'Margin Analysis'!$B$2:$B$645,$C13)</f>
        <v>0</v>
      </c>
      <c r="E13" s="6">
        <f>SUMIFS('Margin Analysis'!$AB$2:$AB$645,'Margin Analysis'!$Y$2:$Y$645,$A13,'Margin Analysis'!$X$2:$X$645,$B13,'Margin Analysis'!$B$2:$B$645,$C13)</f>
        <v>0</v>
      </c>
      <c r="F13" s="6">
        <f>SUMIFS('Margin Analysis'!$AA$2:$AA$645,'Margin Analysis'!$Y$2:$Y$645,$A13,'Margin Analysis'!$X$2:$X$645,$B13,'Margin Analysis'!$B$2:$B$645,$C13)</f>
        <v>0</v>
      </c>
      <c r="G13" s="6">
        <f t="shared" si="0"/>
        <v>0</v>
      </c>
      <c r="H13" s="7">
        <f t="shared" si="1"/>
        <v>0</v>
      </c>
      <c r="I13" s="6">
        <f>SUMIFS('Margin Analysis'!$AK$2:$AK$645,'Margin Analysis'!$Y$2:$Y$645,$A13,'Margin Analysis'!$X$2:$X$645,$B13,'Margin Analysis'!$B$2:$B$645,$C13)</f>
        <v>0</v>
      </c>
      <c r="J13" s="6">
        <f>SUMIFS('Margin Analysis'!$AM$2:$AM$645,'Margin Analysis'!$Y$2:$Y$645,$A13,'Margin Analysis'!$X$2:$X$645,$B13,'Margin Analysis'!$B$2:$B$645,$C13)</f>
        <v>0</v>
      </c>
      <c r="K13" s="7">
        <f t="shared" si="2"/>
        <v>0</v>
      </c>
      <c r="L13">
        <f>COUNTIFS('Margin Analysis'!$Y$2:$Y$645,$A13,'Margin Analysis'!$X$2:$X$645,$B13,'Margin Analysis'!$B$2:$B$645,$C13,'Margin Analysis'!$AN$2:$AN$645,"&lt;"&amp;Assumptions!$B$3)</f>
        <v>0</v>
      </c>
    </row>
    <row r="14" spans="1:12">
      <c r="A14" t="s">
        <v>24</v>
      </c>
      <c r="B14" t="s">
        <v>26</v>
      </c>
      <c r="C14" t="s">
        <v>35</v>
      </c>
      <c r="D14">
        <f>COUNTIFS('Margin Analysis'!$Y$2:$Y$645,$A14,'Margin Analysis'!$X$2:$X$645,$B14,'Margin Analysis'!$B$2:$B$645,$C14)</f>
        <v>0</v>
      </c>
      <c r="E14" s="6">
        <f>SUMIFS('Margin Analysis'!$AB$2:$AB$645,'Margin Analysis'!$Y$2:$Y$645,$A14,'Margin Analysis'!$X$2:$X$645,$B14,'Margin Analysis'!$B$2:$B$645,$C14)</f>
        <v>0</v>
      </c>
      <c r="F14" s="6">
        <f>SUMIFS('Margin Analysis'!$AA$2:$AA$645,'Margin Analysis'!$Y$2:$Y$645,$A14,'Margin Analysis'!$X$2:$X$645,$B14,'Margin Analysis'!$B$2:$B$645,$C14)</f>
        <v>0</v>
      </c>
      <c r="G14" s="6">
        <f t="shared" si="0"/>
        <v>0</v>
      </c>
      <c r="H14" s="7">
        <f t="shared" si="1"/>
        <v>0</v>
      </c>
      <c r="I14" s="6">
        <f>SUMIFS('Margin Analysis'!$AK$2:$AK$645,'Margin Analysis'!$Y$2:$Y$645,$A14,'Margin Analysis'!$X$2:$X$645,$B14,'Margin Analysis'!$B$2:$B$645,$C14)</f>
        <v>0</v>
      </c>
      <c r="J14" s="6">
        <f>SUMIFS('Margin Analysis'!$AM$2:$AM$645,'Margin Analysis'!$Y$2:$Y$645,$A14,'Margin Analysis'!$X$2:$X$645,$B14,'Margin Analysis'!$B$2:$B$645,$C14)</f>
        <v>0</v>
      </c>
      <c r="K14" s="7">
        <f t="shared" si="2"/>
        <v>0</v>
      </c>
      <c r="L14">
        <f>COUNTIFS('Margin Analysis'!$Y$2:$Y$645,$A14,'Margin Analysis'!$X$2:$X$645,$B14,'Margin Analysis'!$B$2:$B$645,$C14,'Margin Analysis'!$AN$2:$AN$645,"&lt;"&amp;Assumptions!$B$3)</f>
        <v>0</v>
      </c>
    </row>
    <row r="15" spans="1:12">
      <c r="A15" t="s">
        <v>24</v>
      </c>
      <c r="B15" t="s">
        <v>26</v>
      </c>
      <c r="C15" t="s">
        <v>36</v>
      </c>
      <c r="D15">
        <f>COUNTIFS('Margin Analysis'!$Y$2:$Y$645,$A15,'Margin Analysis'!$X$2:$X$645,$B15,'Margin Analysis'!$B$2:$B$645,$C15)</f>
        <v>0</v>
      </c>
      <c r="E15" s="6">
        <f>SUMIFS('Margin Analysis'!$AB$2:$AB$645,'Margin Analysis'!$Y$2:$Y$645,$A15,'Margin Analysis'!$X$2:$X$645,$B15,'Margin Analysis'!$B$2:$B$645,$C15)</f>
        <v>0</v>
      </c>
      <c r="F15" s="6">
        <f>SUMIFS('Margin Analysis'!$AA$2:$AA$645,'Margin Analysis'!$Y$2:$Y$645,$A15,'Margin Analysis'!$X$2:$X$645,$B15,'Margin Analysis'!$B$2:$B$645,$C15)</f>
        <v>0</v>
      </c>
      <c r="G15" s="6">
        <f t="shared" si="0"/>
        <v>0</v>
      </c>
      <c r="H15" s="7">
        <f t="shared" si="1"/>
        <v>0</v>
      </c>
      <c r="I15" s="6">
        <f>SUMIFS('Margin Analysis'!$AK$2:$AK$645,'Margin Analysis'!$Y$2:$Y$645,$A15,'Margin Analysis'!$X$2:$X$645,$B15,'Margin Analysis'!$B$2:$B$645,$C15)</f>
        <v>0</v>
      </c>
      <c r="J15" s="6">
        <f>SUMIFS('Margin Analysis'!$AM$2:$AM$645,'Margin Analysis'!$Y$2:$Y$645,$A15,'Margin Analysis'!$X$2:$X$645,$B15,'Margin Analysis'!$B$2:$B$645,$C15)</f>
        <v>0</v>
      </c>
      <c r="K15" s="7">
        <f t="shared" si="2"/>
        <v>0</v>
      </c>
      <c r="L15">
        <f>COUNTIFS('Margin Analysis'!$Y$2:$Y$645,$A15,'Margin Analysis'!$X$2:$X$645,$B15,'Margin Analysis'!$B$2:$B$645,$C15,'Margin Analysis'!$AN$2:$AN$645,"&lt;"&amp;Assumptions!$B$3)</f>
        <v>0</v>
      </c>
    </row>
    <row r="16" spans="1:12">
      <c r="A16" t="s">
        <v>24</v>
      </c>
      <c r="B16" t="s">
        <v>26</v>
      </c>
      <c r="C16" t="s">
        <v>37</v>
      </c>
      <c r="D16">
        <f>COUNTIFS('Margin Analysis'!$Y$2:$Y$645,$A16,'Margin Analysis'!$X$2:$X$645,$B16,'Margin Analysis'!$B$2:$B$645,$C16)</f>
        <v>0</v>
      </c>
      <c r="E16" s="6">
        <f>SUMIFS('Margin Analysis'!$AB$2:$AB$645,'Margin Analysis'!$Y$2:$Y$645,$A16,'Margin Analysis'!$X$2:$X$645,$B16,'Margin Analysis'!$B$2:$B$645,$C16)</f>
        <v>0</v>
      </c>
      <c r="F16" s="6">
        <f>SUMIFS('Margin Analysis'!$AA$2:$AA$645,'Margin Analysis'!$Y$2:$Y$645,$A16,'Margin Analysis'!$X$2:$X$645,$B16,'Margin Analysis'!$B$2:$B$645,$C16)</f>
        <v>0</v>
      </c>
      <c r="G16" s="6">
        <f t="shared" si="0"/>
        <v>0</v>
      </c>
      <c r="H16" s="7">
        <f t="shared" si="1"/>
        <v>0</v>
      </c>
      <c r="I16" s="6">
        <f>SUMIFS('Margin Analysis'!$AK$2:$AK$645,'Margin Analysis'!$Y$2:$Y$645,$A16,'Margin Analysis'!$X$2:$X$645,$B16,'Margin Analysis'!$B$2:$B$645,$C16)</f>
        <v>0</v>
      </c>
      <c r="J16" s="6">
        <f>SUMIFS('Margin Analysis'!$AM$2:$AM$645,'Margin Analysis'!$Y$2:$Y$645,$A16,'Margin Analysis'!$X$2:$X$645,$B16,'Margin Analysis'!$B$2:$B$645,$C16)</f>
        <v>0</v>
      </c>
      <c r="K16" s="7">
        <f t="shared" si="2"/>
        <v>0</v>
      </c>
      <c r="L16">
        <f>COUNTIFS('Margin Analysis'!$Y$2:$Y$645,$A16,'Margin Analysis'!$X$2:$X$645,$B16,'Margin Analysis'!$B$2:$B$645,$C16,'Margin Analysis'!$AN$2:$AN$645,"&lt;"&amp;Assumptions!$B$3)</f>
        <v>0</v>
      </c>
    </row>
    <row r="17" spans="1:12">
      <c r="A17" t="s">
        <v>24</v>
      </c>
      <c r="B17" t="s">
        <v>26</v>
      </c>
      <c r="C17" t="s">
        <v>38</v>
      </c>
      <c r="D17">
        <f>COUNTIFS('Margin Analysis'!$Y$2:$Y$645,$A17,'Margin Analysis'!$X$2:$X$645,$B17,'Margin Analysis'!$B$2:$B$645,$C17)</f>
        <v>0</v>
      </c>
      <c r="E17" s="6">
        <f>SUMIFS('Margin Analysis'!$AB$2:$AB$645,'Margin Analysis'!$Y$2:$Y$645,$A17,'Margin Analysis'!$X$2:$X$645,$B17,'Margin Analysis'!$B$2:$B$645,$C17)</f>
        <v>0</v>
      </c>
      <c r="F17" s="6">
        <f>SUMIFS('Margin Analysis'!$AA$2:$AA$645,'Margin Analysis'!$Y$2:$Y$645,$A17,'Margin Analysis'!$X$2:$X$645,$B17,'Margin Analysis'!$B$2:$B$645,$C17)</f>
        <v>0</v>
      </c>
      <c r="G17" s="6">
        <f t="shared" si="0"/>
        <v>0</v>
      </c>
      <c r="H17" s="7">
        <f t="shared" si="1"/>
        <v>0</v>
      </c>
      <c r="I17" s="6">
        <f>SUMIFS('Margin Analysis'!$AK$2:$AK$645,'Margin Analysis'!$Y$2:$Y$645,$A17,'Margin Analysis'!$X$2:$X$645,$B17,'Margin Analysis'!$B$2:$B$645,$C17)</f>
        <v>0</v>
      </c>
      <c r="J17" s="6">
        <f>SUMIFS('Margin Analysis'!$AM$2:$AM$645,'Margin Analysis'!$Y$2:$Y$645,$A17,'Margin Analysis'!$X$2:$X$645,$B17,'Margin Analysis'!$B$2:$B$645,$C17)</f>
        <v>0</v>
      </c>
      <c r="K17" s="7">
        <f t="shared" si="2"/>
        <v>0</v>
      </c>
      <c r="L17">
        <f>COUNTIFS('Margin Analysis'!$Y$2:$Y$645,$A17,'Margin Analysis'!$X$2:$X$645,$B17,'Margin Analysis'!$B$2:$B$645,$C17,'Margin Analysis'!$AN$2:$AN$645,"&lt;"&amp;Assumptions!$B$3)</f>
        <v>0</v>
      </c>
    </row>
    <row r="18" spans="1:12">
      <c r="A18" t="s">
        <v>24</v>
      </c>
      <c r="B18" t="s">
        <v>26</v>
      </c>
      <c r="C18" t="s">
        <v>39</v>
      </c>
      <c r="D18">
        <f>COUNTIFS('Margin Analysis'!$Y$2:$Y$645,$A18,'Margin Analysis'!$X$2:$X$645,$B18,'Margin Analysis'!$B$2:$B$645,$C18)</f>
        <v>0</v>
      </c>
      <c r="E18" s="6">
        <f>SUMIFS('Margin Analysis'!$AB$2:$AB$645,'Margin Analysis'!$Y$2:$Y$645,$A18,'Margin Analysis'!$X$2:$X$645,$B18,'Margin Analysis'!$B$2:$B$645,$C18)</f>
        <v>0</v>
      </c>
      <c r="F18" s="6">
        <f>SUMIFS('Margin Analysis'!$AA$2:$AA$645,'Margin Analysis'!$Y$2:$Y$645,$A18,'Margin Analysis'!$X$2:$X$645,$B18,'Margin Analysis'!$B$2:$B$645,$C18)</f>
        <v>0</v>
      </c>
      <c r="G18" s="6">
        <f t="shared" si="0"/>
        <v>0</v>
      </c>
      <c r="H18" s="7">
        <f t="shared" si="1"/>
        <v>0</v>
      </c>
      <c r="I18" s="6">
        <f>SUMIFS('Margin Analysis'!$AK$2:$AK$645,'Margin Analysis'!$Y$2:$Y$645,$A18,'Margin Analysis'!$X$2:$X$645,$B18,'Margin Analysis'!$B$2:$B$645,$C18)</f>
        <v>0</v>
      </c>
      <c r="J18" s="6">
        <f>SUMIFS('Margin Analysis'!$AM$2:$AM$645,'Margin Analysis'!$Y$2:$Y$645,$A18,'Margin Analysis'!$X$2:$X$645,$B18,'Margin Analysis'!$B$2:$B$645,$C18)</f>
        <v>0</v>
      </c>
      <c r="K18" s="7">
        <f t="shared" si="2"/>
        <v>0</v>
      </c>
      <c r="L18">
        <f>COUNTIFS('Margin Analysis'!$Y$2:$Y$645,$A18,'Margin Analysis'!$X$2:$X$645,$B18,'Margin Analysis'!$B$2:$B$645,$C18,'Margin Analysis'!$AN$2:$AN$645,"&lt;"&amp;Assumptions!$B$3)</f>
        <v>0</v>
      </c>
    </row>
    <row r="19" spans="1:12">
      <c r="A19" t="s">
        <v>24</v>
      </c>
      <c r="B19" t="s">
        <v>26</v>
      </c>
      <c r="C19" t="s">
        <v>40</v>
      </c>
      <c r="D19">
        <f>COUNTIFS('Margin Analysis'!$Y$2:$Y$645,$A19,'Margin Analysis'!$X$2:$X$645,$B19,'Margin Analysis'!$B$2:$B$645,$C19)</f>
        <v>0</v>
      </c>
      <c r="E19" s="6">
        <f>SUMIFS('Margin Analysis'!$AB$2:$AB$645,'Margin Analysis'!$Y$2:$Y$645,$A19,'Margin Analysis'!$X$2:$X$645,$B19,'Margin Analysis'!$B$2:$B$645,$C19)</f>
        <v>0</v>
      </c>
      <c r="F19" s="6">
        <f>SUMIFS('Margin Analysis'!$AA$2:$AA$645,'Margin Analysis'!$Y$2:$Y$645,$A19,'Margin Analysis'!$X$2:$X$645,$B19,'Margin Analysis'!$B$2:$B$645,$C19)</f>
        <v>0</v>
      </c>
      <c r="G19" s="6">
        <f t="shared" si="0"/>
        <v>0</v>
      </c>
      <c r="H19" s="7">
        <f t="shared" si="1"/>
        <v>0</v>
      </c>
      <c r="I19" s="6">
        <f>SUMIFS('Margin Analysis'!$AK$2:$AK$645,'Margin Analysis'!$Y$2:$Y$645,$A19,'Margin Analysis'!$X$2:$X$645,$B19,'Margin Analysis'!$B$2:$B$645,$C19)</f>
        <v>0</v>
      </c>
      <c r="J19" s="6">
        <f>SUMIFS('Margin Analysis'!$AM$2:$AM$645,'Margin Analysis'!$Y$2:$Y$645,$A19,'Margin Analysis'!$X$2:$X$645,$B19,'Margin Analysis'!$B$2:$B$645,$C19)</f>
        <v>0</v>
      </c>
      <c r="K19" s="7">
        <f t="shared" si="2"/>
        <v>0</v>
      </c>
      <c r="L19">
        <f>COUNTIFS('Margin Analysis'!$Y$2:$Y$645,$A19,'Margin Analysis'!$X$2:$X$645,$B19,'Margin Analysis'!$B$2:$B$645,$C19,'Margin Analysis'!$AN$2:$AN$645,"&lt;"&amp;Assumptions!$B$3)</f>
        <v>0</v>
      </c>
    </row>
    <row r="20" spans="1:12">
      <c r="A20" t="s">
        <v>24</v>
      </c>
      <c r="B20" t="s">
        <v>26</v>
      </c>
      <c r="C20" t="s">
        <v>41</v>
      </c>
      <c r="D20">
        <f>COUNTIFS('Margin Analysis'!$Y$2:$Y$645,$A20,'Margin Analysis'!$X$2:$X$645,$B20,'Margin Analysis'!$B$2:$B$645,$C20)</f>
        <v>0</v>
      </c>
      <c r="E20" s="6">
        <f>SUMIFS('Margin Analysis'!$AB$2:$AB$645,'Margin Analysis'!$Y$2:$Y$645,$A20,'Margin Analysis'!$X$2:$X$645,$B20,'Margin Analysis'!$B$2:$B$645,$C20)</f>
        <v>0</v>
      </c>
      <c r="F20" s="6">
        <f>SUMIFS('Margin Analysis'!$AA$2:$AA$645,'Margin Analysis'!$Y$2:$Y$645,$A20,'Margin Analysis'!$X$2:$X$645,$B20,'Margin Analysis'!$B$2:$B$645,$C20)</f>
        <v>0</v>
      </c>
      <c r="G20" s="6">
        <f t="shared" si="0"/>
        <v>0</v>
      </c>
      <c r="H20" s="7">
        <f t="shared" si="1"/>
        <v>0</v>
      </c>
      <c r="I20" s="6">
        <f>SUMIFS('Margin Analysis'!$AK$2:$AK$645,'Margin Analysis'!$Y$2:$Y$645,$A20,'Margin Analysis'!$X$2:$X$645,$B20,'Margin Analysis'!$B$2:$B$645,$C20)</f>
        <v>0</v>
      </c>
      <c r="J20" s="6">
        <f>SUMIFS('Margin Analysis'!$AM$2:$AM$645,'Margin Analysis'!$Y$2:$Y$645,$A20,'Margin Analysis'!$X$2:$X$645,$B20,'Margin Analysis'!$B$2:$B$645,$C20)</f>
        <v>0</v>
      </c>
      <c r="K20" s="7">
        <f t="shared" si="2"/>
        <v>0</v>
      </c>
      <c r="L20">
        <f>COUNTIFS('Margin Analysis'!$Y$2:$Y$645,$A20,'Margin Analysis'!$X$2:$X$645,$B20,'Margin Analysis'!$B$2:$B$645,$C20,'Margin Analysis'!$AN$2:$AN$645,"&lt;"&amp;Assumptions!$B$3)</f>
        <v>0</v>
      </c>
    </row>
    <row r="21" spans="1:12">
      <c r="A21" t="s">
        <v>24</v>
      </c>
      <c r="B21" t="s">
        <v>26</v>
      </c>
      <c r="C21" t="s">
        <v>42</v>
      </c>
      <c r="D21">
        <f>COUNTIFS('Margin Analysis'!$Y$2:$Y$645,$A21,'Margin Analysis'!$X$2:$X$645,$B21,'Margin Analysis'!$B$2:$B$645,$C21)</f>
        <v>0</v>
      </c>
      <c r="E21" s="6">
        <f>SUMIFS('Margin Analysis'!$AB$2:$AB$645,'Margin Analysis'!$Y$2:$Y$645,$A21,'Margin Analysis'!$X$2:$X$645,$B21,'Margin Analysis'!$B$2:$B$645,$C21)</f>
        <v>0</v>
      </c>
      <c r="F21" s="6">
        <f>SUMIFS('Margin Analysis'!$AA$2:$AA$645,'Margin Analysis'!$Y$2:$Y$645,$A21,'Margin Analysis'!$X$2:$X$645,$B21,'Margin Analysis'!$B$2:$B$645,$C21)</f>
        <v>0</v>
      </c>
      <c r="G21" s="6">
        <f t="shared" si="0"/>
        <v>0</v>
      </c>
      <c r="H21" s="7">
        <f t="shared" si="1"/>
        <v>0</v>
      </c>
      <c r="I21" s="6">
        <f>SUMIFS('Margin Analysis'!$AK$2:$AK$645,'Margin Analysis'!$Y$2:$Y$645,$A21,'Margin Analysis'!$X$2:$X$645,$B21,'Margin Analysis'!$B$2:$B$645,$C21)</f>
        <v>0</v>
      </c>
      <c r="J21" s="6">
        <f>SUMIFS('Margin Analysis'!$AM$2:$AM$645,'Margin Analysis'!$Y$2:$Y$645,$A21,'Margin Analysis'!$X$2:$X$645,$B21,'Margin Analysis'!$B$2:$B$645,$C21)</f>
        <v>0</v>
      </c>
      <c r="K21" s="7">
        <f t="shared" si="2"/>
        <v>0</v>
      </c>
      <c r="L21">
        <f>COUNTIFS('Margin Analysis'!$Y$2:$Y$645,$A21,'Margin Analysis'!$X$2:$X$645,$B21,'Margin Analysis'!$B$2:$B$645,$C21,'Margin Analysis'!$AN$2:$AN$645,"&lt;"&amp;Assumptions!$B$3)</f>
        <v>0</v>
      </c>
    </row>
    <row r="22" spans="1:12">
      <c r="A22" t="s">
        <v>24</v>
      </c>
      <c r="B22" t="s">
        <v>26</v>
      </c>
      <c r="C22" t="s">
        <v>43</v>
      </c>
      <c r="D22">
        <f>COUNTIFS('Margin Analysis'!$Y$2:$Y$645,$A22,'Margin Analysis'!$X$2:$X$645,$B22,'Margin Analysis'!$B$2:$B$645,$C22)</f>
        <v>0</v>
      </c>
      <c r="E22" s="6">
        <f>SUMIFS('Margin Analysis'!$AB$2:$AB$645,'Margin Analysis'!$Y$2:$Y$645,$A22,'Margin Analysis'!$X$2:$X$645,$B22,'Margin Analysis'!$B$2:$B$645,$C22)</f>
        <v>0</v>
      </c>
      <c r="F22" s="6">
        <f>SUMIFS('Margin Analysis'!$AA$2:$AA$645,'Margin Analysis'!$Y$2:$Y$645,$A22,'Margin Analysis'!$X$2:$X$645,$B22,'Margin Analysis'!$B$2:$B$645,$C22)</f>
        <v>0</v>
      </c>
      <c r="G22" s="6">
        <f t="shared" si="0"/>
        <v>0</v>
      </c>
      <c r="H22" s="7">
        <f t="shared" si="1"/>
        <v>0</v>
      </c>
      <c r="I22" s="6">
        <f>SUMIFS('Margin Analysis'!$AK$2:$AK$645,'Margin Analysis'!$Y$2:$Y$645,$A22,'Margin Analysis'!$X$2:$X$645,$B22,'Margin Analysis'!$B$2:$B$645,$C22)</f>
        <v>0</v>
      </c>
      <c r="J22" s="6">
        <f>SUMIFS('Margin Analysis'!$AM$2:$AM$645,'Margin Analysis'!$Y$2:$Y$645,$A22,'Margin Analysis'!$X$2:$X$645,$B22,'Margin Analysis'!$B$2:$B$645,$C22)</f>
        <v>0</v>
      </c>
      <c r="K22" s="7">
        <f t="shared" si="2"/>
        <v>0</v>
      </c>
      <c r="L22">
        <f>COUNTIFS('Margin Analysis'!$Y$2:$Y$645,$A22,'Margin Analysis'!$X$2:$X$645,$B22,'Margin Analysis'!$B$2:$B$645,$C22,'Margin Analysis'!$AN$2:$AN$645,"&lt;"&amp;Assumptions!$B$3)</f>
        <v>0</v>
      </c>
    </row>
    <row r="23" spans="1:12">
      <c r="A23" t="s">
        <v>24</v>
      </c>
      <c r="B23" t="s">
        <v>26</v>
      </c>
      <c r="C23" t="s">
        <v>44</v>
      </c>
      <c r="D23">
        <f>COUNTIFS('Margin Analysis'!$Y$2:$Y$645,$A23,'Margin Analysis'!$X$2:$X$645,$B23,'Margin Analysis'!$B$2:$B$645,$C23)</f>
        <v>0</v>
      </c>
      <c r="E23" s="6">
        <f>SUMIFS('Margin Analysis'!$AB$2:$AB$645,'Margin Analysis'!$Y$2:$Y$645,$A23,'Margin Analysis'!$X$2:$X$645,$B23,'Margin Analysis'!$B$2:$B$645,$C23)</f>
        <v>0</v>
      </c>
      <c r="F23" s="6">
        <f>SUMIFS('Margin Analysis'!$AA$2:$AA$645,'Margin Analysis'!$Y$2:$Y$645,$A23,'Margin Analysis'!$X$2:$X$645,$B23,'Margin Analysis'!$B$2:$B$645,$C23)</f>
        <v>0</v>
      </c>
      <c r="G23" s="6">
        <f t="shared" si="0"/>
        <v>0</v>
      </c>
      <c r="H23" s="7">
        <f t="shared" si="1"/>
        <v>0</v>
      </c>
      <c r="I23" s="6">
        <f>SUMIFS('Margin Analysis'!$AK$2:$AK$645,'Margin Analysis'!$Y$2:$Y$645,$A23,'Margin Analysis'!$X$2:$X$645,$B23,'Margin Analysis'!$B$2:$B$645,$C23)</f>
        <v>0</v>
      </c>
      <c r="J23" s="6">
        <f>SUMIFS('Margin Analysis'!$AM$2:$AM$645,'Margin Analysis'!$Y$2:$Y$645,$A23,'Margin Analysis'!$X$2:$X$645,$B23,'Margin Analysis'!$B$2:$B$645,$C23)</f>
        <v>0</v>
      </c>
      <c r="K23" s="7">
        <f t="shared" si="2"/>
        <v>0</v>
      </c>
      <c r="L23">
        <f>COUNTIFS('Margin Analysis'!$Y$2:$Y$645,$A23,'Margin Analysis'!$X$2:$X$645,$B23,'Margin Analysis'!$B$2:$B$645,$C23,'Margin Analysis'!$AN$2:$AN$645,"&lt;"&amp;Assumptions!$B$3)</f>
        <v>0</v>
      </c>
    </row>
    <row r="24" spans="1:12">
      <c r="A24" t="s">
        <v>24</v>
      </c>
      <c r="B24" t="s">
        <v>26</v>
      </c>
      <c r="C24" t="s">
        <v>45</v>
      </c>
      <c r="D24">
        <f>COUNTIFS('Margin Analysis'!$Y$2:$Y$645,$A24,'Margin Analysis'!$X$2:$X$645,$B24,'Margin Analysis'!$B$2:$B$645,$C24)</f>
        <v>0</v>
      </c>
      <c r="E24" s="6">
        <f>SUMIFS('Margin Analysis'!$AB$2:$AB$645,'Margin Analysis'!$Y$2:$Y$645,$A24,'Margin Analysis'!$X$2:$X$645,$B24,'Margin Analysis'!$B$2:$B$645,$C24)</f>
        <v>0</v>
      </c>
      <c r="F24" s="6">
        <f>SUMIFS('Margin Analysis'!$AA$2:$AA$645,'Margin Analysis'!$Y$2:$Y$645,$A24,'Margin Analysis'!$X$2:$X$645,$B24,'Margin Analysis'!$B$2:$B$645,$C24)</f>
        <v>0</v>
      </c>
      <c r="G24" s="6">
        <f t="shared" si="0"/>
        <v>0</v>
      </c>
      <c r="H24" s="7">
        <f t="shared" si="1"/>
        <v>0</v>
      </c>
      <c r="I24" s="6">
        <f>SUMIFS('Margin Analysis'!$AK$2:$AK$645,'Margin Analysis'!$Y$2:$Y$645,$A24,'Margin Analysis'!$X$2:$X$645,$B24,'Margin Analysis'!$B$2:$B$645,$C24)</f>
        <v>0</v>
      </c>
      <c r="J24" s="6">
        <f>SUMIFS('Margin Analysis'!$AM$2:$AM$645,'Margin Analysis'!$Y$2:$Y$645,$A24,'Margin Analysis'!$X$2:$X$645,$B24,'Margin Analysis'!$B$2:$B$645,$C24)</f>
        <v>0</v>
      </c>
      <c r="K24" s="7">
        <f t="shared" si="2"/>
        <v>0</v>
      </c>
      <c r="L24">
        <f>COUNTIFS('Margin Analysis'!$Y$2:$Y$645,$A24,'Margin Analysis'!$X$2:$X$645,$B24,'Margin Analysis'!$B$2:$B$645,$C24,'Margin Analysis'!$AN$2:$AN$645,"&lt;"&amp;Assumptions!$B$3)</f>
        <v>0</v>
      </c>
    </row>
    <row r="25" spans="1:12">
      <c r="A25" t="s">
        <v>24</v>
      </c>
      <c r="B25" t="s">
        <v>26</v>
      </c>
      <c r="C25" t="s">
        <v>46</v>
      </c>
      <c r="D25">
        <f>COUNTIFS('Margin Analysis'!$Y$2:$Y$645,$A25,'Margin Analysis'!$X$2:$X$645,$B25,'Margin Analysis'!$B$2:$B$645,$C25)</f>
        <v>0</v>
      </c>
      <c r="E25" s="6">
        <f>SUMIFS('Margin Analysis'!$AB$2:$AB$645,'Margin Analysis'!$Y$2:$Y$645,$A25,'Margin Analysis'!$X$2:$X$645,$B25,'Margin Analysis'!$B$2:$B$645,$C25)</f>
        <v>0</v>
      </c>
      <c r="F25" s="6">
        <f>SUMIFS('Margin Analysis'!$AA$2:$AA$645,'Margin Analysis'!$Y$2:$Y$645,$A25,'Margin Analysis'!$X$2:$X$645,$B25,'Margin Analysis'!$B$2:$B$645,$C25)</f>
        <v>0</v>
      </c>
      <c r="G25" s="6">
        <f t="shared" si="0"/>
        <v>0</v>
      </c>
      <c r="H25" s="7">
        <f t="shared" si="1"/>
        <v>0</v>
      </c>
      <c r="I25" s="6">
        <f>SUMIFS('Margin Analysis'!$AK$2:$AK$645,'Margin Analysis'!$Y$2:$Y$645,$A25,'Margin Analysis'!$X$2:$X$645,$B25,'Margin Analysis'!$B$2:$B$645,$C25)</f>
        <v>0</v>
      </c>
      <c r="J25" s="6">
        <f>SUMIFS('Margin Analysis'!$AM$2:$AM$645,'Margin Analysis'!$Y$2:$Y$645,$A25,'Margin Analysis'!$X$2:$X$645,$B25,'Margin Analysis'!$B$2:$B$645,$C25)</f>
        <v>0</v>
      </c>
      <c r="K25" s="7">
        <f t="shared" si="2"/>
        <v>0</v>
      </c>
      <c r="L25">
        <f>COUNTIFS('Margin Analysis'!$Y$2:$Y$645,$A25,'Margin Analysis'!$X$2:$X$645,$B25,'Margin Analysis'!$B$2:$B$645,$C25,'Margin Analysis'!$AN$2:$AN$645,"&lt;"&amp;Assumptions!$B$3)</f>
        <v>0</v>
      </c>
    </row>
    <row r="26" spans="1:12">
      <c r="A26" t="s">
        <v>24</v>
      </c>
      <c r="B26" t="s">
        <v>27</v>
      </c>
      <c r="C26" t="s">
        <v>35</v>
      </c>
      <c r="D26">
        <f>COUNTIFS('Margin Analysis'!$Y$2:$Y$645,$A26,'Margin Analysis'!$X$2:$X$645,$B26,'Margin Analysis'!$B$2:$B$645,$C26)</f>
        <v>0</v>
      </c>
      <c r="E26" s="6">
        <f>SUMIFS('Margin Analysis'!$AB$2:$AB$645,'Margin Analysis'!$Y$2:$Y$645,$A26,'Margin Analysis'!$X$2:$X$645,$B26,'Margin Analysis'!$B$2:$B$645,$C26)</f>
        <v>0</v>
      </c>
      <c r="F26" s="6">
        <f>SUMIFS('Margin Analysis'!$AA$2:$AA$645,'Margin Analysis'!$Y$2:$Y$645,$A26,'Margin Analysis'!$X$2:$X$645,$B26,'Margin Analysis'!$B$2:$B$645,$C26)</f>
        <v>0</v>
      </c>
      <c r="G26" s="6">
        <f t="shared" si="0"/>
        <v>0</v>
      </c>
      <c r="H26" s="7">
        <f t="shared" si="1"/>
        <v>0</v>
      </c>
      <c r="I26" s="6">
        <f>SUMIFS('Margin Analysis'!$AK$2:$AK$645,'Margin Analysis'!$Y$2:$Y$645,$A26,'Margin Analysis'!$X$2:$X$645,$B26,'Margin Analysis'!$B$2:$B$645,$C26)</f>
        <v>0</v>
      </c>
      <c r="J26" s="6">
        <f>SUMIFS('Margin Analysis'!$AM$2:$AM$645,'Margin Analysis'!$Y$2:$Y$645,$A26,'Margin Analysis'!$X$2:$X$645,$B26,'Margin Analysis'!$B$2:$B$645,$C26)</f>
        <v>0</v>
      </c>
      <c r="K26" s="7">
        <f t="shared" si="2"/>
        <v>0</v>
      </c>
      <c r="L26">
        <f>COUNTIFS('Margin Analysis'!$Y$2:$Y$645,$A26,'Margin Analysis'!$X$2:$X$645,$B26,'Margin Analysis'!$B$2:$B$645,$C26,'Margin Analysis'!$AN$2:$AN$645,"&lt;"&amp;Assumptions!$B$3)</f>
        <v>0</v>
      </c>
    </row>
    <row r="27" spans="1:12">
      <c r="A27" t="s">
        <v>24</v>
      </c>
      <c r="B27" t="s">
        <v>27</v>
      </c>
      <c r="C27" t="s">
        <v>36</v>
      </c>
      <c r="D27">
        <f>COUNTIFS('Margin Analysis'!$Y$2:$Y$645,$A27,'Margin Analysis'!$X$2:$X$645,$B27,'Margin Analysis'!$B$2:$B$645,$C27)</f>
        <v>0</v>
      </c>
      <c r="E27" s="6">
        <f>SUMIFS('Margin Analysis'!$AB$2:$AB$645,'Margin Analysis'!$Y$2:$Y$645,$A27,'Margin Analysis'!$X$2:$X$645,$B27,'Margin Analysis'!$B$2:$B$645,$C27)</f>
        <v>0</v>
      </c>
      <c r="F27" s="6">
        <f>SUMIFS('Margin Analysis'!$AA$2:$AA$645,'Margin Analysis'!$Y$2:$Y$645,$A27,'Margin Analysis'!$X$2:$X$645,$B27,'Margin Analysis'!$B$2:$B$645,$C27)</f>
        <v>0</v>
      </c>
      <c r="G27" s="6">
        <f t="shared" si="0"/>
        <v>0</v>
      </c>
      <c r="H27" s="7">
        <f t="shared" si="1"/>
        <v>0</v>
      </c>
      <c r="I27" s="6">
        <f>SUMIFS('Margin Analysis'!$AK$2:$AK$645,'Margin Analysis'!$Y$2:$Y$645,$A27,'Margin Analysis'!$X$2:$X$645,$B27,'Margin Analysis'!$B$2:$B$645,$C27)</f>
        <v>0</v>
      </c>
      <c r="J27" s="6">
        <f>SUMIFS('Margin Analysis'!$AM$2:$AM$645,'Margin Analysis'!$Y$2:$Y$645,$A27,'Margin Analysis'!$X$2:$X$645,$B27,'Margin Analysis'!$B$2:$B$645,$C27)</f>
        <v>0</v>
      </c>
      <c r="K27" s="7">
        <f t="shared" si="2"/>
        <v>0</v>
      </c>
      <c r="L27">
        <f>COUNTIFS('Margin Analysis'!$Y$2:$Y$645,$A27,'Margin Analysis'!$X$2:$X$645,$B27,'Margin Analysis'!$B$2:$B$645,$C27,'Margin Analysis'!$AN$2:$AN$645,"&lt;"&amp;Assumptions!$B$3)</f>
        <v>0</v>
      </c>
    </row>
    <row r="28" spans="1:12">
      <c r="A28" t="s">
        <v>24</v>
      </c>
      <c r="B28" t="s">
        <v>27</v>
      </c>
      <c r="C28" t="s">
        <v>37</v>
      </c>
      <c r="D28">
        <f>COUNTIFS('Margin Analysis'!$Y$2:$Y$645,$A28,'Margin Analysis'!$X$2:$X$645,$B28,'Margin Analysis'!$B$2:$B$645,$C28)</f>
        <v>0</v>
      </c>
      <c r="E28" s="6">
        <f>SUMIFS('Margin Analysis'!$AB$2:$AB$645,'Margin Analysis'!$Y$2:$Y$645,$A28,'Margin Analysis'!$X$2:$X$645,$B28,'Margin Analysis'!$B$2:$B$645,$C28)</f>
        <v>0</v>
      </c>
      <c r="F28" s="6">
        <f>SUMIFS('Margin Analysis'!$AA$2:$AA$645,'Margin Analysis'!$Y$2:$Y$645,$A28,'Margin Analysis'!$X$2:$X$645,$B28,'Margin Analysis'!$B$2:$B$645,$C28)</f>
        <v>0</v>
      </c>
      <c r="G28" s="6">
        <f t="shared" si="0"/>
        <v>0</v>
      </c>
      <c r="H28" s="7">
        <f t="shared" si="1"/>
        <v>0</v>
      </c>
      <c r="I28" s="6">
        <f>SUMIFS('Margin Analysis'!$AK$2:$AK$645,'Margin Analysis'!$Y$2:$Y$645,$A28,'Margin Analysis'!$X$2:$X$645,$B28,'Margin Analysis'!$B$2:$B$645,$C28)</f>
        <v>0</v>
      </c>
      <c r="J28" s="6">
        <f>SUMIFS('Margin Analysis'!$AM$2:$AM$645,'Margin Analysis'!$Y$2:$Y$645,$A28,'Margin Analysis'!$X$2:$X$645,$B28,'Margin Analysis'!$B$2:$B$645,$C28)</f>
        <v>0</v>
      </c>
      <c r="K28" s="7">
        <f t="shared" si="2"/>
        <v>0</v>
      </c>
      <c r="L28">
        <f>COUNTIFS('Margin Analysis'!$Y$2:$Y$645,$A28,'Margin Analysis'!$X$2:$X$645,$B28,'Margin Analysis'!$B$2:$B$645,$C28,'Margin Analysis'!$AN$2:$AN$645,"&lt;"&amp;Assumptions!$B$3)</f>
        <v>0</v>
      </c>
    </row>
    <row r="29" spans="1:12">
      <c r="A29" t="s">
        <v>24</v>
      </c>
      <c r="B29" t="s">
        <v>27</v>
      </c>
      <c r="C29" t="s">
        <v>38</v>
      </c>
      <c r="D29">
        <f>COUNTIFS('Margin Analysis'!$Y$2:$Y$645,$A29,'Margin Analysis'!$X$2:$X$645,$B29,'Margin Analysis'!$B$2:$B$645,$C29)</f>
        <v>0</v>
      </c>
      <c r="E29" s="6">
        <f>SUMIFS('Margin Analysis'!$AB$2:$AB$645,'Margin Analysis'!$Y$2:$Y$645,$A29,'Margin Analysis'!$X$2:$X$645,$B29,'Margin Analysis'!$B$2:$B$645,$C29)</f>
        <v>0</v>
      </c>
      <c r="F29" s="6">
        <f>SUMIFS('Margin Analysis'!$AA$2:$AA$645,'Margin Analysis'!$Y$2:$Y$645,$A29,'Margin Analysis'!$X$2:$X$645,$B29,'Margin Analysis'!$B$2:$B$645,$C29)</f>
        <v>0</v>
      </c>
      <c r="G29" s="6">
        <f t="shared" si="0"/>
        <v>0</v>
      </c>
      <c r="H29" s="7">
        <f t="shared" si="1"/>
        <v>0</v>
      </c>
      <c r="I29" s="6">
        <f>SUMIFS('Margin Analysis'!$AK$2:$AK$645,'Margin Analysis'!$Y$2:$Y$645,$A29,'Margin Analysis'!$X$2:$X$645,$B29,'Margin Analysis'!$B$2:$B$645,$C29)</f>
        <v>0</v>
      </c>
      <c r="J29" s="6">
        <f>SUMIFS('Margin Analysis'!$AM$2:$AM$645,'Margin Analysis'!$Y$2:$Y$645,$A29,'Margin Analysis'!$X$2:$X$645,$B29,'Margin Analysis'!$B$2:$B$645,$C29)</f>
        <v>0</v>
      </c>
      <c r="K29" s="7">
        <f t="shared" si="2"/>
        <v>0</v>
      </c>
      <c r="L29">
        <f>COUNTIFS('Margin Analysis'!$Y$2:$Y$645,$A29,'Margin Analysis'!$X$2:$X$645,$B29,'Margin Analysis'!$B$2:$B$645,$C29,'Margin Analysis'!$AN$2:$AN$645,"&lt;"&amp;Assumptions!$B$3)</f>
        <v>0</v>
      </c>
    </row>
    <row r="30" spans="1:12">
      <c r="A30" t="s">
        <v>24</v>
      </c>
      <c r="B30" t="s">
        <v>27</v>
      </c>
      <c r="C30" t="s">
        <v>39</v>
      </c>
      <c r="D30">
        <f>COUNTIFS('Margin Analysis'!$Y$2:$Y$645,$A30,'Margin Analysis'!$X$2:$X$645,$B30,'Margin Analysis'!$B$2:$B$645,$C30)</f>
        <v>0</v>
      </c>
      <c r="E30" s="6">
        <f>SUMIFS('Margin Analysis'!$AB$2:$AB$645,'Margin Analysis'!$Y$2:$Y$645,$A30,'Margin Analysis'!$X$2:$X$645,$B30,'Margin Analysis'!$B$2:$B$645,$C30)</f>
        <v>0</v>
      </c>
      <c r="F30" s="6">
        <f>SUMIFS('Margin Analysis'!$AA$2:$AA$645,'Margin Analysis'!$Y$2:$Y$645,$A30,'Margin Analysis'!$X$2:$X$645,$B30,'Margin Analysis'!$B$2:$B$645,$C30)</f>
        <v>0</v>
      </c>
      <c r="G30" s="6">
        <f t="shared" si="0"/>
        <v>0</v>
      </c>
      <c r="H30" s="7">
        <f t="shared" si="1"/>
        <v>0</v>
      </c>
      <c r="I30" s="6">
        <f>SUMIFS('Margin Analysis'!$AK$2:$AK$645,'Margin Analysis'!$Y$2:$Y$645,$A30,'Margin Analysis'!$X$2:$X$645,$B30,'Margin Analysis'!$B$2:$B$645,$C30)</f>
        <v>0</v>
      </c>
      <c r="J30" s="6">
        <f>SUMIFS('Margin Analysis'!$AM$2:$AM$645,'Margin Analysis'!$Y$2:$Y$645,$A30,'Margin Analysis'!$X$2:$X$645,$B30,'Margin Analysis'!$B$2:$B$645,$C30)</f>
        <v>0</v>
      </c>
      <c r="K30" s="7">
        <f t="shared" si="2"/>
        <v>0</v>
      </c>
      <c r="L30">
        <f>COUNTIFS('Margin Analysis'!$Y$2:$Y$645,$A30,'Margin Analysis'!$X$2:$X$645,$B30,'Margin Analysis'!$B$2:$B$645,$C30,'Margin Analysis'!$AN$2:$AN$645,"&lt;"&amp;Assumptions!$B$3)</f>
        <v>0</v>
      </c>
    </row>
    <row r="31" spans="1:12">
      <c r="A31" t="s">
        <v>24</v>
      </c>
      <c r="B31" t="s">
        <v>27</v>
      </c>
      <c r="C31" t="s">
        <v>40</v>
      </c>
      <c r="D31">
        <f>COUNTIFS('Margin Analysis'!$Y$2:$Y$645,$A31,'Margin Analysis'!$X$2:$X$645,$B31,'Margin Analysis'!$B$2:$B$645,$C31)</f>
        <v>0</v>
      </c>
      <c r="E31" s="6">
        <f>SUMIFS('Margin Analysis'!$AB$2:$AB$645,'Margin Analysis'!$Y$2:$Y$645,$A31,'Margin Analysis'!$X$2:$X$645,$B31,'Margin Analysis'!$B$2:$B$645,$C31)</f>
        <v>0</v>
      </c>
      <c r="F31" s="6">
        <f>SUMIFS('Margin Analysis'!$AA$2:$AA$645,'Margin Analysis'!$Y$2:$Y$645,$A31,'Margin Analysis'!$X$2:$X$645,$B31,'Margin Analysis'!$B$2:$B$645,$C31)</f>
        <v>0</v>
      </c>
      <c r="G31" s="6">
        <f t="shared" si="0"/>
        <v>0</v>
      </c>
      <c r="H31" s="7">
        <f t="shared" si="1"/>
        <v>0</v>
      </c>
      <c r="I31" s="6">
        <f>SUMIFS('Margin Analysis'!$AK$2:$AK$645,'Margin Analysis'!$Y$2:$Y$645,$A31,'Margin Analysis'!$X$2:$X$645,$B31,'Margin Analysis'!$B$2:$B$645,$C31)</f>
        <v>0</v>
      </c>
      <c r="J31" s="6">
        <f>SUMIFS('Margin Analysis'!$AM$2:$AM$645,'Margin Analysis'!$Y$2:$Y$645,$A31,'Margin Analysis'!$X$2:$X$645,$B31,'Margin Analysis'!$B$2:$B$645,$C31)</f>
        <v>0</v>
      </c>
      <c r="K31" s="7">
        <f t="shared" si="2"/>
        <v>0</v>
      </c>
      <c r="L31">
        <f>COUNTIFS('Margin Analysis'!$Y$2:$Y$645,$A31,'Margin Analysis'!$X$2:$X$645,$B31,'Margin Analysis'!$B$2:$B$645,$C31,'Margin Analysis'!$AN$2:$AN$645,"&lt;"&amp;Assumptions!$B$3)</f>
        <v>0</v>
      </c>
    </row>
    <row r="32" spans="1:12">
      <c r="A32" t="s">
        <v>24</v>
      </c>
      <c r="B32" t="s">
        <v>27</v>
      </c>
      <c r="C32" t="s">
        <v>41</v>
      </c>
      <c r="D32">
        <f>COUNTIFS('Margin Analysis'!$Y$2:$Y$645,$A32,'Margin Analysis'!$X$2:$X$645,$B32,'Margin Analysis'!$B$2:$B$645,$C32)</f>
        <v>0</v>
      </c>
      <c r="E32" s="6">
        <f>SUMIFS('Margin Analysis'!$AB$2:$AB$645,'Margin Analysis'!$Y$2:$Y$645,$A32,'Margin Analysis'!$X$2:$X$645,$B32,'Margin Analysis'!$B$2:$B$645,$C32)</f>
        <v>0</v>
      </c>
      <c r="F32" s="6">
        <f>SUMIFS('Margin Analysis'!$AA$2:$AA$645,'Margin Analysis'!$Y$2:$Y$645,$A32,'Margin Analysis'!$X$2:$X$645,$B32,'Margin Analysis'!$B$2:$B$645,$C32)</f>
        <v>0</v>
      </c>
      <c r="G32" s="6">
        <f t="shared" si="0"/>
        <v>0</v>
      </c>
      <c r="H32" s="7">
        <f t="shared" si="1"/>
        <v>0</v>
      </c>
      <c r="I32" s="6">
        <f>SUMIFS('Margin Analysis'!$AK$2:$AK$645,'Margin Analysis'!$Y$2:$Y$645,$A32,'Margin Analysis'!$X$2:$X$645,$B32,'Margin Analysis'!$B$2:$B$645,$C32)</f>
        <v>0</v>
      </c>
      <c r="J32" s="6">
        <f>SUMIFS('Margin Analysis'!$AM$2:$AM$645,'Margin Analysis'!$Y$2:$Y$645,$A32,'Margin Analysis'!$X$2:$X$645,$B32,'Margin Analysis'!$B$2:$B$645,$C32)</f>
        <v>0</v>
      </c>
      <c r="K32" s="7">
        <f t="shared" si="2"/>
        <v>0</v>
      </c>
      <c r="L32">
        <f>COUNTIFS('Margin Analysis'!$Y$2:$Y$645,$A32,'Margin Analysis'!$X$2:$X$645,$B32,'Margin Analysis'!$B$2:$B$645,$C32,'Margin Analysis'!$AN$2:$AN$645,"&lt;"&amp;Assumptions!$B$3)</f>
        <v>0</v>
      </c>
    </row>
    <row r="33" spans="1:12">
      <c r="A33" t="s">
        <v>24</v>
      </c>
      <c r="B33" t="s">
        <v>27</v>
      </c>
      <c r="C33" t="s">
        <v>42</v>
      </c>
      <c r="D33">
        <f>COUNTIFS('Margin Analysis'!$Y$2:$Y$645,$A33,'Margin Analysis'!$X$2:$X$645,$B33,'Margin Analysis'!$B$2:$B$645,$C33)</f>
        <v>0</v>
      </c>
      <c r="E33" s="6">
        <f>SUMIFS('Margin Analysis'!$AB$2:$AB$645,'Margin Analysis'!$Y$2:$Y$645,$A33,'Margin Analysis'!$X$2:$X$645,$B33,'Margin Analysis'!$B$2:$B$645,$C33)</f>
        <v>0</v>
      </c>
      <c r="F33" s="6">
        <f>SUMIFS('Margin Analysis'!$AA$2:$AA$645,'Margin Analysis'!$Y$2:$Y$645,$A33,'Margin Analysis'!$X$2:$X$645,$B33,'Margin Analysis'!$B$2:$B$645,$C33)</f>
        <v>0</v>
      </c>
      <c r="G33" s="6">
        <f t="shared" si="0"/>
        <v>0</v>
      </c>
      <c r="H33" s="7">
        <f t="shared" si="1"/>
        <v>0</v>
      </c>
      <c r="I33" s="6">
        <f>SUMIFS('Margin Analysis'!$AK$2:$AK$645,'Margin Analysis'!$Y$2:$Y$645,$A33,'Margin Analysis'!$X$2:$X$645,$B33,'Margin Analysis'!$B$2:$B$645,$C33)</f>
        <v>0</v>
      </c>
      <c r="J33" s="6">
        <f>SUMIFS('Margin Analysis'!$AM$2:$AM$645,'Margin Analysis'!$Y$2:$Y$645,$A33,'Margin Analysis'!$X$2:$X$645,$B33,'Margin Analysis'!$B$2:$B$645,$C33)</f>
        <v>0</v>
      </c>
      <c r="K33" s="7">
        <f t="shared" si="2"/>
        <v>0</v>
      </c>
      <c r="L33">
        <f>COUNTIFS('Margin Analysis'!$Y$2:$Y$645,$A33,'Margin Analysis'!$X$2:$X$645,$B33,'Margin Analysis'!$B$2:$B$645,$C33,'Margin Analysis'!$AN$2:$AN$645,"&lt;"&amp;Assumptions!$B$3)</f>
        <v>0</v>
      </c>
    </row>
    <row r="34" spans="1:12">
      <c r="A34" t="s">
        <v>24</v>
      </c>
      <c r="B34" t="s">
        <v>27</v>
      </c>
      <c r="C34" t="s">
        <v>43</v>
      </c>
      <c r="D34">
        <f>COUNTIFS('Margin Analysis'!$Y$2:$Y$645,$A34,'Margin Analysis'!$X$2:$X$645,$B34,'Margin Analysis'!$B$2:$B$645,$C34)</f>
        <v>0</v>
      </c>
      <c r="E34" s="6">
        <f>SUMIFS('Margin Analysis'!$AB$2:$AB$645,'Margin Analysis'!$Y$2:$Y$645,$A34,'Margin Analysis'!$X$2:$X$645,$B34,'Margin Analysis'!$B$2:$B$645,$C34)</f>
        <v>0</v>
      </c>
      <c r="F34" s="6">
        <f>SUMIFS('Margin Analysis'!$AA$2:$AA$645,'Margin Analysis'!$Y$2:$Y$645,$A34,'Margin Analysis'!$X$2:$X$645,$B34,'Margin Analysis'!$B$2:$B$645,$C34)</f>
        <v>0</v>
      </c>
      <c r="G34" s="6">
        <f t="shared" ref="G34:G65" si="3">F34-E34</f>
        <v>0</v>
      </c>
      <c r="H34" s="7">
        <f t="shared" ref="H34:H65" si="4">IFERROR(G34/F34,0)</f>
        <v>0</v>
      </c>
      <c r="I34" s="6">
        <f>SUMIFS('Margin Analysis'!$AK$2:$AK$645,'Margin Analysis'!$Y$2:$Y$645,$A34,'Margin Analysis'!$X$2:$X$645,$B34,'Margin Analysis'!$B$2:$B$645,$C34)</f>
        <v>0</v>
      </c>
      <c r="J34" s="6">
        <f>SUMIFS('Margin Analysis'!$AM$2:$AM$645,'Margin Analysis'!$Y$2:$Y$645,$A34,'Margin Analysis'!$X$2:$X$645,$B34,'Margin Analysis'!$B$2:$B$645,$C34)</f>
        <v>0</v>
      </c>
      <c r="K34" s="7">
        <f t="shared" ref="K34:K65" si="5">IFERROR(J34/F34,0)</f>
        <v>0</v>
      </c>
      <c r="L34">
        <f>COUNTIFS('Margin Analysis'!$Y$2:$Y$645,$A34,'Margin Analysis'!$X$2:$X$645,$B34,'Margin Analysis'!$B$2:$B$645,$C34,'Margin Analysis'!$AN$2:$AN$645,"&lt;"&amp;Assumptions!$B$3)</f>
        <v>0</v>
      </c>
    </row>
    <row r="35" spans="1:12">
      <c r="A35" t="s">
        <v>24</v>
      </c>
      <c r="B35" t="s">
        <v>27</v>
      </c>
      <c r="C35" t="s">
        <v>44</v>
      </c>
      <c r="D35">
        <f>COUNTIFS('Margin Analysis'!$Y$2:$Y$645,$A35,'Margin Analysis'!$X$2:$X$645,$B35,'Margin Analysis'!$B$2:$B$645,$C35)</f>
        <v>0</v>
      </c>
      <c r="E35" s="6">
        <f>SUMIFS('Margin Analysis'!$AB$2:$AB$645,'Margin Analysis'!$Y$2:$Y$645,$A35,'Margin Analysis'!$X$2:$X$645,$B35,'Margin Analysis'!$B$2:$B$645,$C35)</f>
        <v>0</v>
      </c>
      <c r="F35" s="6">
        <f>SUMIFS('Margin Analysis'!$AA$2:$AA$645,'Margin Analysis'!$Y$2:$Y$645,$A35,'Margin Analysis'!$X$2:$X$645,$B35,'Margin Analysis'!$B$2:$B$645,$C35)</f>
        <v>0</v>
      </c>
      <c r="G35" s="6">
        <f t="shared" si="3"/>
        <v>0</v>
      </c>
      <c r="H35" s="7">
        <f t="shared" si="4"/>
        <v>0</v>
      </c>
      <c r="I35" s="6">
        <f>SUMIFS('Margin Analysis'!$AK$2:$AK$645,'Margin Analysis'!$Y$2:$Y$645,$A35,'Margin Analysis'!$X$2:$X$645,$B35,'Margin Analysis'!$B$2:$B$645,$C35)</f>
        <v>0</v>
      </c>
      <c r="J35" s="6">
        <f>SUMIFS('Margin Analysis'!$AM$2:$AM$645,'Margin Analysis'!$Y$2:$Y$645,$A35,'Margin Analysis'!$X$2:$X$645,$B35,'Margin Analysis'!$B$2:$B$645,$C35)</f>
        <v>0</v>
      </c>
      <c r="K35" s="7">
        <f t="shared" si="5"/>
        <v>0</v>
      </c>
      <c r="L35">
        <f>COUNTIFS('Margin Analysis'!$Y$2:$Y$645,$A35,'Margin Analysis'!$X$2:$X$645,$B35,'Margin Analysis'!$B$2:$B$645,$C35,'Margin Analysis'!$AN$2:$AN$645,"&lt;"&amp;Assumptions!$B$3)</f>
        <v>0</v>
      </c>
    </row>
    <row r="36" spans="1:12">
      <c r="A36" t="s">
        <v>24</v>
      </c>
      <c r="B36" t="s">
        <v>27</v>
      </c>
      <c r="C36" t="s">
        <v>45</v>
      </c>
      <c r="D36">
        <f>COUNTIFS('Margin Analysis'!$Y$2:$Y$645,$A36,'Margin Analysis'!$X$2:$X$645,$B36,'Margin Analysis'!$B$2:$B$645,$C36)</f>
        <v>0</v>
      </c>
      <c r="E36" s="6">
        <f>SUMIFS('Margin Analysis'!$AB$2:$AB$645,'Margin Analysis'!$Y$2:$Y$645,$A36,'Margin Analysis'!$X$2:$X$645,$B36,'Margin Analysis'!$B$2:$B$645,$C36)</f>
        <v>0</v>
      </c>
      <c r="F36" s="6">
        <f>SUMIFS('Margin Analysis'!$AA$2:$AA$645,'Margin Analysis'!$Y$2:$Y$645,$A36,'Margin Analysis'!$X$2:$X$645,$B36,'Margin Analysis'!$B$2:$B$645,$C36)</f>
        <v>0</v>
      </c>
      <c r="G36" s="6">
        <f t="shared" si="3"/>
        <v>0</v>
      </c>
      <c r="H36" s="7">
        <f t="shared" si="4"/>
        <v>0</v>
      </c>
      <c r="I36" s="6">
        <f>SUMIFS('Margin Analysis'!$AK$2:$AK$645,'Margin Analysis'!$Y$2:$Y$645,$A36,'Margin Analysis'!$X$2:$X$645,$B36,'Margin Analysis'!$B$2:$B$645,$C36)</f>
        <v>0</v>
      </c>
      <c r="J36" s="6">
        <f>SUMIFS('Margin Analysis'!$AM$2:$AM$645,'Margin Analysis'!$Y$2:$Y$645,$A36,'Margin Analysis'!$X$2:$X$645,$B36,'Margin Analysis'!$B$2:$B$645,$C36)</f>
        <v>0</v>
      </c>
      <c r="K36" s="7">
        <f t="shared" si="5"/>
        <v>0</v>
      </c>
      <c r="L36">
        <f>COUNTIFS('Margin Analysis'!$Y$2:$Y$645,$A36,'Margin Analysis'!$X$2:$X$645,$B36,'Margin Analysis'!$B$2:$B$645,$C36,'Margin Analysis'!$AN$2:$AN$645,"&lt;"&amp;Assumptions!$B$3)</f>
        <v>0</v>
      </c>
    </row>
    <row r="37" spans="1:12">
      <c r="A37" t="s">
        <v>24</v>
      </c>
      <c r="B37" t="s">
        <v>27</v>
      </c>
      <c r="C37" t="s">
        <v>46</v>
      </c>
      <c r="D37">
        <f>COUNTIFS('Margin Analysis'!$Y$2:$Y$645,$A37,'Margin Analysis'!$X$2:$X$645,$B37,'Margin Analysis'!$B$2:$B$645,$C37)</f>
        <v>0</v>
      </c>
      <c r="E37" s="6">
        <f>SUMIFS('Margin Analysis'!$AB$2:$AB$645,'Margin Analysis'!$Y$2:$Y$645,$A37,'Margin Analysis'!$X$2:$X$645,$B37,'Margin Analysis'!$B$2:$B$645,$C37)</f>
        <v>0</v>
      </c>
      <c r="F37" s="6">
        <f>SUMIFS('Margin Analysis'!$AA$2:$AA$645,'Margin Analysis'!$Y$2:$Y$645,$A37,'Margin Analysis'!$X$2:$X$645,$B37,'Margin Analysis'!$B$2:$B$645,$C37)</f>
        <v>0</v>
      </c>
      <c r="G37" s="6">
        <f t="shared" si="3"/>
        <v>0</v>
      </c>
      <c r="H37" s="7">
        <f t="shared" si="4"/>
        <v>0</v>
      </c>
      <c r="I37" s="6">
        <f>SUMIFS('Margin Analysis'!$AK$2:$AK$645,'Margin Analysis'!$Y$2:$Y$645,$A37,'Margin Analysis'!$X$2:$X$645,$B37,'Margin Analysis'!$B$2:$B$645,$C37)</f>
        <v>0</v>
      </c>
      <c r="J37" s="6">
        <f>SUMIFS('Margin Analysis'!$AM$2:$AM$645,'Margin Analysis'!$Y$2:$Y$645,$A37,'Margin Analysis'!$X$2:$X$645,$B37,'Margin Analysis'!$B$2:$B$645,$C37)</f>
        <v>0</v>
      </c>
      <c r="K37" s="7">
        <f t="shared" si="5"/>
        <v>0</v>
      </c>
      <c r="L37">
        <f>COUNTIFS('Margin Analysis'!$Y$2:$Y$645,$A37,'Margin Analysis'!$X$2:$X$645,$B37,'Margin Analysis'!$B$2:$B$645,$C37,'Margin Analysis'!$AN$2:$AN$645,"&lt;"&amp;Assumptions!$B$3)</f>
        <v>0</v>
      </c>
    </row>
    <row r="38" spans="1:12">
      <c r="A38" t="s">
        <v>28</v>
      </c>
      <c r="B38" t="s">
        <v>29</v>
      </c>
      <c r="C38" t="s">
        <v>35</v>
      </c>
      <c r="D38">
        <f>COUNTIFS('Margin Analysis'!$Y$2:$Y$645,$A38,'Margin Analysis'!$X$2:$X$645,$B38,'Margin Analysis'!$B$2:$B$645,$C38)</f>
        <v>0</v>
      </c>
      <c r="E38" s="6">
        <f>SUMIFS('Margin Analysis'!$AB$2:$AB$645,'Margin Analysis'!$Y$2:$Y$645,$A38,'Margin Analysis'!$X$2:$X$645,$B38,'Margin Analysis'!$B$2:$B$645,$C38)</f>
        <v>0</v>
      </c>
      <c r="F38" s="6">
        <f>SUMIFS('Margin Analysis'!$AA$2:$AA$645,'Margin Analysis'!$Y$2:$Y$645,$A38,'Margin Analysis'!$X$2:$X$645,$B38,'Margin Analysis'!$B$2:$B$645,$C38)</f>
        <v>0</v>
      </c>
      <c r="G38" s="6">
        <f t="shared" si="3"/>
        <v>0</v>
      </c>
      <c r="H38" s="7">
        <f t="shared" si="4"/>
        <v>0</v>
      </c>
      <c r="I38" s="6">
        <f>SUMIFS('Margin Analysis'!$AK$2:$AK$645,'Margin Analysis'!$Y$2:$Y$645,$A38,'Margin Analysis'!$X$2:$X$645,$B38,'Margin Analysis'!$B$2:$B$645,$C38)</f>
        <v>0</v>
      </c>
      <c r="J38" s="6">
        <f>SUMIFS('Margin Analysis'!$AM$2:$AM$645,'Margin Analysis'!$Y$2:$Y$645,$A38,'Margin Analysis'!$X$2:$X$645,$B38,'Margin Analysis'!$B$2:$B$645,$C38)</f>
        <v>0</v>
      </c>
      <c r="K38" s="7">
        <f t="shared" si="5"/>
        <v>0</v>
      </c>
      <c r="L38">
        <f>COUNTIFS('Margin Analysis'!$Y$2:$Y$645,$A38,'Margin Analysis'!$X$2:$X$645,$B38,'Margin Analysis'!$B$2:$B$645,$C38,'Margin Analysis'!$AN$2:$AN$645,"&lt;"&amp;Assumptions!$B$3)</f>
        <v>0</v>
      </c>
    </row>
    <row r="39" spans="1:12">
      <c r="A39" t="s">
        <v>28</v>
      </c>
      <c r="B39" t="s">
        <v>29</v>
      </c>
      <c r="C39" t="s">
        <v>36</v>
      </c>
      <c r="D39">
        <f>COUNTIFS('Margin Analysis'!$Y$2:$Y$645,$A39,'Margin Analysis'!$X$2:$X$645,$B39,'Margin Analysis'!$B$2:$B$645,$C39)</f>
        <v>0</v>
      </c>
      <c r="E39" s="6">
        <f>SUMIFS('Margin Analysis'!$AB$2:$AB$645,'Margin Analysis'!$Y$2:$Y$645,$A39,'Margin Analysis'!$X$2:$X$645,$B39,'Margin Analysis'!$B$2:$B$645,$C39)</f>
        <v>0</v>
      </c>
      <c r="F39" s="6">
        <f>SUMIFS('Margin Analysis'!$AA$2:$AA$645,'Margin Analysis'!$Y$2:$Y$645,$A39,'Margin Analysis'!$X$2:$X$645,$B39,'Margin Analysis'!$B$2:$B$645,$C39)</f>
        <v>0</v>
      </c>
      <c r="G39" s="6">
        <f t="shared" si="3"/>
        <v>0</v>
      </c>
      <c r="H39" s="7">
        <f t="shared" si="4"/>
        <v>0</v>
      </c>
      <c r="I39" s="6">
        <f>SUMIFS('Margin Analysis'!$AK$2:$AK$645,'Margin Analysis'!$Y$2:$Y$645,$A39,'Margin Analysis'!$X$2:$X$645,$B39,'Margin Analysis'!$B$2:$B$645,$C39)</f>
        <v>0</v>
      </c>
      <c r="J39" s="6">
        <f>SUMIFS('Margin Analysis'!$AM$2:$AM$645,'Margin Analysis'!$Y$2:$Y$645,$A39,'Margin Analysis'!$X$2:$X$645,$B39,'Margin Analysis'!$B$2:$B$645,$C39)</f>
        <v>0</v>
      </c>
      <c r="K39" s="7">
        <f t="shared" si="5"/>
        <v>0</v>
      </c>
      <c r="L39">
        <f>COUNTIFS('Margin Analysis'!$Y$2:$Y$645,$A39,'Margin Analysis'!$X$2:$X$645,$B39,'Margin Analysis'!$B$2:$B$645,$C39,'Margin Analysis'!$AN$2:$AN$645,"&lt;"&amp;Assumptions!$B$3)</f>
        <v>0</v>
      </c>
    </row>
    <row r="40" spans="1:12">
      <c r="A40" t="s">
        <v>28</v>
      </c>
      <c r="B40" t="s">
        <v>29</v>
      </c>
      <c r="C40" t="s">
        <v>37</v>
      </c>
      <c r="D40">
        <f>COUNTIFS('Margin Analysis'!$Y$2:$Y$645,$A40,'Margin Analysis'!$X$2:$X$645,$B40,'Margin Analysis'!$B$2:$B$645,$C40)</f>
        <v>0</v>
      </c>
      <c r="E40" s="6">
        <f>SUMIFS('Margin Analysis'!$AB$2:$AB$645,'Margin Analysis'!$Y$2:$Y$645,$A40,'Margin Analysis'!$X$2:$X$645,$B40,'Margin Analysis'!$B$2:$B$645,$C40)</f>
        <v>0</v>
      </c>
      <c r="F40" s="6">
        <f>SUMIFS('Margin Analysis'!$AA$2:$AA$645,'Margin Analysis'!$Y$2:$Y$645,$A40,'Margin Analysis'!$X$2:$X$645,$B40,'Margin Analysis'!$B$2:$B$645,$C40)</f>
        <v>0</v>
      </c>
      <c r="G40" s="6">
        <f t="shared" si="3"/>
        <v>0</v>
      </c>
      <c r="H40" s="7">
        <f t="shared" si="4"/>
        <v>0</v>
      </c>
      <c r="I40" s="6">
        <f>SUMIFS('Margin Analysis'!$AK$2:$AK$645,'Margin Analysis'!$Y$2:$Y$645,$A40,'Margin Analysis'!$X$2:$X$645,$B40,'Margin Analysis'!$B$2:$B$645,$C40)</f>
        <v>0</v>
      </c>
      <c r="J40" s="6">
        <f>SUMIFS('Margin Analysis'!$AM$2:$AM$645,'Margin Analysis'!$Y$2:$Y$645,$A40,'Margin Analysis'!$X$2:$X$645,$B40,'Margin Analysis'!$B$2:$B$645,$C40)</f>
        <v>0</v>
      </c>
      <c r="K40" s="7">
        <f t="shared" si="5"/>
        <v>0</v>
      </c>
      <c r="L40">
        <f>COUNTIFS('Margin Analysis'!$Y$2:$Y$645,$A40,'Margin Analysis'!$X$2:$X$645,$B40,'Margin Analysis'!$B$2:$B$645,$C40,'Margin Analysis'!$AN$2:$AN$645,"&lt;"&amp;Assumptions!$B$3)</f>
        <v>0</v>
      </c>
    </row>
    <row r="41" spans="1:12">
      <c r="A41" t="s">
        <v>28</v>
      </c>
      <c r="B41" t="s">
        <v>29</v>
      </c>
      <c r="C41" t="s">
        <v>38</v>
      </c>
      <c r="D41">
        <f>COUNTIFS('Margin Analysis'!$Y$2:$Y$645,$A41,'Margin Analysis'!$X$2:$X$645,$B41,'Margin Analysis'!$B$2:$B$645,$C41)</f>
        <v>0</v>
      </c>
      <c r="E41" s="6">
        <f>SUMIFS('Margin Analysis'!$AB$2:$AB$645,'Margin Analysis'!$Y$2:$Y$645,$A41,'Margin Analysis'!$X$2:$X$645,$B41,'Margin Analysis'!$B$2:$B$645,$C41)</f>
        <v>0</v>
      </c>
      <c r="F41" s="6">
        <f>SUMIFS('Margin Analysis'!$AA$2:$AA$645,'Margin Analysis'!$Y$2:$Y$645,$A41,'Margin Analysis'!$X$2:$X$645,$B41,'Margin Analysis'!$B$2:$B$645,$C41)</f>
        <v>0</v>
      </c>
      <c r="G41" s="6">
        <f t="shared" si="3"/>
        <v>0</v>
      </c>
      <c r="H41" s="7">
        <f t="shared" si="4"/>
        <v>0</v>
      </c>
      <c r="I41" s="6">
        <f>SUMIFS('Margin Analysis'!$AK$2:$AK$645,'Margin Analysis'!$Y$2:$Y$645,$A41,'Margin Analysis'!$X$2:$X$645,$B41,'Margin Analysis'!$B$2:$B$645,$C41)</f>
        <v>0</v>
      </c>
      <c r="J41" s="6">
        <f>SUMIFS('Margin Analysis'!$AM$2:$AM$645,'Margin Analysis'!$Y$2:$Y$645,$A41,'Margin Analysis'!$X$2:$X$645,$B41,'Margin Analysis'!$B$2:$B$645,$C41)</f>
        <v>0</v>
      </c>
      <c r="K41" s="7">
        <f t="shared" si="5"/>
        <v>0</v>
      </c>
      <c r="L41">
        <f>COUNTIFS('Margin Analysis'!$Y$2:$Y$645,$A41,'Margin Analysis'!$X$2:$X$645,$B41,'Margin Analysis'!$B$2:$B$645,$C41,'Margin Analysis'!$AN$2:$AN$645,"&lt;"&amp;Assumptions!$B$3)</f>
        <v>0</v>
      </c>
    </row>
    <row r="42" spans="1:12">
      <c r="A42" t="s">
        <v>28</v>
      </c>
      <c r="B42" t="s">
        <v>29</v>
      </c>
      <c r="C42" t="s">
        <v>39</v>
      </c>
      <c r="D42">
        <f>COUNTIFS('Margin Analysis'!$Y$2:$Y$645,$A42,'Margin Analysis'!$X$2:$X$645,$B42,'Margin Analysis'!$B$2:$B$645,$C42)</f>
        <v>0</v>
      </c>
      <c r="E42" s="6">
        <f>SUMIFS('Margin Analysis'!$AB$2:$AB$645,'Margin Analysis'!$Y$2:$Y$645,$A42,'Margin Analysis'!$X$2:$X$645,$B42,'Margin Analysis'!$B$2:$B$645,$C42)</f>
        <v>0</v>
      </c>
      <c r="F42" s="6">
        <f>SUMIFS('Margin Analysis'!$AA$2:$AA$645,'Margin Analysis'!$Y$2:$Y$645,$A42,'Margin Analysis'!$X$2:$X$645,$B42,'Margin Analysis'!$B$2:$B$645,$C42)</f>
        <v>0</v>
      </c>
      <c r="G42" s="6">
        <f t="shared" si="3"/>
        <v>0</v>
      </c>
      <c r="H42" s="7">
        <f t="shared" si="4"/>
        <v>0</v>
      </c>
      <c r="I42" s="6">
        <f>SUMIFS('Margin Analysis'!$AK$2:$AK$645,'Margin Analysis'!$Y$2:$Y$645,$A42,'Margin Analysis'!$X$2:$X$645,$B42,'Margin Analysis'!$B$2:$B$645,$C42)</f>
        <v>0</v>
      </c>
      <c r="J42" s="6">
        <f>SUMIFS('Margin Analysis'!$AM$2:$AM$645,'Margin Analysis'!$Y$2:$Y$645,$A42,'Margin Analysis'!$X$2:$X$645,$B42,'Margin Analysis'!$B$2:$B$645,$C42)</f>
        <v>0</v>
      </c>
      <c r="K42" s="7">
        <f t="shared" si="5"/>
        <v>0</v>
      </c>
      <c r="L42">
        <f>COUNTIFS('Margin Analysis'!$Y$2:$Y$645,$A42,'Margin Analysis'!$X$2:$X$645,$B42,'Margin Analysis'!$B$2:$B$645,$C42,'Margin Analysis'!$AN$2:$AN$645,"&lt;"&amp;Assumptions!$B$3)</f>
        <v>0</v>
      </c>
    </row>
    <row r="43" spans="1:12" hidden="1">
      <c r="A43" t="s">
        <v>28</v>
      </c>
      <c r="B43" t="s">
        <v>29</v>
      </c>
      <c r="C43" t="s">
        <v>47</v>
      </c>
      <c r="D43">
        <f>COUNTIFS('Margin Analysis'!$Y$2:$Y$645,$A43,'Margin Analysis'!$X$2:$X$645,$B43,'Margin Analysis'!$B$2:$B$645,$C43)</f>
        <v>0</v>
      </c>
      <c r="E43" s="6">
        <f>SUMIFS('Margin Analysis'!$AB$2:$AB$645,'Margin Analysis'!$Y$2:$Y$645,$A43,'Margin Analysis'!$X$2:$X$645,$B43,'Margin Analysis'!$B$2:$B$645,$C43)</f>
        <v>0</v>
      </c>
      <c r="F43" s="6">
        <f>SUMIFS('Margin Analysis'!$AA$2:$AA$645,'Margin Analysis'!$Y$2:$Y$645,$A43,'Margin Analysis'!$X$2:$X$645,$B43,'Margin Analysis'!$B$2:$B$645,$C43)</f>
        <v>0</v>
      </c>
      <c r="G43" s="6">
        <f t="shared" si="3"/>
        <v>0</v>
      </c>
      <c r="H43" s="7">
        <f t="shared" si="4"/>
        <v>0</v>
      </c>
      <c r="I43" s="6">
        <f>SUMIFS('Margin Analysis'!$AK$2:$AK$645,'Margin Analysis'!$Y$2:$Y$645,$A43,'Margin Analysis'!$X$2:$X$645,$B43,'Margin Analysis'!$B$2:$B$645,$C43)</f>
        <v>0</v>
      </c>
      <c r="J43" s="6">
        <f>SUMIFS('Margin Analysis'!$AM$2:$AM$645,'Margin Analysis'!$Y$2:$Y$645,$A43,'Margin Analysis'!$X$2:$X$645,$B43,'Margin Analysis'!$B$2:$B$645,$C43)</f>
        <v>0</v>
      </c>
      <c r="K43" s="7">
        <f t="shared" si="5"/>
        <v>0</v>
      </c>
      <c r="L43">
        <f>COUNTIFS('Margin Analysis'!$Y$2:$Y$645,$A43,'Margin Analysis'!$X$2:$X$645,$B43,'Margin Analysis'!$B$2:$B$645,$C43,'Margin Analysis'!$AN$2:$AN$645,"&lt;"&amp;Assumptions!$B$3)</f>
        <v>0</v>
      </c>
    </row>
    <row r="44" spans="1:12">
      <c r="A44" t="s">
        <v>28</v>
      </c>
      <c r="B44" t="s">
        <v>29</v>
      </c>
      <c r="C44" t="s">
        <v>40</v>
      </c>
      <c r="D44">
        <f>COUNTIFS('Margin Analysis'!$Y$2:$Y$645,$A44,'Margin Analysis'!$X$2:$X$645,$B44,'Margin Analysis'!$B$2:$B$645,$C44)</f>
        <v>0</v>
      </c>
      <c r="E44" s="6">
        <f>SUMIFS('Margin Analysis'!$AB$2:$AB$645,'Margin Analysis'!$Y$2:$Y$645,$A44,'Margin Analysis'!$X$2:$X$645,$B44,'Margin Analysis'!$B$2:$B$645,$C44)</f>
        <v>0</v>
      </c>
      <c r="F44" s="6">
        <f>SUMIFS('Margin Analysis'!$AA$2:$AA$645,'Margin Analysis'!$Y$2:$Y$645,$A44,'Margin Analysis'!$X$2:$X$645,$B44,'Margin Analysis'!$B$2:$B$645,$C44)</f>
        <v>0</v>
      </c>
      <c r="G44" s="6">
        <f t="shared" si="3"/>
        <v>0</v>
      </c>
      <c r="H44" s="7">
        <f t="shared" si="4"/>
        <v>0</v>
      </c>
      <c r="I44" s="6">
        <f>SUMIFS('Margin Analysis'!$AK$2:$AK$645,'Margin Analysis'!$Y$2:$Y$645,$A44,'Margin Analysis'!$X$2:$X$645,$B44,'Margin Analysis'!$B$2:$B$645,$C44)</f>
        <v>0</v>
      </c>
      <c r="J44" s="6">
        <f>SUMIFS('Margin Analysis'!$AM$2:$AM$645,'Margin Analysis'!$Y$2:$Y$645,$A44,'Margin Analysis'!$X$2:$X$645,$B44,'Margin Analysis'!$B$2:$B$645,$C44)</f>
        <v>0</v>
      </c>
      <c r="K44" s="7">
        <f t="shared" si="5"/>
        <v>0</v>
      </c>
      <c r="L44">
        <f>COUNTIFS('Margin Analysis'!$Y$2:$Y$645,$A44,'Margin Analysis'!$X$2:$X$645,$B44,'Margin Analysis'!$B$2:$B$645,$C44,'Margin Analysis'!$AN$2:$AN$645,"&lt;"&amp;Assumptions!$B$3)</f>
        <v>0</v>
      </c>
    </row>
    <row r="45" spans="1:12">
      <c r="A45" t="s">
        <v>28</v>
      </c>
      <c r="B45" t="s">
        <v>29</v>
      </c>
      <c r="C45" t="s">
        <v>41</v>
      </c>
      <c r="D45">
        <f>COUNTIFS('Margin Analysis'!$Y$2:$Y$645,$A45,'Margin Analysis'!$X$2:$X$645,$B45,'Margin Analysis'!$B$2:$B$645,$C45)</f>
        <v>0</v>
      </c>
      <c r="E45" s="6">
        <f>SUMIFS('Margin Analysis'!$AB$2:$AB$645,'Margin Analysis'!$Y$2:$Y$645,$A45,'Margin Analysis'!$X$2:$X$645,$B45,'Margin Analysis'!$B$2:$B$645,$C45)</f>
        <v>0</v>
      </c>
      <c r="F45" s="6">
        <f>SUMIFS('Margin Analysis'!$AA$2:$AA$645,'Margin Analysis'!$Y$2:$Y$645,$A45,'Margin Analysis'!$X$2:$X$645,$B45,'Margin Analysis'!$B$2:$B$645,$C45)</f>
        <v>0</v>
      </c>
      <c r="G45" s="6">
        <f t="shared" si="3"/>
        <v>0</v>
      </c>
      <c r="H45" s="7">
        <f t="shared" si="4"/>
        <v>0</v>
      </c>
      <c r="I45" s="6">
        <f>SUMIFS('Margin Analysis'!$AK$2:$AK$645,'Margin Analysis'!$Y$2:$Y$645,$A45,'Margin Analysis'!$X$2:$X$645,$B45,'Margin Analysis'!$B$2:$B$645,$C45)</f>
        <v>0</v>
      </c>
      <c r="J45" s="6">
        <f>SUMIFS('Margin Analysis'!$AM$2:$AM$645,'Margin Analysis'!$Y$2:$Y$645,$A45,'Margin Analysis'!$X$2:$X$645,$B45,'Margin Analysis'!$B$2:$B$645,$C45)</f>
        <v>0</v>
      </c>
      <c r="K45" s="7">
        <f t="shared" si="5"/>
        <v>0</v>
      </c>
      <c r="L45">
        <f>COUNTIFS('Margin Analysis'!$Y$2:$Y$645,$A45,'Margin Analysis'!$X$2:$X$645,$B45,'Margin Analysis'!$B$2:$B$645,$C45,'Margin Analysis'!$AN$2:$AN$645,"&lt;"&amp;Assumptions!$B$3)</f>
        <v>0</v>
      </c>
    </row>
    <row r="46" spans="1:12">
      <c r="A46" t="s">
        <v>28</v>
      </c>
      <c r="B46" t="s">
        <v>29</v>
      </c>
      <c r="C46" t="s">
        <v>42</v>
      </c>
      <c r="D46">
        <f>COUNTIFS('Margin Analysis'!$Y$2:$Y$645,$A46,'Margin Analysis'!$X$2:$X$645,$B46,'Margin Analysis'!$B$2:$B$645,$C46)</f>
        <v>0</v>
      </c>
      <c r="E46" s="6">
        <f>SUMIFS('Margin Analysis'!$AB$2:$AB$645,'Margin Analysis'!$Y$2:$Y$645,$A46,'Margin Analysis'!$X$2:$X$645,$B46,'Margin Analysis'!$B$2:$B$645,$C46)</f>
        <v>0</v>
      </c>
      <c r="F46" s="6">
        <f>SUMIFS('Margin Analysis'!$AA$2:$AA$645,'Margin Analysis'!$Y$2:$Y$645,$A46,'Margin Analysis'!$X$2:$X$645,$B46,'Margin Analysis'!$B$2:$B$645,$C46)</f>
        <v>0</v>
      </c>
      <c r="G46" s="6">
        <f t="shared" si="3"/>
        <v>0</v>
      </c>
      <c r="H46" s="7">
        <f t="shared" si="4"/>
        <v>0</v>
      </c>
      <c r="I46" s="6">
        <f>SUMIFS('Margin Analysis'!$AK$2:$AK$645,'Margin Analysis'!$Y$2:$Y$645,$A46,'Margin Analysis'!$X$2:$X$645,$B46,'Margin Analysis'!$B$2:$B$645,$C46)</f>
        <v>0</v>
      </c>
      <c r="J46" s="6">
        <f>SUMIFS('Margin Analysis'!$AM$2:$AM$645,'Margin Analysis'!$Y$2:$Y$645,$A46,'Margin Analysis'!$X$2:$X$645,$B46,'Margin Analysis'!$B$2:$B$645,$C46)</f>
        <v>0</v>
      </c>
      <c r="K46" s="7">
        <f t="shared" si="5"/>
        <v>0</v>
      </c>
      <c r="L46">
        <f>COUNTIFS('Margin Analysis'!$Y$2:$Y$645,$A46,'Margin Analysis'!$X$2:$X$645,$B46,'Margin Analysis'!$B$2:$B$645,$C46,'Margin Analysis'!$AN$2:$AN$645,"&lt;"&amp;Assumptions!$B$3)</f>
        <v>0</v>
      </c>
    </row>
    <row r="47" spans="1:12">
      <c r="A47" t="s">
        <v>28</v>
      </c>
      <c r="B47" t="s">
        <v>29</v>
      </c>
      <c r="C47" t="s">
        <v>43</v>
      </c>
      <c r="D47">
        <f>COUNTIFS('Margin Analysis'!$Y$2:$Y$645,$A47,'Margin Analysis'!$X$2:$X$645,$B47,'Margin Analysis'!$B$2:$B$645,$C47)</f>
        <v>0</v>
      </c>
      <c r="E47" s="6">
        <f>SUMIFS('Margin Analysis'!$AB$2:$AB$645,'Margin Analysis'!$Y$2:$Y$645,$A47,'Margin Analysis'!$X$2:$X$645,$B47,'Margin Analysis'!$B$2:$B$645,$C47)</f>
        <v>0</v>
      </c>
      <c r="F47" s="6">
        <f>SUMIFS('Margin Analysis'!$AA$2:$AA$645,'Margin Analysis'!$Y$2:$Y$645,$A47,'Margin Analysis'!$X$2:$X$645,$B47,'Margin Analysis'!$B$2:$B$645,$C47)</f>
        <v>0</v>
      </c>
      <c r="G47" s="6">
        <f t="shared" si="3"/>
        <v>0</v>
      </c>
      <c r="H47" s="7">
        <f t="shared" si="4"/>
        <v>0</v>
      </c>
      <c r="I47" s="6">
        <f>SUMIFS('Margin Analysis'!$AK$2:$AK$645,'Margin Analysis'!$Y$2:$Y$645,$A47,'Margin Analysis'!$X$2:$X$645,$B47,'Margin Analysis'!$B$2:$B$645,$C47)</f>
        <v>0</v>
      </c>
      <c r="J47" s="6">
        <f>SUMIFS('Margin Analysis'!$AM$2:$AM$645,'Margin Analysis'!$Y$2:$Y$645,$A47,'Margin Analysis'!$X$2:$X$645,$B47,'Margin Analysis'!$B$2:$B$645,$C47)</f>
        <v>0</v>
      </c>
      <c r="K47" s="7">
        <f t="shared" si="5"/>
        <v>0</v>
      </c>
      <c r="L47">
        <f>COUNTIFS('Margin Analysis'!$Y$2:$Y$645,$A47,'Margin Analysis'!$X$2:$X$645,$B47,'Margin Analysis'!$B$2:$B$645,$C47,'Margin Analysis'!$AN$2:$AN$645,"&lt;"&amp;Assumptions!$B$3)</f>
        <v>0</v>
      </c>
    </row>
    <row r="48" spans="1:12">
      <c r="A48" t="s">
        <v>28</v>
      </c>
      <c r="B48" t="s">
        <v>29</v>
      </c>
      <c r="C48" t="s">
        <v>44</v>
      </c>
      <c r="D48">
        <f>COUNTIFS('Margin Analysis'!$Y$2:$Y$645,$A48,'Margin Analysis'!$X$2:$X$645,$B48,'Margin Analysis'!$B$2:$B$645,$C48)</f>
        <v>0</v>
      </c>
      <c r="E48" s="6">
        <f>SUMIFS('Margin Analysis'!$AB$2:$AB$645,'Margin Analysis'!$Y$2:$Y$645,$A48,'Margin Analysis'!$X$2:$X$645,$B48,'Margin Analysis'!$B$2:$B$645,$C48)</f>
        <v>0</v>
      </c>
      <c r="F48" s="6">
        <f>SUMIFS('Margin Analysis'!$AA$2:$AA$645,'Margin Analysis'!$Y$2:$Y$645,$A48,'Margin Analysis'!$X$2:$X$645,$B48,'Margin Analysis'!$B$2:$B$645,$C48)</f>
        <v>0</v>
      </c>
      <c r="G48" s="6">
        <f t="shared" si="3"/>
        <v>0</v>
      </c>
      <c r="H48" s="7">
        <f t="shared" si="4"/>
        <v>0</v>
      </c>
      <c r="I48" s="6">
        <f>SUMIFS('Margin Analysis'!$AK$2:$AK$645,'Margin Analysis'!$Y$2:$Y$645,$A48,'Margin Analysis'!$X$2:$X$645,$B48,'Margin Analysis'!$B$2:$B$645,$C48)</f>
        <v>0</v>
      </c>
      <c r="J48" s="6">
        <f>SUMIFS('Margin Analysis'!$AM$2:$AM$645,'Margin Analysis'!$Y$2:$Y$645,$A48,'Margin Analysis'!$X$2:$X$645,$B48,'Margin Analysis'!$B$2:$B$645,$C48)</f>
        <v>0</v>
      </c>
      <c r="K48" s="7">
        <f t="shared" si="5"/>
        <v>0</v>
      </c>
      <c r="L48">
        <f>COUNTIFS('Margin Analysis'!$Y$2:$Y$645,$A48,'Margin Analysis'!$X$2:$X$645,$B48,'Margin Analysis'!$B$2:$B$645,$C48,'Margin Analysis'!$AN$2:$AN$645,"&lt;"&amp;Assumptions!$B$3)</f>
        <v>0</v>
      </c>
    </row>
    <row r="49" spans="1:12">
      <c r="A49" t="s">
        <v>28</v>
      </c>
      <c r="B49" t="s">
        <v>29</v>
      </c>
      <c r="C49" t="s">
        <v>45</v>
      </c>
      <c r="D49">
        <f>COUNTIFS('Margin Analysis'!$Y$2:$Y$645,$A49,'Margin Analysis'!$X$2:$X$645,$B49,'Margin Analysis'!$B$2:$B$645,$C49)</f>
        <v>0</v>
      </c>
      <c r="E49" s="6">
        <f>SUMIFS('Margin Analysis'!$AB$2:$AB$645,'Margin Analysis'!$Y$2:$Y$645,$A49,'Margin Analysis'!$X$2:$X$645,$B49,'Margin Analysis'!$B$2:$B$645,$C49)</f>
        <v>0</v>
      </c>
      <c r="F49" s="6">
        <f>SUMIFS('Margin Analysis'!$AA$2:$AA$645,'Margin Analysis'!$Y$2:$Y$645,$A49,'Margin Analysis'!$X$2:$X$645,$B49,'Margin Analysis'!$B$2:$B$645,$C49)</f>
        <v>0</v>
      </c>
      <c r="G49" s="6">
        <f t="shared" si="3"/>
        <v>0</v>
      </c>
      <c r="H49" s="7">
        <f t="shared" si="4"/>
        <v>0</v>
      </c>
      <c r="I49" s="6">
        <f>SUMIFS('Margin Analysis'!$AK$2:$AK$645,'Margin Analysis'!$Y$2:$Y$645,$A49,'Margin Analysis'!$X$2:$X$645,$B49,'Margin Analysis'!$B$2:$B$645,$C49)</f>
        <v>0</v>
      </c>
      <c r="J49" s="6">
        <f>SUMIFS('Margin Analysis'!$AM$2:$AM$645,'Margin Analysis'!$Y$2:$Y$645,$A49,'Margin Analysis'!$X$2:$X$645,$B49,'Margin Analysis'!$B$2:$B$645,$C49)</f>
        <v>0</v>
      </c>
      <c r="K49" s="7">
        <f t="shared" si="5"/>
        <v>0</v>
      </c>
      <c r="L49">
        <f>COUNTIFS('Margin Analysis'!$Y$2:$Y$645,$A49,'Margin Analysis'!$X$2:$X$645,$B49,'Margin Analysis'!$B$2:$B$645,$C49,'Margin Analysis'!$AN$2:$AN$645,"&lt;"&amp;Assumptions!$B$3)</f>
        <v>0</v>
      </c>
    </row>
    <row r="50" spans="1:12">
      <c r="A50" t="s">
        <v>28</v>
      </c>
      <c r="B50" t="s">
        <v>29</v>
      </c>
      <c r="C50" t="s">
        <v>46</v>
      </c>
      <c r="D50">
        <f>COUNTIFS('Margin Analysis'!$Y$2:$Y$645,$A50,'Margin Analysis'!$X$2:$X$645,$B50,'Margin Analysis'!$B$2:$B$645,$C50)</f>
        <v>0</v>
      </c>
      <c r="E50" s="6">
        <f>SUMIFS('Margin Analysis'!$AB$2:$AB$645,'Margin Analysis'!$Y$2:$Y$645,$A50,'Margin Analysis'!$X$2:$X$645,$B50,'Margin Analysis'!$B$2:$B$645,$C50)</f>
        <v>0</v>
      </c>
      <c r="F50" s="6">
        <f>SUMIFS('Margin Analysis'!$AA$2:$AA$645,'Margin Analysis'!$Y$2:$Y$645,$A50,'Margin Analysis'!$X$2:$X$645,$B50,'Margin Analysis'!$B$2:$B$645,$C50)</f>
        <v>0</v>
      </c>
      <c r="G50" s="6">
        <f t="shared" si="3"/>
        <v>0</v>
      </c>
      <c r="H50" s="7">
        <f t="shared" si="4"/>
        <v>0</v>
      </c>
      <c r="I50" s="6">
        <f>SUMIFS('Margin Analysis'!$AK$2:$AK$645,'Margin Analysis'!$Y$2:$Y$645,$A50,'Margin Analysis'!$X$2:$X$645,$B50,'Margin Analysis'!$B$2:$B$645,$C50)</f>
        <v>0</v>
      </c>
      <c r="J50" s="6">
        <f>SUMIFS('Margin Analysis'!$AM$2:$AM$645,'Margin Analysis'!$Y$2:$Y$645,$A50,'Margin Analysis'!$X$2:$X$645,$B50,'Margin Analysis'!$B$2:$B$645,$C50)</f>
        <v>0</v>
      </c>
      <c r="K50" s="7">
        <f t="shared" si="5"/>
        <v>0</v>
      </c>
      <c r="L50">
        <f>COUNTIFS('Margin Analysis'!$Y$2:$Y$645,$A50,'Margin Analysis'!$X$2:$X$645,$B50,'Margin Analysis'!$B$2:$B$645,$C50,'Margin Analysis'!$AN$2:$AN$645,"&lt;"&amp;Assumptions!$B$3)</f>
        <v>0</v>
      </c>
    </row>
    <row r="51" spans="1:12">
      <c r="A51" t="s">
        <v>28</v>
      </c>
      <c r="B51" t="s">
        <v>30</v>
      </c>
      <c r="C51" t="s">
        <v>35</v>
      </c>
      <c r="D51">
        <f>COUNTIFS('Margin Analysis'!$Y$2:$Y$645,$A51,'Margin Analysis'!$X$2:$X$645,$B51,'Margin Analysis'!$B$2:$B$645,$C51)</f>
        <v>0</v>
      </c>
      <c r="E51" s="6">
        <f>SUMIFS('Margin Analysis'!$AB$2:$AB$645,'Margin Analysis'!$Y$2:$Y$645,$A51,'Margin Analysis'!$X$2:$X$645,$B51,'Margin Analysis'!$B$2:$B$645,$C51)</f>
        <v>0</v>
      </c>
      <c r="F51" s="6">
        <f>SUMIFS('Margin Analysis'!$AA$2:$AA$645,'Margin Analysis'!$Y$2:$Y$645,$A51,'Margin Analysis'!$X$2:$X$645,$B51,'Margin Analysis'!$B$2:$B$645,$C51)</f>
        <v>0</v>
      </c>
      <c r="G51" s="6">
        <f t="shared" si="3"/>
        <v>0</v>
      </c>
      <c r="H51" s="7">
        <f t="shared" si="4"/>
        <v>0</v>
      </c>
      <c r="I51" s="6">
        <f>SUMIFS('Margin Analysis'!$AK$2:$AK$645,'Margin Analysis'!$Y$2:$Y$645,$A51,'Margin Analysis'!$X$2:$X$645,$B51,'Margin Analysis'!$B$2:$B$645,$C51)</f>
        <v>0</v>
      </c>
      <c r="J51" s="6">
        <f>SUMIFS('Margin Analysis'!$AM$2:$AM$645,'Margin Analysis'!$Y$2:$Y$645,$A51,'Margin Analysis'!$X$2:$X$645,$B51,'Margin Analysis'!$B$2:$B$645,$C51)</f>
        <v>0</v>
      </c>
      <c r="K51" s="7">
        <f t="shared" si="5"/>
        <v>0</v>
      </c>
      <c r="L51">
        <f>COUNTIFS('Margin Analysis'!$Y$2:$Y$645,$A51,'Margin Analysis'!$X$2:$X$645,$B51,'Margin Analysis'!$B$2:$B$645,$C51,'Margin Analysis'!$AN$2:$AN$645,"&lt;"&amp;Assumptions!$B$3)</f>
        <v>0</v>
      </c>
    </row>
    <row r="52" spans="1:12">
      <c r="A52" t="s">
        <v>28</v>
      </c>
      <c r="B52" t="s">
        <v>30</v>
      </c>
      <c r="C52" t="s">
        <v>36</v>
      </c>
      <c r="D52">
        <f>COUNTIFS('Margin Analysis'!$Y$2:$Y$645,$A52,'Margin Analysis'!$X$2:$X$645,$B52,'Margin Analysis'!$B$2:$B$645,$C52)</f>
        <v>0</v>
      </c>
      <c r="E52" s="6">
        <f>SUMIFS('Margin Analysis'!$AB$2:$AB$645,'Margin Analysis'!$Y$2:$Y$645,$A52,'Margin Analysis'!$X$2:$X$645,$B52,'Margin Analysis'!$B$2:$B$645,$C52)</f>
        <v>0</v>
      </c>
      <c r="F52" s="6">
        <f>SUMIFS('Margin Analysis'!$AA$2:$AA$645,'Margin Analysis'!$Y$2:$Y$645,$A52,'Margin Analysis'!$X$2:$X$645,$B52,'Margin Analysis'!$B$2:$B$645,$C52)</f>
        <v>0</v>
      </c>
      <c r="G52" s="6">
        <f t="shared" si="3"/>
        <v>0</v>
      </c>
      <c r="H52" s="7">
        <f t="shared" si="4"/>
        <v>0</v>
      </c>
      <c r="I52" s="6">
        <f>SUMIFS('Margin Analysis'!$AK$2:$AK$645,'Margin Analysis'!$Y$2:$Y$645,$A52,'Margin Analysis'!$X$2:$X$645,$B52,'Margin Analysis'!$B$2:$B$645,$C52)</f>
        <v>0</v>
      </c>
      <c r="J52" s="6">
        <f>SUMIFS('Margin Analysis'!$AM$2:$AM$645,'Margin Analysis'!$Y$2:$Y$645,$A52,'Margin Analysis'!$X$2:$X$645,$B52,'Margin Analysis'!$B$2:$B$645,$C52)</f>
        <v>0</v>
      </c>
      <c r="K52" s="7">
        <f t="shared" si="5"/>
        <v>0</v>
      </c>
      <c r="L52">
        <f>COUNTIFS('Margin Analysis'!$Y$2:$Y$645,$A52,'Margin Analysis'!$X$2:$X$645,$B52,'Margin Analysis'!$B$2:$B$645,$C52,'Margin Analysis'!$AN$2:$AN$645,"&lt;"&amp;Assumptions!$B$3)</f>
        <v>0</v>
      </c>
    </row>
    <row r="53" spans="1:12">
      <c r="A53" t="s">
        <v>28</v>
      </c>
      <c r="B53" t="s">
        <v>30</v>
      </c>
      <c r="C53" t="s">
        <v>37</v>
      </c>
      <c r="D53">
        <f>COUNTIFS('Margin Analysis'!$Y$2:$Y$645,$A53,'Margin Analysis'!$X$2:$X$645,$B53,'Margin Analysis'!$B$2:$B$645,$C53)</f>
        <v>0</v>
      </c>
      <c r="E53" s="6">
        <f>SUMIFS('Margin Analysis'!$AB$2:$AB$645,'Margin Analysis'!$Y$2:$Y$645,$A53,'Margin Analysis'!$X$2:$X$645,$B53,'Margin Analysis'!$B$2:$B$645,$C53)</f>
        <v>0</v>
      </c>
      <c r="F53" s="6">
        <f>SUMIFS('Margin Analysis'!$AA$2:$AA$645,'Margin Analysis'!$Y$2:$Y$645,$A53,'Margin Analysis'!$X$2:$X$645,$B53,'Margin Analysis'!$B$2:$B$645,$C53)</f>
        <v>0</v>
      </c>
      <c r="G53" s="6">
        <f t="shared" si="3"/>
        <v>0</v>
      </c>
      <c r="H53" s="7">
        <f t="shared" si="4"/>
        <v>0</v>
      </c>
      <c r="I53" s="6">
        <f>SUMIFS('Margin Analysis'!$AK$2:$AK$645,'Margin Analysis'!$Y$2:$Y$645,$A53,'Margin Analysis'!$X$2:$X$645,$B53,'Margin Analysis'!$B$2:$B$645,$C53)</f>
        <v>0</v>
      </c>
      <c r="J53" s="6">
        <f>SUMIFS('Margin Analysis'!$AM$2:$AM$645,'Margin Analysis'!$Y$2:$Y$645,$A53,'Margin Analysis'!$X$2:$X$645,$B53,'Margin Analysis'!$B$2:$B$645,$C53)</f>
        <v>0</v>
      </c>
      <c r="K53" s="7">
        <f t="shared" si="5"/>
        <v>0</v>
      </c>
      <c r="L53">
        <f>COUNTIFS('Margin Analysis'!$Y$2:$Y$645,$A53,'Margin Analysis'!$X$2:$X$645,$B53,'Margin Analysis'!$B$2:$B$645,$C53,'Margin Analysis'!$AN$2:$AN$645,"&lt;"&amp;Assumptions!$B$3)</f>
        <v>0</v>
      </c>
    </row>
    <row r="54" spans="1:12">
      <c r="A54" t="s">
        <v>28</v>
      </c>
      <c r="B54" t="s">
        <v>30</v>
      </c>
      <c r="C54" t="s">
        <v>38</v>
      </c>
      <c r="D54">
        <f>COUNTIFS('Margin Analysis'!$Y$2:$Y$645,$A54,'Margin Analysis'!$X$2:$X$645,$B54,'Margin Analysis'!$B$2:$B$645,$C54)</f>
        <v>0</v>
      </c>
      <c r="E54" s="6">
        <f>SUMIFS('Margin Analysis'!$AB$2:$AB$645,'Margin Analysis'!$Y$2:$Y$645,$A54,'Margin Analysis'!$X$2:$X$645,$B54,'Margin Analysis'!$B$2:$B$645,$C54)</f>
        <v>0</v>
      </c>
      <c r="F54" s="6">
        <f>SUMIFS('Margin Analysis'!$AA$2:$AA$645,'Margin Analysis'!$Y$2:$Y$645,$A54,'Margin Analysis'!$X$2:$X$645,$B54,'Margin Analysis'!$B$2:$B$645,$C54)</f>
        <v>0</v>
      </c>
      <c r="G54" s="6">
        <f t="shared" si="3"/>
        <v>0</v>
      </c>
      <c r="H54" s="7">
        <f t="shared" si="4"/>
        <v>0</v>
      </c>
      <c r="I54" s="6">
        <f>SUMIFS('Margin Analysis'!$AK$2:$AK$645,'Margin Analysis'!$Y$2:$Y$645,$A54,'Margin Analysis'!$X$2:$X$645,$B54,'Margin Analysis'!$B$2:$B$645,$C54)</f>
        <v>0</v>
      </c>
      <c r="J54" s="6">
        <f>SUMIFS('Margin Analysis'!$AM$2:$AM$645,'Margin Analysis'!$Y$2:$Y$645,$A54,'Margin Analysis'!$X$2:$X$645,$B54,'Margin Analysis'!$B$2:$B$645,$C54)</f>
        <v>0</v>
      </c>
      <c r="K54" s="7">
        <f t="shared" si="5"/>
        <v>0</v>
      </c>
      <c r="L54">
        <f>COUNTIFS('Margin Analysis'!$Y$2:$Y$645,$A54,'Margin Analysis'!$X$2:$X$645,$B54,'Margin Analysis'!$B$2:$B$645,$C54,'Margin Analysis'!$AN$2:$AN$645,"&lt;"&amp;Assumptions!$B$3)</f>
        <v>0</v>
      </c>
    </row>
    <row r="55" spans="1:12">
      <c r="A55" t="s">
        <v>28</v>
      </c>
      <c r="B55" t="s">
        <v>30</v>
      </c>
      <c r="C55" t="s">
        <v>39</v>
      </c>
      <c r="D55">
        <f>COUNTIFS('Margin Analysis'!$Y$2:$Y$645,$A55,'Margin Analysis'!$X$2:$X$645,$B55,'Margin Analysis'!$B$2:$B$645,$C55)</f>
        <v>0</v>
      </c>
      <c r="E55" s="6">
        <f>SUMIFS('Margin Analysis'!$AB$2:$AB$645,'Margin Analysis'!$Y$2:$Y$645,$A55,'Margin Analysis'!$X$2:$X$645,$B55,'Margin Analysis'!$B$2:$B$645,$C55)</f>
        <v>0</v>
      </c>
      <c r="F55" s="6">
        <f>SUMIFS('Margin Analysis'!$AA$2:$AA$645,'Margin Analysis'!$Y$2:$Y$645,$A55,'Margin Analysis'!$X$2:$X$645,$B55,'Margin Analysis'!$B$2:$B$645,$C55)</f>
        <v>0</v>
      </c>
      <c r="G55" s="6">
        <f t="shared" si="3"/>
        <v>0</v>
      </c>
      <c r="H55" s="7">
        <f t="shared" si="4"/>
        <v>0</v>
      </c>
      <c r="I55" s="6">
        <f>SUMIFS('Margin Analysis'!$AK$2:$AK$645,'Margin Analysis'!$Y$2:$Y$645,$A55,'Margin Analysis'!$X$2:$X$645,$B55,'Margin Analysis'!$B$2:$B$645,$C55)</f>
        <v>0</v>
      </c>
      <c r="J55" s="6">
        <f>SUMIFS('Margin Analysis'!$AM$2:$AM$645,'Margin Analysis'!$Y$2:$Y$645,$A55,'Margin Analysis'!$X$2:$X$645,$B55,'Margin Analysis'!$B$2:$B$645,$C55)</f>
        <v>0</v>
      </c>
      <c r="K55" s="7">
        <f t="shared" si="5"/>
        <v>0</v>
      </c>
      <c r="L55">
        <f>COUNTIFS('Margin Analysis'!$Y$2:$Y$645,$A55,'Margin Analysis'!$X$2:$X$645,$B55,'Margin Analysis'!$B$2:$B$645,$C55,'Margin Analysis'!$AN$2:$AN$645,"&lt;"&amp;Assumptions!$B$3)</f>
        <v>0</v>
      </c>
    </row>
    <row r="56" spans="1:12">
      <c r="A56" t="s">
        <v>28</v>
      </c>
      <c r="B56" t="s">
        <v>30</v>
      </c>
      <c r="C56" t="s">
        <v>40</v>
      </c>
      <c r="D56">
        <f>COUNTIFS('Margin Analysis'!$Y$2:$Y$645,$A56,'Margin Analysis'!$X$2:$X$645,$B56,'Margin Analysis'!$B$2:$B$645,$C56)</f>
        <v>0</v>
      </c>
      <c r="E56" s="6">
        <f>SUMIFS('Margin Analysis'!$AB$2:$AB$645,'Margin Analysis'!$Y$2:$Y$645,$A56,'Margin Analysis'!$X$2:$X$645,$B56,'Margin Analysis'!$B$2:$B$645,$C56)</f>
        <v>0</v>
      </c>
      <c r="F56" s="6">
        <f>SUMIFS('Margin Analysis'!$AA$2:$AA$645,'Margin Analysis'!$Y$2:$Y$645,$A56,'Margin Analysis'!$X$2:$X$645,$B56,'Margin Analysis'!$B$2:$B$645,$C56)</f>
        <v>0</v>
      </c>
      <c r="G56" s="6">
        <f t="shared" si="3"/>
        <v>0</v>
      </c>
      <c r="H56" s="7">
        <f t="shared" si="4"/>
        <v>0</v>
      </c>
      <c r="I56" s="6">
        <f>SUMIFS('Margin Analysis'!$AK$2:$AK$645,'Margin Analysis'!$Y$2:$Y$645,$A56,'Margin Analysis'!$X$2:$X$645,$B56,'Margin Analysis'!$B$2:$B$645,$C56)</f>
        <v>0</v>
      </c>
      <c r="J56" s="6">
        <f>SUMIFS('Margin Analysis'!$AM$2:$AM$645,'Margin Analysis'!$Y$2:$Y$645,$A56,'Margin Analysis'!$X$2:$X$645,$B56,'Margin Analysis'!$B$2:$B$645,$C56)</f>
        <v>0</v>
      </c>
      <c r="K56" s="7">
        <f t="shared" si="5"/>
        <v>0</v>
      </c>
      <c r="L56">
        <f>COUNTIFS('Margin Analysis'!$Y$2:$Y$645,$A56,'Margin Analysis'!$X$2:$X$645,$B56,'Margin Analysis'!$B$2:$B$645,$C56,'Margin Analysis'!$AN$2:$AN$645,"&lt;"&amp;Assumptions!$B$3)</f>
        <v>0</v>
      </c>
    </row>
    <row r="57" spans="1:12">
      <c r="A57" t="s">
        <v>28</v>
      </c>
      <c r="B57" t="s">
        <v>30</v>
      </c>
      <c r="C57" t="s">
        <v>41</v>
      </c>
      <c r="D57">
        <f>COUNTIFS('Margin Analysis'!$Y$2:$Y$645,$A57,'Margin Analysis'!$X$2:$X$645,$B57,'Margin Analysis'!$B$2:$B$645,$C57)</f>
        <v>0</v>
      </c>
      <c r="E57" s="6">
        <f>SUMIFS('Margin Analysis'!$AB$2:$AB$645,'Margin Analysis'!$Y$2:$Y$645,$A57,'Margin Analysis'!$X$2:$X$645,$B57,'Margin Analysis'!$B$2:$B$645,$C57)</f>
        <v>0</v>
      </c>
      <c r="F57" s="6">
        <f>SUMIFS('Margin Analysis'!$AA$2:$AA$645,'Margin Analysis'!$Y$2:$Y$645,$A57,'Margin Analysis'!$X$2:$X$645,$B57,'Margin Analysis'!$B$2:$B$645,$C57)</f>
        <v>0</v>
      </c>
      <c r="G57" s="6">
        <f t="shared" si="3"/>
        <v>0</v>
      </c>
      <c r="H57" s="7">
        <f t="shared" si="4"/>
        <v>0</v>
      </c>
      <c r="I57" s="6">
        <f>SUMIFS('Margin Analysis'!$AK$2:$AK$645,'Margin Analysis'!$Y$2:$Y$645,$A57,'Margin Analysis'!$X$2:$X$645,$B57,'Margin Analysis'!$B$2:$B$645,$C57)</f>
        <v>0</v>
      </c>
      <c r="J57" s="6">
        <f>SUMIFS('Margin Analysis'!$AM$2:$AM$645,'Margin Analysis'!$Y$2:$Y$645,$A57,'Margin Analysis'!$X$2:$X$645,$B57,'Margin Analysis'!$B$2:$B$645,$C57)</f>
        <v>0</v>
      </c>
      <c r="K57" s="7">
        <f t="shared" si="5"/>
        <v>0</v>
      </c>
      <c r="L57">
        <f>COUNTIFS('Margin Analysis'!$Y$2:$Y$645,$A57,'Margin Analysis'!$X$2:$X$645,$B57,'Margin Analysis'!$B$2:$B$645,$C57,'Margin Analysis'!$AN$2:$AN$645,"&lt;"&amp;Assumptions!$B$3)</f>
        <v>0</v>
      </c>
    </row>
    <row r="58" spans="1:12">
      <c r="A58" t="s">
        <v>28</v>
      </c>
      <c r="B58" t="s">
        <v>30</v>
      </c>
      <c r="C58" t="s">
        <v>42</v>
      </c>
      <c r="D58">
        <f>COUNTIFS('Margin Analysis'!$Y$2:$Y$645,$A58,'Margin Analysis'!$X$2:$X$645,$B58,'Margin Analysis'!$B$2:$B$645,$C58)</f>
        <v>0</v>
      </c>
      <c r="E58" s="6">
        <f>SUMIFS('Margin Analysis'!$AB$2:$AB$645,'Margin Analysis'!$Y$2:$Y$645,$A58,'Margin Analysis'!$X$2:$X$645,$B58,'Margin Analysis'!$B$2:$B$645,$C58)</f>
        <v>0</v>
      </c>
      <c r="F58" s="6">
        <f>SUMIFS('Margin Analysis'!$AA$2:$AA$645,'Margin Analysis'!$Y$2:$Y$645,$A58,'Margin Analysis'!$X$2:$X$645,$B58,'Margin Analysis'!$B$2:$B$645,$C58)</f>
        <v>0</v>
      </c>
      <c r="G58" s="6">
        <f t="shared" si="3"/>
        <v>0</v>
      </c>
      <c r="H58" s="7">
        <f t="shared" si="4"/>
        <v>0</v>
      </c>
      <c r="I58" s="6">
        <f>SUMIFS('Margin Analysis'!$AK$2:$AK$645,'Margin Analysis'!$Y$2:$Y$645,$A58,'Margin Analysis'!$X$2:$X$645,$B58,'Margin Analysis'!$B$2:$B$645,$C58)</f>
        <v>0</v>
      </c>
      <c r="J58" s="6">
        <f>SUMIFS('Margin Analysis'!$AM$2:$AM$645,'Margin Analysis'!$Y$2:$Y$645,$A58,'Margin Analysis'!$X$2:$X$645,$B58,'Margin Analysis'!$B$2:$B$645,$C58)</f>
        <v>0</v>
      </c>
      <c r="K58" s="7">
        <f t="shared" si="5"/>
        <v>0</v>
      </c>
      <c r="L58">
        <f>COUNTIFS('Margin Analysis'!$Y$2:$Y$645,$A58,'Margin Analysis'!$X$2:$X$645,$B58,'Margin Analysis'!$B$2:$B$645,$C58,'Margin Analysis'!$AN$2:$AN$645,"&lt;"&amp;Assumptions!$B$3)</f>
        <v>0</v>
      </c>
    </row>
    <row r="59" spans="1:12">
      <c r="A59" t="s">
        <v>28</v>
      </c>
      <c r="B59" t="s">
        <v>30</v>
      </c>
      <c r="C59" t="s">
        <v>48</v>
      </c>
      <c r="D59">
        <f>COUNTIFS('Margin Analysis'!$Y$2:$Y$645,$A59,'Margin Analysis'!$X$2:$X$645,$B59,'Margin Analysis'!$B$2:$B$645,$C59)</f>
        <v>0</v>
      </c>
      <c r="E59" s="6">
        <f>SUMIFS('Margin Analysis'!$AB$2:$AB$645,'Margin Analysis'!$Y$2:$Y$645,$A59,'Margin Analysis'!$X$2:$X$645,$B59,'Margin Analysis'!$B$2:$B$645,$C59)</f>
        <v>0</v>
      </c>
      <c r="F59" s="6">
        <f>SUMIFS('Margin Analysis'!$AA$2:$AA$645,'Margin Analysis'!$Y$2:$Y$645,$A59,'Margin Analysis'!$X$2:$X$645,$B59,'Margin Analysis'!$B$2:$B$645,$C59)</f>
        <v>0</v>
      </c>
      <c r="G59" s="6">
        <f t="shared" si="3"/>
        <v>0</v>
      </c>
      <c r="H59" s="7">
        <f t="shared" si="4"/>
        <v>0</v>
      </c>
      <c r="I59" s="6">
        <f>SUMIFS('Margin Analysis'!$AK$2:$AK$645,'Margin Analysis'!$Y$2:$Y$645,$A59,'Margin Analysis'!$X$2:$X$645,$B59,'Margin Analysis'!$B$2:$B$645,$C59)</f>
        <v>0</v>
      </c>
      <c r="J59" s="6">
        <f>SUMIFS('Margin Analysis'!$AM$2:$AM$645,'Margin Analysis'!$Y$2:$Y$645,$A59,'Margin Analysis'!$X$2:$X$645,$B59,'Margin Analysis'!$B$2:$B$645,$C59)</f>
        <v>0</v>
      </c>
      <c r="K59" s="7">
        <f t="shared" si="5"/>
        <v>0</v>
      </c>
      <c r="L59">
        <f>COUNTIFS('Margin Analysis'!$Y$2:$Y$645,$A59,'Margin Analysis'!$X$2:$X$645,$B59,'Margin Analysis'!$B$2:$B$645,$C59,'Margin Analysis'!$AN$2:$AN$645,"&lt;"&amp;Assumptions!$B$3)</f>
        <v>0</v>
      </c>
    </row>
    <row r="60" spans="1:12">
      <c r="A60" t="s">
        <v>31</v>
      </c>
      <c r="B60" t="s">
        <v>30</v>
      </c>
      <c r="C60" t="s">
        <v>35</v>
      </c>
      <c r="D60">
        <f>COUNTIFS('Margin Analysis'!$Y$2:$Y$645,$A60,'Margin Analysis'!$X$2:$X$645,$B60,'Margin Analysis'!$B$2:$B$645,$C60)</f>
        <v>0</v>
      </c>
      <c r="E60" s="6">
        <f>SUMIFS('Margin Analysis'!$AB$2:$AB$645,'Margin Analysis'!$Y$2:$Y$645,$A60,'Margin Analysis'!$X$2:$X$645,$B60,'Margin Analysis'!$B$2:$B$645,$C60)</f>
        <v>0</v>
      </c>
      <c r="F60" s="6">
        <f>SUMIFS('Margin Analysis'!$AA$2:$AA$645,'Margin Analysis'!$Y$2:$Y$645,$A60,'Margin Analysis'!$X$2:$X$645,$B60,'Margin Analysis'!$B$2:$B$645,$C60)</f>
        <v>0</v>
      </c>
      <c r="G60" s="6">
        <f t="shared" si="3"/>
        <v>0</v>
      </c>
      <c r="H60" s="7">
        <f t="shared" si="4"/>
        <v>0</v>
      </c>
      <c r="I60" s="6">
        <f>SUMIFS('Margin Analysis'!$AK$2:$AK$645,'Margin Analysis'!$Y$2:$Y$645,$A60,'Margin Analysis'!$X$2:$X$645,$B60,'Margin Analysis'!$B$2:$B$645,$C60)</f>
        <v>0</v>
      </c>
      <c r="J60" s="6">
        <f>SUMIFS('Margin Analysis'!$AM$2:$AM$645,'Margin Analysis'!$Y$2:$Y$645,$A60,'Margin Analysis'!$X$2:$X$645,$B60,'Margin Analysis'!$B$2:$B$645,$C60)</f>
        <v>0</v>
      </c>
      <c r="K60" s="7">
        <f t="shared" si="5"/>
        <v>0</v>
      </c>
      <c r="L60">
        <f>COUNTIFS('Margin Analysis'!$Y$2:$Y$645,$A60,'Margin Analysis'!$X$2:$X$645,$B60,'Margin Analysis'!$B$2:$B$645,$C60,'Margin Analysis'!$AN$2:$AN$645,"&lt;"&amp;Assumptions!$B$3)</f>
        <v>0</v>
      </c>
    </row>
    <row r="61" spans="1:12">
      <c r="A61" t="s">
        <v>31</v>
      </c>
      <c r="B61" t="s">
        <v>30</v>
      </c>
      <c r="C61" t="s">
        <v>36</v>
      </c>
      <c r="D61">
        <f>COUNTIFS('Margin Analysis'!$Y$2:$Y$645,$A61,'Margin Analysis'!$X$2:$X$645,$B61,'Margin Analysis'!$B$2:$B$645,$C61)</f>
        <v>0</v>
      </c>
      <c r="E61" s="6">
        <f>SUMIFS('Margin Analysis'!$AB$2:$AB$645,'Margin Analysis'!$Y$2:$Y$645,$A61,'Margin Analysis'!$X$2:$X$645,$B61,'Margin Analysis'!$B$2:$B$645,$C61)</f>
        <v>0</v>
      </c>
      <c r="F61" s="6">
        <f>SUMIFS('Margin Analysis'!$AA$2:$AA$645,'Margin Analysis'!$Y$2:$Y$645,$A61,'Margin Analysis'!$X$2:$X$645,$B61,'Margin Analysis'!$B$2:$B$645,$C61)</f>
        <v>0</v>
      </c>
      <c r="G61" s="6">
        <f t="shared" si="3"/>
        <v>0</v>
      </c>
      <c r="H61" s="7">
        <f t="shared" si="4"/>
        <v>0</v>
      </c>
      <c r="I61" s="6">
        <f>SUMIFS('Margin Analysis'!$AK$2:$AK$645,'Margin Analysis'!$Y$2:$Y$645,$A61,'Margin Analysis'!$X$2:$X$645,$B61,'Margin Analysis'!$B$2:$B$645,$C61)</f>
        <v>0</v>
      </c>
      <c r="J61" s="6">
        <f>SUMIFS('Margin Analysis'!$AM$2:$AM$645,'Margin Analysis'!$Y$2:$Y$645,$A61,'Margin Analysis'!$X$2:$X$645,$B61,'Margin Analysis'!$B$2:$B$645,$C61)</f>
        <v>0</v>
      </c>
      <c r="K61" s="7">
        <f t="shared" si="5"/>
        <v>0</v>
      </c>
      <c r="L61">
        <f>COUNTIFS('Margin Analysis'!$Y$2:$Y$645,$A61,'Margin Analysis'!$X$2:$X$645,$B61,'Margin Analysis'!$B$2:$B$645,$C61,'Margin Analysis'!$AN$2:$AN$645,"&lt;"&amp;Assumptions!$B$3)</f>
        <v>0</v>
      </c>
    </row>
    <row r="62" spans="1:12">
      <c r="A62" t="s">
        <v>31</v>
      </c>
      <c r="B62" t="s">
        <v>30</v>
      </c>
      <c r="C62" t="s">
        <v>37</v>
      </c>
      <c r="D62">
        <f>COUNTIFS('Margin Analysis'!$Y$2:$Y$645,$A62,'Margin Analysis'!$X$2:$X$645,$B62,'Margin Analysis'!$B$2:$B$645,$C62)</f>
        <v>0</v>
      </c>
      <c r="E62" s="6">
        <f>SUMIFS('Margin Analysis'!$AB$2:$AB$645,'Margin Analysis'!$Y$2:$Y$645,$A62,'Margin Analysis'!$X$2:$X$645,$B62,'Margin Analysis'!$B$2:$B$645,$C62)</f>
        <v>0</v>
      </c>
      <c r="F62" s="6">
        <f>SUMIFS('Margin Analysis'!$AA$2:$AA$645,'Margin Analysis'!$Y$2:$Y$645,$A62,'Margin Analysis'!$X$2:$X$645,$B62,'Margin Analysis'!$B$2:$B$645,$C62)</f>
        <v>0</v>
      </c>
      <c r="G62" s="6">
        <f t="shared" si="3"/>
        <v>0</v>
      </c>
      <c r="H62" s="7">
        <f t="shared" si="4"/>
        <v>0</v>
      </c>
      <c r="I62" s="6">
        <f>SUMIFS('Margin Analysis'!$AK$2:$AK$645,'Margin Analysis'!$Y$2:$Y$645,$A62,'Margin Analysis'!$X$2:$X$645,$B62,'Margin Analysis'!$B$2:$B$645,$C62)</f>
        <v>0</v>
      </c>
      <c r="J62" s="6">
        <f>SUMIFS('Margin Analysis'!$AM$2:$AM$645,'Margin Analysis'!$Y$2:$Y$645,$A62,'Margin Analysis'!$X$2:$X$645,$B62,'Margin Analysis'!$B$2:$B$645,$C62)</f>
        <v>0</v>
      </c>
      <c r="K62" s="7">
        <f t="shared" si="5"/>
        <v>0</v>
      </c>
      <c r="L62">
        <f>COUNTIFS('Margin Analysis'!$Y$2:$Y$645,$A62,'Margin Analysis'!$X$2:$X$645,$B62,'Margin Analysis'!$B$2:$B$645,$C62,'Margin Analysis'!$AN$2:$AN$645,"&lt;"&amp;Assumptions!$B$3)</f>
        <v>0</v>
      </c>
    </row>
    <row r="63" spans="1:12">
      <c r="A63" t="s">
        <v>31</v>
      </c>
      <c r="B63" t="s">
        <v>30</v>
      </c>
      <c r="C63" t="s">
        <v>38</v>
      </c>
      <c r="D63">
        <f>COUNTIFS('Margin Analysis'!$Y$2:$Y$645,$A63,'Margin Analysis'!$X$2:$X$645,$B63,'Margin Analysis'!$B$2:$B$645,$C63)</f>
        <v>0</v>
      </c>
      <c r="E63" s="6">
        <f>SUMIFS('Margin Analysis'!$AB$2:$AB$645,'Margin Analysis'!$Y$2:$Y$645,$A63,'Margin Analysis'!$X$2:$X$645,$B63,'Margin Analysis'!$B$2:$B$645,$C63)</f>
        <v>0</v>
      </c>
      <c r="F63" s="6">
        <f>SUMIFS('Margin Analysis'!$AA$2:$AA$645,'Margin Analysis'!$Y$2:$Y$645,$A63,'Margin Analysis'!$X$2:$X$645,$B63,'Margin Analysis'!$B$2:$B$645,$C63)</f>
        <v>0</v>
      </c>
      <c r="G63" s="6">
        <f t="shared" si="3"/>
        <v>0</v>
      </c>
      <c r="H63" s="7">
        <f t="shared" si="4"/>
        <v>0</v>
      </c>
      <c r="I63" s="6">
        <f>SUMIFS('Margin Analysis'!$AK$2:$AK$645,'Margin Analysis'!$Y$2:$Y$645,$A63,'Margin Analysis'!$X$2:$X$645,$B63,'Margin Analysis'!$B$2:$B$645,$C63)</f>
        <v>0</v>
      </c>
      <c r="J63" s="6">
        <f>SUMIFS('Margin Analysis'!$AM$2:$AM$645,'Margin Analysis'!$Y$2:$Y$645,$A63,'Margin Analysis'!$X$2:$X$645,$B63,'Margin Analysis'!$B$2:$B$645,$C63)</f>
        <v>0</v>
      </c>
      <c r="K63" s="7">
        <f t="shared" si="5"/>
        <v>0</v>
      </c>
      <c r="L63">
        <f>COUNTIFS('Margin Analysis'!$Y$2:$Y$645,$A63,'Margin Analysis'!$X$2:$X$645,$B63,'Margin Analysis'!$B$2:$B$645,$C63,'Margin Analysis'!$AN$2:$AN$645,"&lt;"&amp;Assumptions!$B$3)</f>
        <v>0</v>
      </c>
    </row>
    <row r="64" spans="1:12">
      <c r="A64" t="s">
        <v>31</v>
      </c>
      <c r="B64" t="s">
        <v>30</v>
      </c>
      <c r="C64" t="s">
        <v>39</v>
      </c>
      <c r="D64">
        <f>COUNTIFS('Margin Analysis'!$Y$2:$Y$645,$A64,'Margin Analysis'!$X$2:$X$645,$B64,'Margin Analysis'!$B$2:$B$645,$C64)</f>
        <v>0</v>
      </c>
      <c r="E64" s="6">
        <f>SUMIFS('Margin Analysis'!$AB$2:$AB$645,'Margin Analysis'!$Y$2:$Y$645,$A64,'Margin Analysis'!$X$2:$X$645,$B64,'Margin Analysis'!$B$2:$B$645,$C64)</f>
        <v>0</v>
      </c>
      <c r="F64" s="6">
        <f>SUMIFS('Margin Analysis'!$AA$2:$AA$645,'Margin Analysis'!$Y$2:$Y$645,$A64,'Margin Analysis'!$X$2:$X$645,$B64,'Margin Analysis'!$B$2:$B$645,$C64)</f>
        <v>0</v>
      </c>
      <c r="G64" s="6">
        <f t="shared" si="3"/>
        <v>0</v>
      </c>
      <c r="H64" s="7">
        <f t="shared" si="4"/>
        <v>0</v>
      </c>
      <c r="I64" s="6">
        <f>SUMIFS('Margin Analysis'!$AK$2:$AK$645,'Margin Analysis'!$Y$2:$Y$645,$A64,'Margin Analysis'!$X$2:$X$645,$B64,'Margin Analysis'!$B$2:$B$645,$C64)</f>
        <v>0</v>
      </c>
      <c r="J64" s="6">
        <f>SUMIFS('Margin Analysis'!$AM$2:$AM$645,'Margin Analysis'!$Y$2:$Y$645,$A64,'Margin Analysis'!$X$2:$X$645,$B64,'Margin Analysis'!$B$2:$B$645,$C64)</f>
        <v>0</v>
      </c>
      <c r="K64" s="7">
        <f t="shared" si="5"/>
        <v>0</v>
      </c>
      <c r="L64">
        <f>COUNTIFS('Margin Analysis'!$Y$2:$Y$645,$A64,'Margin Analysis'!$X$2:$X$645,$B64,'Margin Analysis'!$B$2:$B$645,$C64,'Margin Analysis'!$AN$2:$AN$645,"&lt;"&amp;Assumptions!$B$3)</f>
        <v>0</v>
      </c>
    </row>
    <row r="65" spans="1:12">
      <c r="A65" t="s">
        <v>31</v>
      </c>
      <c r="B65" t="s">
        <v>30</v>
      </c>
      <c r="C65" t="s">
        <v>40</v>
      </c>
      <c r="D65">
        <f>COUNTIFS('Margin Analysis'!$Y$2:$Y$645,$A65,'Margin Analysis'!$X$2:$X$645,$B65,'Margin Analysis'!$B$2:$B$645,$C65)</f>
        <v>0</v>
      </c>
      <c r="E65" s="6">
        <f>SUMIFS('Margin Analysis'!$AB$2:$AB$645,'Margin Analysis'!$Y$2:$Y$645,$A65,'Margin Analysis'!$X$2:$X$645,$B65,'Margin Analysis'!$B$2:$B$645,$C65)</f>
        <v>0</v>
      </c>
      <c r="F65" s="6">
        <f>SUMIFS('Margin Analysis'!$AA$2:$AA$645,'Margin Analysis'!$Y$2:$Y$645,$A65,'Margin Analysis'!$X$2:$X$645,$B65,'Margin Analysis'!$B$2:$B$645,$C65)</f>
        <v>0</v>
      </c>
      <c r="G65" s="6">
        <f t="shared" si="3"/>
        <v>0</v>
      </c>
      <c r="H65" s="7">
        <f t="shared" si="4"/>
        <v>0</v>
      </c>
      <c r="I65" s="6">
        <f>SUMIFS('Margin Analysis'!$AK$2:$AK$645,'Margin Analysis'!$Y$2:$Y$645,$A65,'Margin Analysis'!$X$2:$X$645,$B65,'Margin Analysis'!$B$2:$B$645,$C65)</f>
        <v>0</v>
      </c>
      <c r="J65" s="6">
        <f>SUMIFS('Margin Analysis'!$AM$2:$AM$645,'Margin Analysis'!$Y$2:$Y$645,$A65,'Margin Analysis'!$X$2:$X$645,$B65,'Margin Analysis'!$B$2:$B$645,$C65)</f>
        <v>0</v>
      </c>
      <c r="K65" s="7">
        <f t="shared" si="5"/>
        <v>0</v>
      </c>
      <c r="L65">
        <f>COUNTIFS('Margin Analysis'!$Y$2:$Y$645,$A65,'Margin Analysis'!$X$2:$X$645,$B65,'Margin Analysis'!$B$2:$B$645,$C65,'Margin Analysis'!$AN$2:$AN$645,"&lt;"&amp;Assumptions!$B$3)</f>
        <v>0</v>
      </c>
    </row>
    <row r="66" spans="1:12">
      <c r="A66" t="s">
        <v>31</v>
      </c>
      <c r="B66" t="s">
        <v>30</v>
      </c>
      <c r="C66" t="s">
        <v>41</v>
      </c>
      <c r="D66">
        <f>COUNTIFS('Margin Analysis'!$Y$2:$Y$645,$A66,'Margin Analysis'!$X$2:$X$645,$B66,'Margin Analysis'!$B$2:$B$645,$C66)</f>
        <v>0</v>
      </c>
      <c r="E66" s="6">
        <f>SUMIFS('Margin Analysis'!$AB$2:$AB$645,'Margin Analysis'!$Y$2:$Y$645,$A66,'Margin Analysis'!$X$2:$X$645,$B66,'Margin Analysis'!$B$2:$B$645,$C66)</f>
        <v>0</v>
      </c>
      <c r="F66" s="6">
        <f>SUMIFS('Margin Analysis'!$AA$2:$AA$645,'Margin Analysis'!$Y$2:$Y$645,$A66,'Margin Analysis'!$X$2:$X$645,$B66,'Margin Analysis'!$B$2:$B$645,$C66)</f>
        <v>0</v>
      </c>
      <c r="G66" s="6">
        <f t="shared" ref="G66:G68" si="6">F66-E66</f>
        <v>0</v>
      </c>
      <c r="H66" s="7">
        <f t="shared" ref="H66:H68" si="7">IFERROR(G66/F66,0)</f>
        <v>0</v>
      </c>
      <c r="I66" s="6">
        <f>SUMIFS('Margin Analysis'!$AK$2:$AK$645,'Margin Analysis'!$Y$2:$Y$645,$A66,'Margin Analysis'!$X$2:$X$645,$B66,'Margin Analysis'!$B$2:$B$645,$C66)</f>
        <v>0</v>
      </c>
      <c r="J66" s="6">
        <f>SUMIFS('Margin Analysis'!$AM$2:$AM$645,'Margin Analysis'!$Y$2:$Y$645,$A66,'Margin Analysis'!$X$2:$X$645,$B66,'Margin Analysis'!$B$2:$B$645,$C66)</f>
        <v>0</v>
      </c>
      <c r="K66" s="7">
        <f t="shared" ref="K66:K68" si="8">IFERROR(J66/F66,0)</f>
        <v>0</v>
      </c>
      <c r="L66">
        <f>COUNTIFS('Margin Analysis'!$Y$2:$Y$645,$A66,'Margin Analysis'!$X$2:$X$645,$B66,'Margin Analysis'!$B$2:$B$645,$C66,'Margin Analysis'!$AN$2:$AN$645,"&lt;"&amp;Assumptions!$B$3)</f>
        <v>0</v>
      </c>
    </row>
    <row r="67" spans="1:12">
      <c r="A67" t="s">
        <v>31</v>
      </c>
      <c r="B67" t="s">
        <v>30</v>
      </c>
      <c r="C67" t="s">
        <v>42</v>
      </c>
      <c r="D67">
        <f>COUNTIFS('Margin Analysis'!$Y$2:$Y$645,$A67,'Margin Analysis'!$X$2:$X$645,$B67,'Margin Analysis'!$B$2:$B$645,$C67)</f>
        <v>0</v>
      </c>
      <c r="E67" s="6">
        <f>SUMIFS('Margin Analysis'!$AB$2:$AB$645,'Margin Analysis'!$Y$2:$Y$645,$A67,'Margin Analysis'!$X$2:$X$645,$B67,'Margin Analysis'!$B$2:$B$645,$C67)</f>
        <v>0</v>
      </c>
      <c r="F67" s="6">
        <f>SUMIFS('Margin Analysis'!$AA$2:$AA$645,'Margin Analysis'!$Y$2:$Y$645,$A67,'Margin Analysis'!$X$2:$X$645,$B67,'Margin Analysis'!$B$2:$B$645,$C67)</f>
        <v>0</v>
      </c>
      <c r="G67" s="6">
        <f t="shared" si="6"/>
        <v>0</v>
      </c>
      <c r="H67" s="7">
        <f t="shared" si="7"/>
        <v>0</v>
      </c>
      <c r="I67" s="6">
        <f>SUMIFS('Margin Analysis'!$AK$2:$AK$645,'Margin Analysis'!$Y$2:$Y$645,$A67,'Margin Analysis'!$X$2:$X$645,$B67,'Margin Analysis'!$B$2:$B$645,$C67)</f>
        <v>0</v>
      </c>
      <c r="J67" s="6">
        <f>SUMIFS('Margin Analysis'!$AM$2:$AM$645,'Margin Analysis'!$Y$2:$Y$645,$A67,'Margin Analysis'!$X$2:$X$645,$B67,'Margin Analysis'!$B$2:$B$645,$C67)</f>
        <v>0</v>
      </c>
      <c r="K67" s="7">
        <f t="shared" si="8"/>
        <v>0</v>
      </c>
      <c r="L67">
        <f>COUNTIFS('Margin Analysis'!$Y$2:$Y$645,$A67,'Margin Analysis'!$X$2:$X$645,$B67,'Margin Analysis'!$B$2:$B$645,$C67,'Margin Analysis'!$AN$2:$AN$645,"&lt;"&amp;Assumptions!$B$3)</f>
        <v>0</v>
      </c>
    </row>
    <row r="68" spans="1:12">
      <c r="A68" t="s">
        <v>31</v>
      </c>
      <c r="B68" t="s">
        <v>30</v>
      </c>
      <c r="C68" t="s">
        <v>48</v>
      </c>
      <c r="D68">
        <f>COUNTIFS('Margin Analysis'!$Y$2:$Y$645,$A68,'Margin Analysis'!$X$2:$X$645,$B68,'Margin Analysis'!$B$2:$B$645,$C68)</f>
        <v>0</v>
      </c>
      <c r="E68" s="6">
        <f>SUMIFS('Margin Analysis'!$AB$2:$AB$645,'Margin Analysis'!$Y$2:$Y$645,$A68,'Margin Analysis'!$X$2:$X$645,$B68,'Margin Analysis'!$B$2:$B$645,$C68)</f>
        <v>0</v>
      </c>
      <c r="F68" s="6">
        <f>SUMIFS('Margin Analysis'!$AA$2:$AA$645,'Margin Analysis'!$Y$2:$Y$645,$A68,'Margin Analysis'!$X$2:$X$645,$B68,'Margin Analysis'!$B$2:$B$645,$C68)</f>
        <v>0</v>
      </c>
      <c r="G68" s="6">
        <f t="shared" si="6"/>
        <v>0</v>
      </c>
      <c r="H68" s="7">
        <f t="shared" si="7"/>
        <v>0</v>
      </c>
      <c r="I68" s="6">
        <f>SUMIFS('Margin Analysis'!$AK$2:$AK$645,'Margin Analysis'!$Y$2:$Y$645,$A68,'Margin Analysis'!$X$2:$X$645,$B68,'Margin Analysis'!$B$2:$B$645,$C68)</f>
        <v>0</v>
      </c>
      <c r="J68" s="6">
        <f>SUMIFS('Margin Analysis'!$AM$2:$AM$645,'Margin Analysis'!$Y$2:$Y$645,$A68,'Margin Analysis'!$X$2:$X$645,$B68,'Margin Analysis'!$B$2:$B$645,$C68)</f>
        <v>0</v>
      </c>
      <c r="K68" s="7">
        <f t="shared" si="8"/>
        <v>0</v>
      </c>
      <c r="L68">
        <f>COUNTIFS('Margin Analysis'!$Y$2:$Y$645,$A68,'Margin Analysis'!$X$2:$X$645,$B68,'Margin Analysis'!$B$2:$B$645,$C68,'Margin Analysis'!$AN$2:$AN$645,"&lt;"&amp;Assumptions!$B$3)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645"/>
  <sheetViews>
    <sheetView showGridLines="0" tabSelected="1" topLeftCell="R1" workbookViewId="0">
      <selection activeCell="Z2" sqref="Z2"/>
    </sheetView>
  </sheetViews>
  <sheetFormatPr baseColWidth="10" defaultColWidth="8.6640625" defaultRowHeight="15"/>
  <cols>
    <col min="1" max="1" width="25" customWidth="1"/>
    <col min="2" max="2" width="15" customWidth="1"/>
    <col min="3" max="3" width="16" customWidth="1"/>
    <col min="4" max="4" width="40" customWidth="1"/>
    <col min="5" max="5" width="9" customWidth="1"/>
    <col min="6" max="6" width="16" customWidth="1"/>
    <col min="7" max="7" width="13" customWidth="1"/>
    <col min="8" max="8" width="12" customWidth="1"/>
    <col min="9" max="9" width="16" customWidth="1"/>
    <col min="10" max="11" width="12" customWidth="1"/>
    <col min="12" max="12" width="14" customWidth="1"/>
    <col min="13" max="13" width="10" customWidth="1"/>
    <col min="14" max="14" width="12" customWidth="1"/>
    <col min="15" max="15" width="18" customWidth="1"/>
    <col min="16" max="16" width="11" customWidth="1"/>
    <col min="17" max="19" width="15" customWidth="1"/>
    <col min="20" max="20" width="28" customWidth="1"/>
    <col min="21" max="21" width="14" customWidth="1"/>
    <col min="22" max="22" width="22" customWidth="1"/>
    <col min="23" max="24" width="14" customWidth="1"/>
    <col min="25" max="26" width="20" customWidth="1"/>
    <col min="27" max="27" width="15" customWidth="1"/>
    <col min="28" max="28" width="16" customWidth="1"/>
    <col min="29" max="30" width="15" customWidth="1"/>
    <col min="31" max="32" width="18" customWidth="1"/>
    <col min="33" max="33" width="20" customWidth="1"/>
    <col min="34" max="34" width="18" customWidth="1"/>
    <col min="35" max="36" width="20" customWidth="1"/>
    <col min="37" max="37" width="18" customWidth="1"/>
    <col min="38" max="38" width="16" customWidth="1"/>
    <col min="39" max="39" width="14" customWidth="1"/>
    <col min="40" max="40" width="18" customWidth="1"/>
  </cols>
  <sheetData>
    <row r="1" spans="1:41" ht="42" customHeight="1">
      <c r="A1" s="8" t="s">
        <v>49</v>
      </c>
      <c r="B1" s="8" t="s">
        <v>50</v>
      </c>
      <c r="C1" s="8" t="s">
        <v>51</v>
      </c>
      <c r="D1" s="8" t="s">
        <v>52</v>
      </c>
      <c r="E1" s="8" t="s">
        <v>53</v>
      </c>
      <c r="F1" s="8" t="s">
        <v>54</v>
      </c>
      <c r="G1" s="8" t="s">
        <v>55</v>
      </c>
      <c r="H1" s="8" t="s">
        <v>56</v>
      </c>
      <c r="I1" s="8" t="s">
        <v>57</v>
      </c>
      <c r="J1" s="8" t="s">
        <v>58</v>
      </c>
      <c r="K1" s="8" t="s">
        <v>59</v>
      </c>
      <c r="L1" s="8" t="s">
        <v>60</v>
      </c>
      <c r="M1" s="8" t="s">
        <v>61</v>
      </c>
      <c r="N1" s="8" t="s">
        <v>62</v>
      </c>
      <c r="O1" s="8" t="s">
        <v>63</v>
      </c>
      <c r="P1" s="8" t="s">
        <v>64</v>
      </c>
      <c r="Q1" s="8" t="s">
        <v>65</v>
      </c>
      <c r="R1" s="8" t="s">
        <v>66</v>
      </c>
      <c r="S1" s="8" t="s">
        <v>67</v>
      </c>
      <c r="T1" s="8" t="s">
        <v>68</v>
      </c>
      <c r="U1" s="8" t="s">
        <v>69</v>
      </c>
      <c r="V1" s="8" t="s">
        <v>476</v>
      </c>
      <c r="W1" s="8" t="s">
        <v>469</v>
      </c>
      <c r="X1" s="8" t="s">
        <v>10</v>
      </c>
      <c r="Y1" s="8" t="s">
        <v>9</v>
      </c>
      <c r="Z1" s="8" t="s">
        <v>477</v>
      </c>
      <c r="AA1" s="8" t="s">
        <v>478</v>
      </c>
      <c r="AB1" s="8" t="s">
        <v>479</v>
      </c>
      <c r="AC1" s="8" t="s">
        <v>17</v>
      </c>
      <c r="AD1" s="8" t="s">
        <v>13</v>
      </c>
      <c r="AE1" s="8" t="s">
        <v>480</v>
      </c>
      <c r="AF1" s="8" t="s">
        <v>481</v>
      </c>
      <c r="AG1" s="8" t="s">
        <v>482</v>
      </c>
      <c r="AH1" s="8" t="s">
        <v>483</v>
      </c>
      <c r="AI1" s="8" t="s">
        <v>484</v>
      </c>
      <c r="AJ1" s="8" t="s">
        <v>485</v>
      </c>
      <c r="AK1" s="8" t="s">
        <v>486</v>
      </c>
      <c r="AL1" s="8" t="s">
        <v>487</v>
      </c>
      <c r="AM1" s="8" t="s">
        <v>23</v>
      </c>
      <c r="AN1" s="8" t="s">
        <v>6</v>
      </c>
      <c r="AO1" t="s">
        <v>488</v>
      </c>
    </row>
    <row r="2" spans="1:41" ht="15" customHeight="1">
      <c r="A2" s="9" t="s">
        <v>70</v>
      </c>
      <c r="B2" s="9" t="s">
        <v>35</v>
      </c>
      <c r="C2" s="9" t="s">
        <v>71</v>
      </c>
      <c r="D2" s="9" t="s">
        <v>72</v>
      </c>
      <c r="E2" s="9" t="s">
        <v>73</v>
      </c>
      <c r="F2" s="9" t="s">
        <v>74</v>
      </c>
      <c r="G2" s="9" t="s">
        <v>24</v>
      </c>
      <c r="H2" s="9" t="s">
        <v>75</v>
      </c>
      <c r="I2" s="9">
        <v>4000011860</v>
      </c>
      <c r="J2" s="10">
        <v>44.16</v>
      </c>
      <c r="K2" s="10"/>
      <c r="L2" s="10">
        <f t="shared" ref="L2:L65" si="0">J2+K2</f>
        <v>44.16</v>
      </c>
      <c r="M2" s="11">
        <v>0</v>
      </c>
      <c r="N2" s="10">
        <f t="shared" ref="N2:N65" si="1">M2*L2</f>
        <v>0</v>
      </c>
      <c r="O2" s="10">
        <f t="shared" ref="O2:O65" si="2">L2+N2</f>
        <v>44.16</v>
      </c>
      <c r="P2" s="11">
        <f t="shared" ref="P2:P65" si="3">IFERROR(O2/Q2,"")</f>
        <v>0.13933676206102294</v>
      </c>
      <c r="Q2" s="10">
        <f t="shared" ref="Q2:Q65" si="4">SUMIFS(O:O,T:T,T2,B:B,B2,A:A,A2,G:G,G2,E:E,E2)</f>
        <v>316.92999999999995</v>
      </c>
      <c r="R2" s="10">
        <f t="shared" ref="R2:R65" si="5">V2-SUMIFS(Q:Q,A:A,A2,B:B,B2,G:G,G2,E:E,E2,T:T,"Fixed Price ( Base Price with GST)")</f>
        <v>2402.3363999999997</v>
      </c>
      <c r="S2" s="10">
        <f t="shared" ref="S2:S65" si="6">IF(T2="Fixed Price ( Base Price with GST)",O2,P2*R2)</f>
        <v>334.73377535733437</v>
      </c>
      <c r="T2" s="9" t="s">
        <v>76</v>
      </c>
      <c r="U2" s="10">
        <v>4499</v>
      </c>
      <c r="V2" s="10">
        <f t="shared" ref="V2:V65" si="7">IFERROR(U2*(1-30%),0)</f>
        <v>3149.2999999999997</v>
      </c>
      <c r="W2" s="166">
        <v>490110</v>
      </c>
      <c r="X2" s="12" t="s">
        <v>25</v>
      </c>
      <c r="Y2" s="12">
        <f t="shared" ref="Y2:Y65" si="8">IFERROR(S2,0)</f>
        <v>334.73377535733437</v>
      </c>
      <c r="Z2" s="13">
        <f t="shared" ref="Z2:Z65" si="9">IF(ISNUMBER(S2),S2,0)</f>
        <v>334.73377535733437</v>
      </c>
      <c r="AA2" s="13">
        <f t="shared" ref="AA2:AA65" si="10">IFERROR(Z2/(1+M2),Z2)</f>
        <v>334.73377535733437</v>
      </c>
      <c r="AB2" s="13">
        <f t="shared" ref="AB2:AB65" si="11">IF(ISNUMBER(J2),J2,0)</f>
        <v>44.16</v>
      </c>
      <c r="AC2" s="13">
        <f t="shared" ref="AC2:AC65" si="12">AA2-AB2</f>
        <v>290.5737753573344</v>
      </c>
      <c r="AD2" s="14">
        <f t="shared" ref="AD2:AD65" si="13">IFERROR(AC2/AA2,0)</f>
        <v>0.86807426303826563</v>
      </c>
      <c r="AE2" s="14">
        <f t="shared" ref="AE2:AE65" si="14">IFERROR(AC2/AB2,0)</f>
        <v>6.5800220868961601</v>
      </c>
      <c r="AF2" s="13" t="str">
        <f>IF(AD2&gt;=Assumptions!$B$3,"OK","Review")</f>
        <v>OK</v>
      </c>
      <c r="AG2" s="13">
        <f>IFERROR(IF(Assumptions!$B$13="Cost Price",AB2,AA2)*SUMIF(Assumptions!$A$6:$A$10,X2,Assumptions!$B$6:$B$10),0)</f>
        <v>26.77870202858675</v>
      </c>
      <c r="AH2" s="13">
        <f>IFERROR(IF(Assumptions!$B$13="Cost Price",AB2,AA2)*SUMIF(Assumptions!$A$6:$A$10,X2,Assumptions!$C$6:$C$10),0)</f>
        <v>16.73668876786672</v>
      </c>
      <c r="AI2" s="13">
        <f>IFERROR(IF(Assumptions!$B$13="Cost Price",AB2,AA2)*SUMIF(Assumptions!$A$6:$A$10,X2,Assumptions!$D$6:$D$10),0)</f>
        <v>33.473377535733441</v>
      </c>
      <c r="AJ2" s="13">
        <v>33.473377535733441</v>
      </c>
      <c r="AK2" s="13">
        <f t="shared" ref="AK2:AK65" si="15">SUM(AG2:AJ2)</f>
        <v>110.46214586792036</v>
      </c>
      <c r="AL2" s="14">
        <v>0.33</v>
      </c>
      <c r="AM2" s="13">
        <f t="shared" ref="AM2:AM65" si="16">AC2-AK2</f>
        <v>180.11162948941404</v>
      </c>
      <c r="AN2" s="14">
        <f t="shared" ref="AN2:AN65" si="17">IFERROR(AM2/AA2,0)</f>
        <v>0.53807426303826555</v>
      </c>
      <c r="AO2" t="str">
        <f>IF(AN2&gt;=Assumptions!$B$3,"OK","Review")</f>
        <v>OK</v>
      </c>
    </row>
    <row r="3" spans="1:41" ht="15" customHeight="1">
      <c r="A3" s="9" t="s">
        <v>70</v>
      </c>
      <c r="B3" s="9" t="s">
        <v>35</v>
      </c>
      <c r="C3" s="9" t="s">
        <v>71</v>
      </c>
      <c r="D3" s="9" t="s">
        <v>77</v>
      </c>
      <c r="E3" s="9" t="s">
        <v>73</v>
      </c>
      <c r="F3" s="9" t="s">
        <v>74</v>
      </c>
      <c r="G3" s="9" t="s">
        <v>24</v>
      </c>
      <c r="H3" s="9" t="s">
        <v>75</v>
      </c>
      <c r="I3" s="9">
        <v>4000011852</v>
      </c>
      <c r="J3" s="10">
        <v>20.94</v>
      </c>
      <c r="K3" s="10"/>
      <c r="L3" s="10">
        <f t="shared" si="0"/>
        <v>20.94</v>
      </c>
      <c r="M3" s="11">
        <v>0</v>
      </c>
      <c r="N3" s="10">
        <f t="shared" si="1"/>
        <v>0</v>
      </c>
      <c r="O3" s="10">
        <f t="shared" si="2"/>
        <v>20.94</v>
      </c>
      <c r="P3" s="11">
        <f t="shared" si="3"/>
        <v>6.6071372227305733E-2</v>
      </c>
      <c r="Q3" s="10">
        <f t="shared" si="4"/>
        <v>316.92999999999995</v>
      </c>
      <c r="R3" s="10">
        <f t="shared" si="5"/>
        <v>2402.3363999999997</v>
      </c>
      <c r="S3" s="10">
        <f t="shared" si="6"/>
        <v>158.72566249960562</v>
      </c>
      <c r="T3" s="9" t="s">
        <v>76</v>
      </c>
      <c r="U3" s="10">
        <v>4499</v>
      </c>
      <c r="V3" s="10">
        <f t="shared" si="7"/>
        <v>3149.2999999999997</v>
      </c>
      <c r="W3" s="166">
        <v>490110</v>
      </c>
      <c r="X3" s="12" t="s">
        <v>25</v>
      </c>
      <c r="Y3" s="12">
        <f t="shared" si="8"/>
        <v>158.72566249960562</v>
      </c>
      <c r="Z3" s="13">
        <f t="shared" si="9"/>
        <v>158.72566249960562</v>
      </c>
      <c r="AA3" s="13">
        <f t="shared" si="10"/>
        <v>158.72566249960562</v>
      </c>
      <c r="AB3" s="13">
        <f t="shared" si="11"/>
        <v>20.94</v>
      </c>
      <c r="AC3" s="13">
        <f t="shared" si="12"/>
        <v>137.78566249960562</v>
      </c>
      <c r="AD3" s="14">
        <f t="shared" si="13"/>
        <v>0.86807426303826563</v>
      </c>
      <c r="AE3" s="14">
        <f t="shared" si="14"/>
        <v>6.580022086896161</v>
      </c>
      <c r="AF3" s="13" t="str">
        <f>IF(AD3&gt;=Assumptions!$B$3,"OK","Review")</f>
        <v>OK</v>
      </c>
      <c r="AG3" s="13">
        <f>IFERROR(IF(Assumptions!$B$13="Cost Price",AB3,AA3)*SUMIF(Assumptions!$A$6:$A$10,X3,Assumptions!$B$6:$B$10),0)</f>
        <v>12.69805299996845</v>
      </c>
      <c r="AH3" s="13">
        <f>IFERROR(IF(Assumptions!$B$13="Cost Price",AB3,AA3)*SUMIF(Assumptions!$A$6:$A$10,X3,Assumptions!$C$6:$C$10),0)</f>
        <v>7.9362831249802817</v>
      </c>
      <c r="AI3" s="13">
        <f>IFERROR(IF(Assumptions!$B$13="Cost Price",AB3,AA3)*SUMIF(Assumptions!$A$6:$A$10,X3,Assumptions!$D$6:$D$10),0)</f>
        <v>15.872566249960563</v>
      </c>
      <c r="AJ3" s="13">
        <v>24.79021935948002</v>
      </c>
      <c r="AK3" s="13">
        <f t="shared" si="15"/>
        <v>61.297121734389314</v>
      </c>
      <c r="AL3" s="14">
        <v>0.33</v>
      </c>
      <c r="AM3" s="13">
        <f t="shared" si="16"/>
        <v>76.4885407652163</v>
      </c>
      <c r="AN3" s="14">
        <f t="shared" si="17"/>
        <v>0.48189145699994385</v>
      </c>
      <c r="AO3" t="str">
        <f>IF(AN3&gt;=Assumptions!$B$3,"OK","Review")</f>
        <v>OK</v>
      </c>
    </row>
    <row r="4" spans="1:41" ht="15" customHeight="1">
      <c r="A4" s="9" t="s">
        <v>70</v>
      </c>
      <c r="B4" s="9" t="s">
        <v>35</v>
      </c>
      <c r="C4" s="9" t="s">
        <v>78</v>
      </c>
      <c r="D4" s="9" t="s">
        <v>79</v>
      </c>
      <c r="E4" s="9" t="s">
        <v>73</v>
      </c>
      <c r="F4" s="9" t="s">
        <v>74</v>
      </c>
      <c r="G4" s="9" t="s">
        <v>24</v>
      </c>
      <c r="H4" s="9" t="s">
        <v>75</v>
      </c>
      <c r="I4" s="9">
        <v>4000011794</v>
      </c>
      <c r="J4" s="10">
        <v>19.559999999999999</v>
      </c>
      <c r="K4" s="10"/>
      <c r="L4" s="10">
        <f t="shared" si="0"/>
        <v>19.559999999999999</v>
      </c>
      <c r="M4" s="11">
        <v>0</v>
      </c>
      <c r="N4" s="10">
        <f t="shared" si="1"/>
        <v>0</v>
      </c>
      <c r="O4" s="10">
        <f t="shared" si="2"/>
        <v>19.559999999999999</v>
      </c>
      <c r="P4" s="11">
        <f t="shared" si="3"/>
        <v>6.1717098412898755E-2</v>
      </c>
      <c r="Q4" s="10">
        <f t="shared" si="4"/>
        <v>316.92999999999995</v>
      </c>
      <c r="R4" s="10">
        <f t="shared" si="5"/>
        <v>2402.3363999999997</v>
      </c>
      <c r="S4" s="10">
        <f t="shared" si="6"/>
        <v>148.26523201968888</v>
      </c>
      <c r="T4" s="9" t="s">
        <v>76</v>
      </c>
      <c r="U4" s="10">
        <v>4499</v>
      </c>
      <c r="V4" s="10">
        <f t="shared" si="7"/>
        <v>3149.2999999999997</v>
      </c>
      <c r="W4" s="166">
        <v>490110</v>
      </c>
      <c r="X4" s="12" t="s">
        <v>25</v>
      </c>
      <c r="Y4" s="12">
        <f t="shared" si="8"/>
        <v>148.26523201968888</v>
      </c>
      <c r="Z4" s="13">
        <f t="shared" si="9"/>
        <v>148.26523201968888</v>
      </c>
      <c r="AA4" s="13">
        <f t="shared" si="10"/>
        <v>148.26523201968888</v>
      </c>
      <c r="AB4" s="13">
        <f t="shared" si="11"/>
        <v>19.559999999999999</v>
      </c>
      <c r="AC4" s="13">
        <f t="shared" si="12"/>
        <v>128.70523201968888</v>
      </c>
      <c r="AD4" s="14">
        <f t="shared" si="13"/>
        <v>0.86807426303826551</v>
      </c>
      <c r="AE4" s="14">
        <f t="shared" si="14"/>
        <v>6.5800220868961601</v>
      </c>
      <c r="AF4" s="13" t="str">
        <f>IF(AD4&gt;=Assumptions!$B$3,"OK","Review")</f>
        <v>OK</v>
      </c>
      <c r="AG4" s="13">
        <f>IFERROR(IF(Assumptions!$B$13="Cost Price",AB4,AA4)*SUMIF(Assumptions!$A$6:$A$10,X4,Assumptions!$B$6:$B$10),0)</f>
        <v>11.861218561575111</v>
      </c>
      <c r="AH4" s="13">
        <f>IFERROR(IF(Assumptions!$B$13="Cost Price",AB4,AA4)*SUMIF(Assumptions!$A$6:$A$10,X4,Assumptions!$C$6:$C$10),0)</f>
        <v>7.4132616009844448</v>
      </c>
      <c r="AI4" s="13">
        <f>IFERROR(IF(Assumptions!$B$13="Cost Price",AB4,AA4)*SUMIF(Assumptions!$A$6:$A$10,X4,Assumptions!$D$6:$D$10),0)</f>
        <v>14.82652320196889</v>
      </c>
      <c r="AJ4" s="13">
        <v>23.156479974757836</v>
      </c>
      <c r="AK4" s="13">
        <f t="shared" si="15"/>
        <v>57.257483339286281</v>
      </c>
      <c r="AL4" s="14">
        <v>0.33</v>
      </c>
      <c r="AM4" s="13">
        <f t="shared" si="16"/>
        <v>71.447748680402597</v>
      </c>
      <c r="AN4" s="14">
        <f t="shared" si="17"/>
        <v>0.48189145699994379</v>
      </c>
      <c r="AO4" t="str">
        <f>IF(AN4&gt;=Assumptions!$B$3,"OK","Review")</f>
        <v>OK</v>
      </c>
    </row>
    <row r="5" spans="1:41" ht="15" customHeight="1">
      <c r="A5" s="9" t="s">
        <v>70</v>
      </c>
      <c r="B5" s="9" t="s">
        <v>35</v>
      </c>
      <c r="C5" s="9" t="s">
        <v>78</v>
      </c>
      <c r="D5" s="9" t="s">
        <v>80</v>
      </c>
      <c r="E5" s="9" t="s">
        <v>73</v>
      </c>
      <c r="F5" s="9" t="s">
        <v>81</v>
      </c>
      <c r="G5" s="9" t="s">
        <v>24</v>
      </c>
      <c r="H5" s="9" t="s">
        <v>75</v>
      </c>
      <c r="I5" s="9">
        <v>4000011783</v>
      </c>
      <c r="J5" s="10">
        <v>60.15</v>
      </c>
      <c r="K5" s="10"/>
      <c r="L5" s="10">
        <f t="shared" si="0"/>
        <v>60.15</v>
      </c>
      <c r="M5" s="11">
        <v>0</v>
      </c>
      <c r="N5" s="10">
        <f t="shared" si="1"/>
        <v>0</v>
      </c>
      <c r="O5" s="10">
        <f t="shared" si="2"/>
        <v>60.15</v>
      </c>
      <c r="P5" s="11">
        <f t="shared" si="3"/>
        <v>0.1897895434323037</v>
      </c>
      <c r="Q5" s="10">
        <f t="shared" si="4"/>
        <v>316.92999999999995</v>
      </c>
      <c r="R5" s="10">
        <f t="shared" si="5"/>
        <v>2402.3363999999997</v>
      </c>
      <c r="S5" s="10">
        <f t="shared" si="6"/>
        <v>455.93832852680407</v>
      </c>
      <c r="T5" s="9" t="s">
        <v>76</v>
      </c>
      <c r="U5" s="10">
        <v>4499</v>
      </c>
      <c r="V5" s="10">
        <f t="shared" si="7"/>
        <v>3149.2999999999997</v>
      </c>
      <c r="W5" s="166">
        <v>490110</v>
      </c>
      <c r="X5" s="12" t="s">
        <v>25</v>
      </c>
      <c r="Y5" s="12">
        <f t="shared" si="8"/>
        <v>455.93832852680407</v>
      </c>
      <c r="Z5" s="13">
        <f t="shared" si="9"/>
        <v>455.93832852680407</v>
      </c>
      <c r="AA5" s="13">
        <f t="shared" si="10"/>
        <v>455.93832852680407</v>
      </c>
      <c r="AB5" s="13">
        <f t="shared" si="11"/>
        <v>60.15</v>
      </c>
      <c r="AC5" s="13">
        <f t="shared" si="12"/>
        <v>395.78832852680409</v>
      </c>
      <c r="AD5" s="14">
        <f t="shared" si="13"/>
        <v>0.86807426303826563</v>
      </c>
      <c r="AE5" s="14">
        <f t="shared" si="14"/>
        <v>6.580022086896161</v>
      </c>
      <c r="AF5" s="13" t="str">
        <f>IF(AD5&gt;=Assumptions!$B$3,"OK","Review")</f>
        <v>OK</v>
      </c>
      <c r="AG5" s="13">
        <f>IFERROR(IF(Assumptions!$B$13="Cost Price",AB5,AA5)*SUMIF(Assumptions!$A$6:$A$10,X5,Assumptions!$B$6:$B$10),0)</f>
        <v>36.475066282144326</v>
      </c>
      <c r="AH5" s="13">
        <f>IFERROR(IF(Assumptions!$B$13="Cost Price",AB5,AA5)*SUMIF(Assumptions!$A$6:$A$10,X5,Assumptions!$C$6:$C$10),0)</f>
        <v>22.796916426340204</v>
      </c>
      <c r="AI5" s="13">
        <f>IFERROR(IF(Assumptions!$B$13="Cost Price",AB5,AA5)*SUMIF(Assumptions!$A$6:$A$10,X5,Assumptions!$D$6:$D$10),0)</f>
        <v>45.593832852680407</v>
      </c>
      <c r="AJ5" s="13">
        <v>71.209727529738444</v>
      </c>
      <c r="AK5" s="13">
        <f t="shared" si="15"/>
        <v>176.07554309090338</v>
      </c>
      <c r="AL5" s="14">
        <v>0.33</v>
      </c>
      <c r="AM5" s="13">
        <f t="shared" si="16"/>
        <v>219.71278543590071</v>
      </c>
      <c r="AN5" s="14">
        <f t="shared" si="17"/>
        <v>0.48189145699994396</v>
      </c>
      <c r="AO5" t="str">
        <f>IF(AN5&gt;=Assumptions!$B$3,"OK","Review")</f>
        <v>OK</v>
      </c>
    </row>
    <row r="6" spans="1:41" ht="15" customHeight="1">
      <c r="A6" s="9" t="s">
        <v>70</v>
      </c>
      <c r="B6" s="9" t="s">
        <v>35</v>
      </c>
      <c r="C6" s="9" t="s">
        <v>78</v>
      </c>
      <c r="D6" s="9" t="s">
        <v>82</v>
      </c>
      <c r="E6" s="9" t="s">
        <v>73</v>
      </c>
      <c r="F6" s="9" t="s">
        <v>81</v>
      </c>
      <c r="G6" s="9" t="s">
        <v>24</v>
      </c>
      <c r="H6" s="9" t="s">
        <v>75</v>
      </c>
      <c r="I6" s="9">
        <v>4000011805</v>
      </c>
      <c r="J6" s="10">
        <v>20.94</v>
      </c>
      <c r="K6" s="10"/>
      <c r="L6" s="10">
        <f t="shared" si="0"/>
        <v>20.94</v>
      </c>
      <c r="M6" s="11">
        <v>0</v>
      </c>
      <c r="N6" s="10">
        <f t="shared" si="1"/>
        <v>0</v>
      </c>
      <c r="O6" s="10">
        <f t="shared" si="2"/>
        <v>20.94</v>
      </c>
      <c r="P6" s="11">
        <f t="shared" si="3"/>
        <v>6.6071372227305733E-2</v>
      </c>
      <c r="Q6" s="10">
        <f t="shared" si="4"/>
        <v>316.92999999999995</v>
      </c>
      <c r="R6" s="10">
        <f t="shared" si="5"/>
        <v>2402.3363999999997</v>
      </c>
      <c r="S6" s="10">
        <f t="shared" si="6"/>
        <v>158.72566249960562</v>
      </c>
      <c r="T6" s="9" t="s">
        <v>76</v>
      </c>
      <c r="U6" s="10">
        <v>4499</v>
      </c>
      <c r="V6" s="10">
        <f t="shared" si="7"/>
        <v>3149.2999999999997</v>
      </c>
      <c r="W6" s="166">
        <v>490110</v>
      </c>
      <c r="X6" s="12" t="s">
        <v>25</v>
      </c>
      <c r="Y6" s="12">
        <f t="shared" si="8"/>
        <v>158.72566249960562</v>
      </c>
      <c r="Z6" s="13">
        <f t="shared" si="9"/>
        <v>158.72566249960562</v>
      </c>
      <c r="AA6" s="13">
        <f t="shared" si="10"/>
        <v>158.72566249960562</v>
      </c>
      <c r="AB6" s="13">
        <f t="shared" si="11"/>
        <v>20.94</v>
      </c>
      <c r="AC6" s="13">
        <f t="shared" si="12"/>
        <v>137.78566249960562</v>
      </c>
      <c r="AD6" s="14">
        <f t="shared" si="13"/>
        <v>0.86807426303826563</v>
      </c>
      <c r="AE6" s="14">
        <f t="shared" si="14"/>
        <v>6.580022086896161</v>
      </c>
      <c r="AF6" s="13" t="str">
        <f>IF(AD6&gt;=Assumptions!$B$3,"OK","Review")</f>
        <v>OK</v>
      </c>
      <c r="AG6" s="13">
        <f>IFERROR(IF(Assumptions!$B$13="Cost Price",AB6,AA6)*SUMIF(Assumptions!$A$6:$A$10,X6,Assumptions!$B$6:$B$10),0)</f>
        <v>12.69805299996845</v>
      </c>
      <c r="AH6" s="13">
        <f>IFERROR(IF(Assumptions!$B$13="Cost Price",AB6,AA6)*SUMIF(Assumptions!$A$6:$A$10,X6,Assumptions!$C$6:$C$10),0)</f>
        <v>7.9362831249802817</v>
      </c>
      <c r="AI6" s="13">
        <f>IFERROR(IF(Assumptions!$B$13="Cost Price",AB6,AA6)*SUMIF(Assumptions!$A$6:$A$10,X6,Assumptions!$D$6:$D$10),0)</f>
        <v>15.872566249960563</v>
      </c>
      <c r="AJ6" s="13">
        <v>24.79021935948002</v>
      </c>
      <c r="AK6" s="13">
        <f t="shared" si="15"/>
        <v>61.297121734389314</v>
      </c>
      <c r="AL6" s="14">
        <v>0.33</v>
      </c>
      <c r="AM6" s="13">
        <f t="shared" si="16"/>
        <v>76.4885407652163</v>
      </c>
      <c r="AN6" s="14">
        <f t="shared" si="17"/>
        <v>0.48189145699994385</v>
      </c>
      <c r="AO6" t="str">
        <f>IF(AN6&gt;=Assumptions!$B$3,"OK","Review")</f>
        <v>OK</v>
      </c>
    </row>
    <row r="7" spans="1:41" ht="15" customHeight="1">
      <c r="A7" s="9" t="s">
        <v>70</v>
      </c>
      <c r="B7" s="9" t="s">
        <v>35</v>
      </c>
      <c r="C7" s="9" t="s">
        <v>71</v>
      </c>
      <c r="D7" s="9" t="s">
        <v>83</v>
      </c>
      <c r="E7" s="9" t="s">
        <v>73</v>
      </c>
      <c r="F7" s="9" t="s">
        <v>74</v>
      </c>
      <c r="G7" s="9" t="s">
        <v>24</v>
      </c>
      <c r="H7" s="9" t="s">
        <v>84</v>
      </c>
      <c r="I7" s="9">
        <v>4000011816</v>
      </c>
      <c r="J7" s="10">
        <v>46.25</v>
      </c>
      <c r="K7" s="10"/>
      <c r="L7" s="10">
        <f t="shared" si="0"/>
        <v>46.25</v>
      </c>
      <c r="M7" s="11">
        <v>0</v>
      </c>
      <c r="N7" s="10">
        <f t="shared" si="1"/>
        <v>0</v>
      </c>
      <c r="O7" s="10">
        <f t="shared" si="2"/>
        <v>46.25</v>
      </c>
      <c r="P7" s="11">
        <f t="shared" si="3"/>
        <v>0.14593127820023352</v>
      </c>
      <c r="Q7" s="10">
        <f t="shared" si="4"/>
        <v>316.92999999999995</v>
      </c>
      <c r="R7" s="10">
        <f t="shared" si="5"/>
        <v>2402.3363999999997</v>
      </c>
      <c r="S7" s="10">
        <f t="shared" si="6"/>
        <v>350.57602151894741</v>
      </c>
      <c r="T7" s="9" t="s">
        <v>76</v>
      </c>
      <c r="U7" s="10">
        <v>4499</v>
      </c>
      <c r="V7" s="10">
        <f t="shared" si="7"/>
        <v>3149.2999999999997</v>
      </c>
      <c r="W7" s="166">
        <v>490110</v>
      </c>
      <c r="X7" s="12" t="s">
        <v>25</v>
      </c>
      <c r="Y7" s="12">
        <f t="shared" si="8"/>
        <v>350.57602151894741</v>
      </c>
      <c r="Z7" s="13">
        <f t="shared" si="9"/>
        <v>350.57602151894741</v>
      </c>
      <c r="AA7" s="13">
        <f t="shared" si="10"/>
        <v>350.57602151894741</v>
      </c>
      <c r="AB7" s="13">
        <f t="shared" si="11"/>
        <v>46.25</v>
      </c>
      <c r="AC7" s="13">
        <f t="shared" si="12"/>
        <v>304.32602151894741</v>
      </c>
      <c r="AD7" s="14">
        <f t="shared" si="13"/>
        <v>0.86807426303826563</v>
      </c>
      <c r="AE7" s="14">
        <f t="shared" si="14"/>
        <v>6.5800220868961601</v>
      </c>
      <c r="AF7" s="13" t="str">
        <f>IF(AD7&gt;=Assumptions!$B$3,"OK","Review")</f>
        <v>OK</v>
      </c>
      <c r="AG7" s="13">
        <f>IFERROR(IF(Assumptions!$B$13="Cost Price",AB7,AA7)*SUMIF(Assumptions!$A$6:$A$10,X7,Assumptions!$B$6:$B$10),0)</f>
        <v>28.046081721515794</v>
      </c>
      <c r="AH7" s="13">
        <f>IFERROR(IF(Assumptions!$B$13="Cost Price",AB7,AA7)*SUMIF(Assumptions!$A$6:$A$10,X7,Assumptions!$C$6:$C$10),0)</f>
        <v>17.528801075947371</v>
      </c>
      <c r="AI7" s="13">
        <f>IFERROR(IF(Assumptions!$B$13="Cost Price",AB7,AA7)*SUMIF(Assumptions!$A$6:$A$10,X7,Assumptions!$D$6:$D$10),0)</f>
        <v>35.057602151894741</v>
      </c>
      <c r="AJ7" s="13">
        <v>54.753946770580264</v>
      </c>
      <c r="AK7" s="13">
        <f t="shared" si="15"/>
        <v>135.38643171993817</v>
      </c>
      <c r="AL7" s="14">
        <v>0.33</v>
      </c>
      <c r="AM7" s="13">
        <f t="shared" si="16"/>
        <v>168.93958979900924</v>
      </c>
      <c r="AN7" s="14">
        <f t="shared" si="17"/>
        <v>0.48189145699994385</v>
      </c>
      <c r="AO7" t="str">
        <f>IF(AN7&gt;=Assumptions!$B$3,"OK","Review")</f>
        <v>OK</v>
      </c>
    </row>
    <row r="8" spans="1:41" ht="15" customHeight="1">
      <c r="A8" s="9" t="s">
        <v>70</v>
      </c>
      <c r="B8" s="9" t="s">
        <v>35</v>
      </c>
      <c r="C8" s="9" t="s">
        <v>71</v>
      </c>
      <c r="D8" s="9" t="s">
        <v>85</v>
      </c>
      <c r="E8" s="9" t="s">
        <v>73</v>
      </c>
      <c r="F8" s="9" t="s">
        <v>74</v>
      </c>
      <c r="G8" s="9" t="s">
        <v>24</v>
      </c>
      <c r="H8" s="9" t="s">
        <v>84</v>
      </c>
      <c r="I8" s="9">
        <v>4000011747</v>
      </c>
      <c r="J8" s="10">
        <v>19.510000000000002</v>
      </c>
      <c r="K8" s="10"/>
      <c r="L8" s="10">
        <f t="shared" si="0"/>
        <v>19.510000000000002</v>
      </c>
      <c r="M8" s="11">
        <v>0</v>
      </c>
      <c r="N8" s="10">
        <f t="shared" si="1"/>
        <v>0</v>
      </c>
      <c r="O8" s="10">
        <f t="shared" si="2"/>
        <v>19.510000000000002</v>
      </c>
      <c r="P8" s="11">
        <f t="shared" si="3"/>
        <v>6.1559334868898509E-2</v>
      </c>
      <c r="Q8" s="10">
        <f t="shared" si="4"/>
        <v>316.92999999999995</v>
      </c>
      <c r="R8" s="10">
        <f t="shared" si="5"/>
        <v>2402.3363999999997</v>
      </c>
      <c r="S8" s="10">
        <f t="shared" si="6"/>
        <v>147.8862309153441</v>
      </c>
      <c r="T8" s="9" t="s">
        <v>76</v>
      </c>
      <c r="U8" s="10">
        <v>4499</v>
      </c>
      <c r="V8" s="10">
        <f t="shared" si="7"/>
        <v>3149.2999999999997</v>
      </c>
      <c r="W8" s="166">
        <v>490110</v>
      </c>
      <c r="X8" s="12" t="s">
        <v>25</v>
      </c>
      <c r="Y8" s="12">
        <f t="shared" si="8"/>
        <v>147.8862309153441</v>
      </c>
      <c r="Z8" s="13">
        <f t="shared" si="9"/>
        <v>147.8862309153441</v>
      </c>
      <c r="AA8" s="13">
        <f t="shared" si="10"/>
        <v>147.8862309153441</v>
      </c>
      <c r="AB8" s="13">
        <f t="shared" si="11"/>
        <v>19.510000000000002</v>
      </c>
      <c r="AC8" s="13">
        <f t="shared" si="12"/>
        <v>128.37623091534411</v>
      </c>
      <c r="AD8" s="14">
        <f t="shared" si="13"/>
        <v>0.86807426303826563</v>
      </c>
      <c r="AE8" s="14">
        <f t="shared" si="14"/>
        <v>6.580022086896161</v>
      </c>
      <c r="AF8" s="13" t="str">
        <f>IF(AD8&gt;=Assumptions!$B$3,"OK","Review")</f>
        <v>OK</v>
      </c>
      <c r="AG8" s="13">
        <f>IFERROR(IF(Assumptions!$B$13="Cost Price",AB8,AA8)*SUMIF(Assumptions!$A$6:$A$10,X8,Assumptions!$B$6:$B$10),0)</f>
        <v>11.830898473227528</v>
      </c>
      <c r="AH8" s="13">
        <f>IFERROR(IF(Assumptions!$B$13="Cost Price",AB8,AA8)*SUMIF(Assumptions!$A$6:$A$10,X8,Assumptions!$C$6:$C$10),0)</f>
        <v>7.3943115457672057</v>
      </c>
      <c r="AI8" s="13">
        <f>IFERROR(IF(Assumptions!$B$13="Cost Price",AB8,AA8)*SUMIF(Assumptions!$A$6:$A$10,X8,Assumptions!$D$6:$D$10),0)</f>
        <v>14.788623091534411</v>
      </c>
      <c r="AJ8" s="13">
        <v>23.097286518789645</v>
      </c>
      <c r="AK8" s="13">
        <f t="shared" si="15"/>
        <v>57.111119629318793</v>
      </c>
      <c r="AL8" s="14">
        <v>0.33</v>
      </c>
      <c r="AM8" s="13">
        <f t="shared" si="16"/>
        <v>71.265111286025316</v>
      </c>
      <c r="AN8" s="14">
        <f t="shared" si="17"/>
        <v>0.4818914569999439</v>
      </c>
      <c r="AO8" t="str">
        <f>IF(AN8&gt;=Assumptions!$B$3,"OK","Review")</f>
        <v>OK</v>
      </c>
    </row>
    <row r="9" spans="1:41" ht="15" customHeight="1">
      <c r="A9" s="9" t="s">
        <v>70</v>
      </c>
      <c r="B9" s="9" t="s">
        <v>35</v>
      </c>
      <c r="C9" s="9" t="s">
        <v>78</v>
      </c>
      <c r="D9" s="9" t="s">
        <v>86</v>
      </c>
      <c r="E9" s="9" t="s">
        <v>73</v>
      </c>
      <c r="F9" s="9" t="s">
        <v>81</v>
      </c>
      <c r="G9" s="9" t="s">
        <v>24</v>
      </c>
      <c r="H9" s="9" t="s">
        <v>84</v>
      </c>
      <c r="I9" s="9">
        <v>4000011758</v>
      </c>
      <c r="J9" s="10">
        <v>65.91</v>
      </c>
      <c r="K9" s="10"/>
      <c r="L9" s="10">
        <f t="shared" si="0"/>
        <v>65.91</v>
      </c>
      <c r="M9" s="11">
        <v>0</v>
      </c>
      <c r="N9" s="10">
        <f t="shared" si="1"/>
        <v>0</v>
      </c>
      <c r="O9" s="10">
        <f t="shared" si="2"/>
        <v>65.91</v>
      </c>
      <c r="P9" s="11">
        <f t="shared" si="3"/>
        <v>0.20796390370113277</v>
      </c>
      <c r="Q9" s="10">
        <f t="shared" si="4"/>
        <v>316.92999999999995</v>
      </c>
      <c r="R9" s="10">
        <f t="shared" si="5"/>
        <v>2402.3363999999997</v>
      </c>
      <c r="S9" s="10">
        <f t="shared" si="6"/>
        <v>499.59925574732591</v>
      </c>
      <c r="T9" s="9" t="s">
        <v>76</v>
      </c>
      <c r="U9" s="10">
        <v>4499</v>
      </c>
      <c r="V9" s="10">
        <f t="shared" si="7"/>
        <v>3149.2999999999997</v>
      </c>
      <c r="W9" s="166">
        <v>490110</v>
      </c>
      <c r="X9" s="12" t="s">
        <v>25</v>
      </c>
      <c r="Y9" s="12">
        <f t="shared" si="8"/>
        <v>499.59925574732591</v>
      </c>
      <c r="Z9" s="13">
        <f t="shared" si="9"/>
        <v>499.59925574732591</v>
      </c>
      <c r="AA9" s="13">
        <f t="shared" si="10"/>
        <v>499.59925574732591</v>
      </c>
      <c r="AB9" s="13">
        <f t="shared" si="11"/>
        <v>65.91</v>
      </c>
      <c r="AC9" s="13">
        <f t="shared" si="12"/>
        <v>433.68925574732589</v>
      </c>
      <c r="AD9" s="14">
        <f t="shared" si="13"/>
        <v>0.86807426303826551</v>
      </c>
      <c r="AE9" s="14">
        <f t="shared" si="14"/>
        <v>6.5800220868961601</v>
      </c>
      <c r="AF9" s="13" t="str">
        <f>IF(AD9&gt;=Assumptions!$B$3,"OK","Review")</f>
        <v>OK</v>
      </c>
      <c r="AG9" s="13">
        <f>IFERROR(IF(Assumptions!$B$13="Cost Price",AB9,AA9)*SUMIF(Assumptions!$A$6:$A$10,X9,Assumptions!$B$6:$B$10),0)</f>
        <v>39.967940459786071</v>
      </c>
      <c r="AH9" s="13">
        <f>IFERROR(IF(Assumptions!$B$13="Cost Price",AB9,AA9)*SUMIF(Assumptions!$A$6:$A$10,X9,Assumptions!$C$6:$C$10),0)</f>
        <v>24.979962787366297</v>
      </c>
      <c r="AI9" s="13">
        <f>IFERROR(IF(Assumptions!$B$13="Cost Price",AB9,AA9)*SUMIF(Assumptions!$A$6:$A$10,X9,Assumptions!$D$6:$D$10),0)</f>
        <v>49.959925574732594</v>
      </c>
      <c r="AJ9" s="13">
        <v>78.028813657274497</v>
      </c>
      <c r="AK9" s="13">
        <f t="shared" si="15"/>
        <v>192.93664247915945</v>
      </c>
      <c r="AL9" s="14">
        <v>0.33</v>
      </c>
      <c r="AM9" s="13">
        <f t="shared" si="16"/>
        <v>240.75261326816644</v>
      </c>
      <c r="AN9" s="14">
        <f t="shared" si="17"/>
        <v>0.48189145699994385</v>
      </c>
      <c r="AO9" t="str">
        <f>IF(AN9&gt;=Assumptions!$B$3,"OK","Review")</f>
        <v>OK</v>
      </c>
    </row>
    <row r="10" spans="1:41" ht="15" customHeight="1">
      <c r="A10" s="9" t="s">
        <v>70</v>
      </c>
      <c r="B10" s="9" t="s">
        <v>35</v>
      </c>
      <c r="C10" s="9" t="s">
        <v>78</v>
      </c>
      <c r="D10" s="9" t="s">
        <v>87</v>
      </c>
      <c r="E10" s="9" t="s">
        <v>73</v>
      </c>
      <c r="F10" s="9" t="s">
        <v>81</v>
      </c>
      <c r="G10" s="9" t="s">
        <v>24</v>
      </c>
      <c r="H10" s="9" t="s">
        <v>84</v>
      </c>
      <c r="I10" s="9">
        <v>4000011769</v>
      </c>
      <c r="J10" s="10">
        <v>19.510000000000002</v>
      </c>
      <c r="K10" s="10"/>
      <c r="L10" s="10">
        <f t="shared" si="0"/>
        <v>19.510000000000002</v>
      </c>
      <c r="M10" s="11">
        <v>0</v>
      </c>
      <c r="N10" s="10">
        <f t="shared" si="1"/>
        <v>0</v>
      </c>
      <c r="O10" s="10">
        <f t="shared" si="2"/>
        <v>19.510000000000002</v>
      </c>
      <c r="P10" s="11">
        <f t="shared" si="3"/>
        <v>6.1559334868898509E-2</v>
      </c>
      <c r="Q10" s="10">
        <f t="shared" si="4"/>
        <v>316.92999999999995</v>
      </c>
      <c r="R10" s="10">
        <f t="shared" si="5"/>
        <v>2402.3363999999997</v>
      </c>
      <c r="S10" s="10">
        <f t="shared" si="6"/>
        <v>147.8862309153441</v>
      </c>
      <c r="T10" s="9" t="s">
        <v>76</v>
      </c>
      <c r="U10" s="10">
        <v>4499</v>
      </c>
      <c r="V10" s="10">
        <f t="shared" si="7"/>
        <v>3149.2999999999997</v>
      </c>
      <c r="W10" s="166">
        <v>490110</v>
      </c>
      <c r="X10" s="12" t="s">
        <v>25</v>
      </c>
      <c r="Y10" s="12">
        <f t="shared" si="8"/>
        <v>147.8862309153441</v>
      </c>
      <c r="Z10" s="13">
        <f t="shared" si="9"/>
        <v>147.8862309153441</v>
      </c>
      <c r="AA10" s="13">
        <f t="shared" si="10"/>
        <v>147.8862309153441</v>
      </c>
      <c r="AB10" s="13">
        <f t="shared" si="11"/>
        <v>19.510000000000002</v>
      </c>
      <c r="AC10" s="13">
        <f t="shared" si="12"/>
        <v>128.37623091534411</v>
      </c>
      <c r="AD10" s="14">
        <f t="shared" si="13"/>
        <v>0.86807426303826563</v>
      </c>
      <c r="AE10" s="14">
        <f t="shared" si="14"/>
        <v>6.580022086896161</v>
      </c>
      <c r="AF10" s="13" t="str">
        <f>IF(AD10&gt;=Assumptions!$B$3,"OK","Review")</f>
        <v>OK</v>
      </c>
      <c r="AG10" s="13">
        <f>IFERROR(IF(Assumptions!$B$13="Cost Price",AB10,AA10)*SUMIF(Assumptions!$A$6:$A$10,X10,Assumptions!$B$6:$B$10),0)</f>
        <v>11.830898473227528</v>
      </c>
      <c r="AH10" s="13">
        <f>IFERROR(IF(Assumptions!$B$13="Cost Price",AB10,AA10)*SUMIF(Assumptions!$A$6:$A$10,X10,Assumptions!$C$6:$C$10),0)</f>
        <v>7.3943115457672057</v>
      </c>
      <c r="AI10" s="13">
        <f>IFERROR(IF(Assumptions!$B$13="Cost Price",AB10,AA10)*SUMIF(Assumptions!$A$6:$A$10,X10,Assumptions!$D$6:$D$10),0)</f>
        <v>14.788623091534411</v>
      </c>
      <c r="AJ10" s="13">
        <v>23.097286518789645</v>
      </c>
      <c r="AK10" s="13">
        <f t="shared" si="15"/>
        <v>57.111119629318793</v>
      </c>
      <c r="AL10" s="14">
        <v>0.33</v>
      </c>
      <c r="AM10" s="13">
        <f t="shared" si="16"/>
        <v>71.265111286025316</v>
      </c>
      <c r="AN10" s="14">
        <f t="shared" si="17"/>
        <v>0.4818914569999439</v>
      </c>
      <c r="AO10" t="str">
        <f>IF(AN10&gt;=Assumptions!$B$3,"OK","Review")</f>
        <v>OK</v>
      </c>
    </row>
    <row r="11" spans="1:41" ht="15" customHeight="1">
      <c r="A11" s="9" t="s">
        <v>70</v>
      </c>
      <c r="B11" s="9" t="s">
        <v>35</v>
      </c>
      <c r="C11" s="9" t="s">
        <v>88</v>
      </c>
      <c r="D11" s="9" t="s">
        <v>89</v>
      </c>
      <c r="E11" s="9" t="s">
        <v>73</v>
      </c>
      <c r="F11" s="9" t="s">
        <v>90</v>
      </c>
      <c r="G11" s="9" t="s">
        <v>24</v>
      </c>
      <c r="H11" s="9" t="s">
        <v>75</v>
      </c>
      <c r="I11" s="9">
        <v>7000000216</v>
      </c>
      <c r="J11" s="10">
        <v>210.51</v>
      </c>
      <c r="K11" s="10">
        <v>10</v>
      </c>
      <c r="L11" s="10">
        <f t="shared" si="0"/>
        <v>220.51</v>
      </c>
      <c r="M11" s="11">
        <v>0.18</v>
      </c>
      <c r="N11" s="10">
        <f t="shared" si="1"/>
        <v>39.691799999999994</v>
      </c>
      <c r="O11" s="10">
        <f t="shared" si="2"/>
        <v>260.20179999999999</v>
      </c>
      <c r="P11" s="11">
        <f t="shared" si="3"/>
        <v>0.69669204764462411</v>
      </c>
      <c r="Q11" s="10">
        <f t="shared" si="4"/>
        <v>373.48180000000002</v>
      </c>
      <c r="R11" s="10">
        <f t="shared" si="5"/>
        <v>2402.3363999999997</v>
      </c>
      <c r="S11" s="10">
        <f t="shared" si="6"/>
        <v>260.20179999999999</v>
      </c>
      <c r="T11" s="9" t="s">
        <v>91</v>
      </c>
      <c r="U11" s="10">
        <v>4499</v>
      </c>
      <c r="V11" s="10">
        <f t="shared" si="7"/>
        <v>3149.2999999999997</v>
      </c>
      <c r="W11" s="166">
        <v>49119990</v>
      </c>
      <c r="X11" s="12" t="s">
        <v>25</v>
      </c>
      <c r="Y11" s="12">
        <f t="shared" si="8"/>
        <v>260.20179999999999</v>
      </c>
      <c r="Z11" s="13">
        <f t="shared" si="9"/>
        <v>260.20179999999999</v>
      </c>
      <c r="AA11" s="13">
        <f t="shared" si="10"/>
        <v>220.51</v>
      </c>
      <c r="AB11" s="13">
        <f t="shared" si="11"/>
        <v>210.51</v>
      </c>
      <c r="AC11" s="13">
        <f t="shared" si="12"/>
        <v>10</v>
      </c>
      <c r="AD11" s="14">
        <f t="shared" si="13"/>
        <v>4.5349417259988214E-2</v>
      </c>
      <c r="AE11" s="14">
        <f t="shared" si="14"/>
        <v>4.750368153531899E-2</v>
      </c>
      <c r="AF11" s="13" t="str">
        <f>IF(AD11&gt;=Assumptions!$B$3,"OK","Review")</f>
        <v>Review</v>
      </c>
      <c r="AG11" s="13">
        <f>IFERROR(IF(Assumptions!$B$13="Cost Price",AB11,AA11)*SUMIF(Assumptions!$A$6:$A$10,X11,Assumptions!$B$6:$B$10),0)</f>
        <v>17.640799999999999</v>
      </c>
      <c r="AH11" s="13">
        <f>IFERROR(IF(Assumptions!$B$13="Cost Price",AB11,AA11)*SUMIF(Assumptions!$A$6:$A$10,X11,Assumptions!$C$6:$C$10),0)</f>
        <v>11.025500000000001</v>
      </c>
      <c r="AI11" s="13">
        <f>IFERROR(IF(Assumptions!$B$13="Cost Price",AB11,AA11)*SUMIF(Assumptions!$A$6:$A$10,X11,Assumptions!$D$6:$D$10),0)</f>
        <v>22.051000000000002</v>
      </c>
      <c r="AJ11" s="13">
        <v>22.051000000000002</v>
      </c>
      <c r="AK11" s="13">
        <f t="shared" si="15"/>
        <v>72.768300000000011</v>
      </c>
      <c r="AL11" s="14">
        <v>0.33</v>
      </c>
      <c r="AM11" s="13">
        <f t="shared" si="16"/>
        <v>-62.768300000000011</v>
      </c>
      <c r="AN11" s="14">
        <f t="shared" si="17"/>
        <v>-0.28465058274001187</v>
      </c>
      <c r="AO11" t="str">
        <f>IF(AN11&gt;=Assumptions!$B$3,"OK","Review")</f>
        <v>Review</v>
      </c>
    </row>
    <row r="12" spans="1:41" ht="15" customHeight="1">
      <c r="A12" s="9" t="s">
        <v>70</v>
      </c>
      <c r="B12" s="9" t="s">
        <v>35</v>
      </c>
      <c r="C12" s="9" t="s">
        <v>92</v>
      </c>
      <c r="D12" s="9" t="s">
        <v>93</v>
      </c>
      <c r="E12" s="9" t="s">
        <v>73</v>
      </c>
      <c r="F12" s="9" t="s">
        <v>94</v>
      </c>
      <c r="G12" s="9" t="s">
        <v>24</v>
      </c>
      <c r="H12" s="9" t="s">
        <v>75</v>
      </c>
      <c r="I12" s="9">
        <v>8400007</v>
      </c>
      <c r="J12" s="10">
        <v>96</v>
      </c>
      <c r="K12" s="10"/>
      <c r="L12" s="10">
        <f t="shared" si="0"/>
        <v>96</v>
      </c>
      <c r="M12" s="11">
        <v>0.18</v>
      </c>
      <c r="N12" s="10">
        <f t="shared" si="1"/>
        <v>17.28</v>
      </c>
      <c r="O12" s="10">
        <f t="shared" si="2"/>
        <v>113.28</v>
      </c>
      <c r="P12" s="11">
        <f t="shared" si="3"/>
        <v>0.30330795235537578</v>
      </c>
      <c r="Q12" s="10">
        <f t="shared" si="4"/>
        <v>373.48180000000002</v>
      </c>
      <c r="R12" s="10">
        <f t="shared" si="5"/>
        <v>2402.3363999999997</v>
      </c>
      <c r="S12" s="10">
        <f t="shared" si="6"/>
        <v>113.28</v>
      </c>
      <c r="T12" s="9" t="s">
        <v>91</v>
      </c>
      <c r="U12" s="10">
        <v>4499</v>
      </c>
      <c r="V12" s="10">
        <f t="shared" si="7"/>
        <v>3149.2999999999997</v>
      </c>
      <c r="W12" s="166">
        <v>999299</v>
      </c>
      <c r="X12" s="12" t="s">
        <v>25</v>
      </c>
      <c r="Y12" s="12">
        <f t="shared" si="8"/>
        <v>113.28</v>
      </c>
      <c r="Z12" s="13">
        <f t="shared" si="9"/>
        <v>113.28</v>
      </c>
      <c r="AA12" s="13">
        <f t="shared" si="10"/>
        <v>96</v>
      </c>
      <c r="AB12" s="13">
        <f t="shared" si="11"/>
        <v>96</v>
      </c>
      <c r="AC12" s="13">
        <f t="shared" si="12"/>
        <v>0</v>
      </c>
      <c r="AD12" s="14">
        <f t="shared" si="13"/>
        <v>0</v>
      </c>
      <c r="AE12" s="14">
        <f t="shared" si="14"/>
        <v>0</v>
      </c>
      <c r="AF12" s="13" t="str">
        <f>IF(AD12&gt;=Assumptions!$B$3,"OK","Review")</f>
        <v>Review</v>
      </c>
      <c r="AG12" s="13">
        <f>IFERROR(IF(Assumptions!$B$13="Cost Price",AB12,AA12)*SUMIF(Assumptions!$A$6:$A$10,X12,Assumptions!$B$6:$B$10),0)</f>
        <v>7.68</v>
      </c>
      <c r="AH12" s="13">
        <f>IFERROR(IF(Assumptions!$B$13="Cost Price",AB12,AA12)*SUMIF(Assumptions!$A$6:$A$10,X12,Assumptions!$C$6:$C$10),0)</f>
        <v>4.8000000000000007</v>
      </c>
      <c r="AI12" s="13">
        <f>IFERROR(IF(Assumptions!$B$13="Cost Price",AB12,AA12)*SUMIF(Assumptions!$A$6:$A$10,X12,Assumptions!$D$6:$D$10),0)</f>
        <v>9.6000000000000014</v>
      </c>
      <c r="AJ12" s="13">
        <v>9.6000000000000014</v>
      </c>
      <c r="AK12" s="13">
        <f t="shared" si="15"/>
        <v>31.680000000000003</v>
      </c>
      <c r="AL12" s="14">
        <v>0.33</v>
      </c>
      <c r="AM12" s="13">
        <f t="shared" si="16"/>
        <v>-31.680000000000003</v>
      </c>
      <c r="AN12" s="14">
        <f t="shared" si="17"/>
        <v>-0.33</v>
      </c>
      <c r="AO12" t="str">
        <f>IF(AN12&gt;=Assumptions!$B$3,"OK","Review")</f>
        <v>Review</v>
      </c>
    </row>
    <row r="13" spans="1:41" ht="15" customHeight="1">
      <c r="A13" s="9" t="s">
        <v>70</v>
      </c>
      <c r="B13" s="9" t="s">
        <v>36</v>
      </c>
      <c r="C13" s="9" t="s">
        <v>71</v>
      </c>
      <c r="D13" s="9" t="s">
        <v>95</v>
      </c>
      <c r="E13" s="9" t="s">
        <v>73</v>
      </c>
      <c r="F13" s="9" t="s">
        <v>74</v>
      </c>
      <c r="G13" s="9" t="s">
        <v>24</v>
      </c>
      <c r="H13" s="9" t="s">
        <v>75</v>
      </c>
      <c r="I13" s="9">
        <v>4000011861</v>
      </c>
      <c r="J13" s="10">
        <v>40.090000000000003</v>
      </c>
      <c r="K13" s="10"/>
      <c r="L13" s="10">
        <f t="shared" si="0"/>
        <v>40.090000000000003</v>
      </c>
      <c r="M13" s="11">
        <v>0</v>
      </c>
      <c r="N13" s="10">
        <f t="shared" si="1"/>
        <v>0</v>
      </c>
      <c r="O13" s="10">
        <f t="shared" si="2"/>
        <v>40.090000000000003</v>
      </c>
      <c r="P13" s="11">
        <f t="shared" si="3"/>
        <v>0.12098623853211012</v>
      </c>
      <c r="Q13" s="10">
        <f t="shared" si="4"/>
        <v>331.35999999999996</v>
      </c>
      <c r="R13" s="10">
        <f t="shared" si="5"/>
        <v>2387.2087999999994</v>
      </c>
      <c r="S13" s="10">
        <f t="shared" si="6"/>
        <v>288.81941330275231</v>
      </c>
      <c r="T13" s="9" t="s">
        <v>76</v>
      </c>
      <c r="U13" s="10">
        <v>4499</v>
      </c>
      <c r="V13" s="10">
        <f t="shared" si="7"/>
        <v>3149.2999999999997</v>
      </c>
      <c r="W13" s="166">
        <v>490110</v>
      </c>
      <c r="X13" s="12" t="s">
        <v>25</v>
      </c>
      <c r="Y13" s="12">
        <f t="shared" si="8"/>
        <v>288.81941330275231</v>
      </c>
      <c r="Z13" s="13">
        <f t="shared" si="9"/>
        <v>288.81941330275231</v>
      </c>
      <c r="AA13" s="13">
        <f t="shared" si="10"/>
        <v>288.81941330275231</v>
      </c>
      <c r="AB13" s="13">
        <f t="shared" si="11"/>
        <v>40.090000000000003</v>
      </c>
      <c r="AC13" s="13">
        <f t="shared" si="12"/>
        <v>248.72941330275231</v>
      </c>
      <c r="AD13" s="14">
        <f t="shared" si="13"/>
        <v>0.86119354117662439</v>
      </c>
      <c r="AE13" s="14">
        <f t="shared" si="14"/>
        <v>6.2042757122163206</v>
      </c>
      <c r="AF13" s="13" t="str">
        <f>IF(AD13&gt;=Assumptions!$B$3,"OK","Review")</f>
        <v>OK</v>
      </c>
      <c r="AG13" s="13">
        <f>IFERROR(IF(Assumptions!$B$13="Cost Price",AB13,AA13)*SUMIF(Assumptions!$A$6:$A$10,X13,Assumptions!$B$6:$B$10),0)</f>
        <v>23.105553064220185</v>
      </c>
      <c r="AH13" s="13">
        <f>IFERROR(IF(Assumptions!$B$13="Cost Price",AB13,AA13)*SUMIF(Assumptions!$A$6:$A$10,X13,Assumptions!$C$6:$C$10),0)</f>
        <v>14.440970665137616</v>
      </c>
      <c r="AI13" s="13">
        <f>IFERROR(IF(Assumptions!$B$13="Cost Price",AB13,AA13)*SUMIF(Assumptions!$A$6:$A$10,X13,Assumptions!$D$6:$D$10),0)</f>
        <v>28.881941330275232</v>
      </c>
      <c r="AJ13" s="13">
        <v>45.211453944954144</v>
      </c>
      <c r="AK13" s="13">
        <f t="shared" si="15"/>
        <v>111.63991900458717</v>
      </c>
      <c r="AL13" s="14">
        <v>0.33</v>
      </c>
      <c r="AM13" s="13">
        <f t="shared" si="16"/>
        <v>137.08949429816514</v>
      </c>
      <c r="AN13" s="14">
        <f t="shared" si="17"/>
        <v>0.47465470804229604</v>
      </c>
      <c r="AO13" t="str">
        <f>IF(AN13&gt;=Assumptions!$B$3,"OK","Review")</f>
        <v>OK</v>
      </c>
    </row>
    <row r="14" spans="1:41" ht="15" customHeight="1">
      <c r="A14" s="9" t="s">
        <v>70</v>
      </c>
      <c r="B14" s="9" t="s">
        <v>36</v>
      </c>
      <c r="C14" s="9" t="s">
        <v>71</v>
      </c>
      <c r="D14" s="9" t="s">
        <v>96</v>
      </c>
      <c r="E14" s="9" t="s">
        <v>73</v>
      </c>
      <c r="F14" s="9" t="s">
        <v>74</v>
      </c>
      <c r="G14" s="9" t="s">
        <v>24</v>
      </c>
      <c r="H14" s="9" t="s">
        <v>75</v>
      </c>
      <c r="I14" s="9">
        <v>4000011872</v>
      </c>
      <c r="J14" s="10">
        <v>21.01</v>
      </c>
      <c r="K14" s="10"/>
      <c r="L14" s="10">
        <f t="shared" si="0"/>
        <v>21.01</v>
      </c>
      <c r="M14" s="11">
        <v>0</v>
      </c>
      <c r="N14" s="10">
        <f t="shared" si="1"/>
        <v>0</v>
      </c>
      <c r="O14" s="10">
        <f t="shared" si="2"/>
        <v>21.01</v>
      </c>
      <c r="P14" s="11">
        <f t="shared" si="3"/>
        <v>6.3405359729599237E-2</v>
      </c>
      <c r="Q14" s="10">
        <f t="shared" si="4"/>
        <v>331.35999999999996</v>
      </c>
      <c r="R14" s="10">
        <f t="shared" si="5"/>
        <v>2387.2087999999994</v>
      </c>
      <c r="S14" s="10">
        <f t="shared" si="6"/>
        <v>151.36183271366488</v>
      </c>
      <c r="T14" s="9" t="s">
        <v>76</v>
      </c>
      <c r="U14" s="10">
        <v>4499</v>
      </c>
      <c r="V14" s="10">
        <f t="shared" si="7"/>
        <v>3149.2999999999997</v>
      </c>
      <c r="W14" s="166">
        <v>490110</v>
      </c>
      <c r="X14" s="12" t="s">
        <v>25</v>
      </c>
      <c r="Y14" s="12">
        <f t="shared" si="8"/>
        <v>151.36183271366488</v>
      </c>
      <c r="Z14" s="13">
        <f t="shared" si="9"/>
        <v>151.36183271366488</v>
      </c>
      <c r="AA14" s="13">
        <f t="shared" si="10"/>
        <v>151.36183271366488</v>
      </c>
      <c r="AB14" s="13">
        <f t="shared" si="11"/>
        <v>21.01</v>
      </c>
      <c r="AC14" s="13">
        <f t="shared" si="12"/>
        <v>130.35183271366489</v>
      </c>
      <c r="AD14" s="14">
        <f t="shared" si="13"/>
        <v>0.86119354117662439</v>
      </c>
      <c r="AE14" s="14">
        <f t="shared" si="14"/>
        <v>6.2042757122163197</v>
      </c>
      <c r="AF14" s="13" t="str">
        <f>IF(AD14&gt;=Assumptions!$B$3,"OK","Review")</f>
        <v>OK</v>
      </c>
      <c r="AG14" s="13">
        <f>IFERROR(IF(Assumptions!$B$13="Cost Price",AB14,AA14)*SUMIF(Assumptions!$A$6:$A$10,X14,Assumptions!$B$6:$B$10),0)</f>
        <v>12.10894661709319</v>
      </c>
      <c r="AH14" s="13">
        <f>IFERROR(IF(Assumptions!$B$13="Cost Price",AB14,AA14)*SUMIF(Assumptions!$A$6:$A$10,X14,Assumptions!$C$6:$C$10),0)</f>
        <v>7.5680916356832446</v>
      </c>
      <c r="AI14" s="13">
        <f>IFERROR(IF(Assumptions!$B$13="Cost Price",AB14,AA14)*SUMIF(Assumptions!$A$6:$A$10,X14,Assumptions!$D$6:$D$10),0)</f>
        <v>15.136183271366489</v>
      </c>
      <c r="AJ14" s="13">
        <v>23.694004674070502</v>
      </c>
      <c r="AK14" s="13">
        <f t="shared" si="15"/>
        <v>58.507226198213431</v>
      </c>
      <c r="AL14" s="14">
        <v>0.33</v>
      </c>
      <c r="AM14" s="13">
        <f t="shared" si="16"/>
        <v>71.84460651545146</v>
      </c>
      <c r="AN14" s="14">
        <f t="shared" si="17"/>
        <v>0.47465470804229604</v>
      </c>
      <c r="AO14" t="str">
        <f>IF(AN14&gt;=Assumptions!$B$3,"OK","Review")</f>
        <v>OK</v>
      </c>
    </row>
    <row r="15" spans="1:41" ht="15" customHeight="1">
      <c r="A15" s="9" t="s">
        <v>70</v>
      </c>
      <c r="B15" s="9" t="s">
        <v>36</v>
      </c>
      <c r="C15" s="9" t="s">
        <v>78</v>
      </c>
      <c r="D15" s="9" t="s">
        <v>97</v>
      </c>
      <c r="E15" s="9" t="s">
        <v>73</v>
      </c>
      <c r="F15" s="9" t="s">
        <v>74</v>
      </c>
      <c r="G15" s="9" t="s">
        <v>24</v>
      </c>
      <c r="H15" s="9" t="s">
        <v>75</v>
      </c>
      <c r="I15" s="9">
        <v>4000011837</v>
      </c>
      <c r="J15" s="10">
        <v>20.100000000000001</v>
      </c>
      <c r="K15" s="10"/>
      <c r="L15" s="10">
        <f t="shared" si="0"/>
        <v>20.100000000000001</v>
      </c>
      <c r="M15" s="11">
        <v>0</v>
      </c>
      <c r="N15" s="10">
        <f t="shared" si="1"/>
        <v>0</v>
      </c>
      <c r="O15" s="10">
        <f t="shared" si="2"/>
        <v>20.100000000000001</v>
      </c>
      <c r="P15" s="11">
        <f t="shared" si="3"/>
        <v>6.0659101883148249E-2</v>
      </c>
      <c r="Q15" s="10">
        <f t="shared" si="4"/>
        <v>331.35999999999996</v>
      </c>
      <c r="R15" s="10">
        <f t="shared" si="5"/>
        <v>2387.2087999999994</v>
      </c>
      <c r="S15" s="10">
        <f t="shared" si="6"/>
        <v>144.80594181554804</v>
      </c>
      <c r="T15" s="9" t="s">
        <v>76</v>
      </c>
      <c r="U15" s="10">
        <v>4499</v>
      </c>
      <c r="V15" s="10">
        <f t="shared" si="7"/>
        <v>3149.2999999999997</v>
      </c>
      <c r="W15" s="166">
        <v>490110</v>
      </c>
      <c r="X15" s="12" t="s">
        <v>25</v>
      </c>
      <c r="Y15" s="12">
        <f t="shared" si="8"/>
        <v>144.80594181554804</v>
      </c>
      <c r="Z15" s="13">
        <f t="shared" si="9"/>
        <v>144.80594181554804</v>
      </c>
      <c r="AA15" s="13">
        <f t="shared" si="10"/>
        <v>144.80594181554804</v>
      </c>
      <c r="AB15" s="13">
        <f t="shared" si="11"/>
        <v>20.100000000000001</v>
      </c>
      <c r="AC15" s="13">
        <f t="shared" si="12"/>
        <v>124.70594181554804</v>
      </c>
      <c r="AD15" s="14">
        <f t="shared" si="13"/>
        <v>0.86119354117662439</v>
      </c>
      <c r="AE15" s="14">
        <f t="shared" si="14"/>
        <v>6.2042757122163206</v>
      </c>
      <c r="AF15" s="13" t="str">
        <f>IF(AD15&gt;=Assumptions!$B$3,"OK","Review")</f>
        <v>OK</v>
      </c>
      <c r="AG15" s="13">
        <f>IFERROR(IF(Assumptions!$B$13="Cost Price",AB15,AA15)*SUMIF(Assumptions!$A$6:$A$10,X15,Assumptions!$B$6:$B$10),0)</f>
        <v>11.584475345243844</v>
      </c>
      <c r="AH15" s="13">
        <f>IFERROR(IF(Assumptions!$B$13="Cost Price",AB15,AA15)*SUMIF(Assumptions!$A$6:$A$10,X15,Assumptions!$C$6:$C$10),0)</f>
        <v>7.2402970907774025</v>
      </c>
      <c r="AI15" s="13">
        <f>IFERROR(IF(Assumptions!$B$13="Cost Price",AB15,AA15)*SUMIF(Assumptions!$A$6:$A$10,X15,Assumptions!$D$6:$D$10),0)</f>
        <v>14.480594181554805</v>
      </c>
      <c r="AJ15" s="13">
        <v>22.667753162723329</v>
      </c>
      <c r="AK15" s="13">
        <f t="shared" si="15"/>
        <v>55.973119780299378</v>
      </c>
      <c r="AL15" s="14">
        <v>0.33</v>
      </c>
      <c r="AM15" s="13">
        <f t="shared" si="16"/>
        <v>68.73282203524866</v>
      </c>
      <c r="AN15" s="14">
        <f t="shared" si="17"/>
        <v>0.47465470804229604</v>
      </c>
      <c r="AO15" t="str">
        <f>IF(AN15&gt;=Assumptions!$B$3,"OK","Review")</f>
        <v>OK</v>
      </c>
    </row>
    <row r="16" spans="1:41" ht="15" customHeight="1">
      <c r="A16" s="9" t="s">
        <v>70</v>
      </c>
      <c r="B16" s="9" t="s">
        <v>36</v>
      </c>
      <c r="C16" s="9" t="s">
        <v>78</v>
      </c>
      <c r="D16" s="9" t="s">
        <v>98</v>
      </c>
      <c r="E16" s="9" t="s">
        <v>73</v>
      </c>
      <c r="F16" s="9" t="s">
        <v>81</v>
      </c>
      <c r="G16" s="9" t="s">
        <v>24</v>
      </c>
      <c r="H16" s="9" t="s">
        <v>75</v>
      </c>
      <c r="I16" s="9">
        <v>4000011826</v>
      </c>
      <c r="J16" s="10">
        <v>66.38</v>
      </c>
      <c r="K16" s="10"/>
      <c r="L16" s="10">
        <f t="shared" si="0"/>
        <v>66.38</v>
      </c>
      <c r="M16" s="11">
        <v>0</v>
      </c>
      <c r="N16" s="10">
        <f t="shared" si="1"/>
        <v>0</v>
      </c>
      <c r="O16" s="10">
        <f t="shared" si="2"/>
        <v>66.38</v>
      </c>
      <c r="P16" s="11">
        <f t="shared" si="3"/>
        <v>0.20032592950265574</v>
      </c>
      <c r="Q16" s="10">
        <f t="shared" si="4"/>
        <v>331.35999999999996</v>
      </c>
      <c r="R16" s="10">
        <f t="shared" si="5"/>
        <v>2387.2087999999994</v>
      </c>
      <c r="S16" s="10">
        <f t="shared" si="6"/>
        <v>478.21982177691928</v>
      </c>
      <c r="T16" s="9" t="s">
        <v>76</v>
      </c>
      <c r="U16" s="10">
        <v>4499</v>
      </c>
      <c r="V16" s="10">
        <f t="shared" si="7"/>
        <v>3149.2999999999997</v>
      </c>
      <c r="W16" s="166">
        <v>490110</v>
      </c>
      <c r="X16" s="12" t="s">
        <v>25</v>
      </c>
      <c r="Y16" s="12">
        <f t="shared" si="8"/>
        <v>478.21982177691928</v>
      </c>
      <c r="Z16" s="13">
        <f t="shared" si="9"/>
        <v>478.21982177691928</v>
      </c>
      <c r="AA16" s="13">
        <f t="shared" si="10"/>
        <v>478.21982177691928</v>
      </c>
      <c r="AB16" s="13">
        <f t="shared" si="11"/>
        <v>66.38</v>
      </c>
      <c r="AC16" s="13">
        <f t="shared" si="12"/>
        <v>411.83982177691928</v>
      </c>
      <c r="AD16" s="14">
        <f t="shared" si="13"/>
        <v>0.86119354117662428</v>
      </c>
      <c r="AE16" s="14">
        <f t="shared" si="14"/>
        <v>6.2042757122163197</v>
      </c>
      <c r="AF16" s="13" t="str">
        <f>IF(AD16&gt;=Assumptions!$B$3,"OK","Review")</f>
        <v>OK</v>
      </c>
      <c r="AG16" s="13">
        <f>IFERROR(IF(Assumptions!$B$13="Cost Price",AB16,AA16)*SUMIF(Assumptions!$A$6:$A$10,X16,Assumptions!$B$6:$B$10),0)</f>
        <v>38.257585742153545</v>
      </c>
      <c r="AH16" s="13">
        <f>IFERROR(IF(Assumptions!$B$13="Cost Price",AB16,AA16)*SUMIF(Assumptions!$A$6:$A$10,X16,Assumptions!$C$6:$C$10),0)</f>
        <v>23.910991088845964</v>
      </c>
      <c r="AI16" s="13">
        <f>IFERROR(IF(Assumptions!$B$13="Cost Price",AB16,AA16)*SUMIF(Assumptions!$A$6:$A$10,X16,Assumptions!$D$6:$D$10),0)</f>
        <v>47.821982177691929</v>
      </c>
      <c r="AJ16" s="13">
        <v>74.859972882665389</v>
      </c>
      <c r="AK16" s="13">
        <f t="shared" si="15"/>
        <v>184.85053189135681</v>
      </c>
      <c r="AL16" s="14">
        <v>0.33</v>
      </c>
      <c r="AM16" s="13">
        <f t="shared" si="16"/>
        <v>226.98928988556247</v>
      </c>
      <c r="AN16" s="14">
        <f t="shared" si="17"/>
        <v>0.47465470804229604</v>
      </c>
      <c r="AO16" t="str">
        <f>IF(AN16&gt;=Assumptions!$B$3,"OK","Review")</f>
        <v>OK</v>
      </c>
    </row>
    <row r="17" spans="1:41" ht="15" customHeight="1">
      <c r="A17" s="9" t="s">
        <v>70</v>
      </c>
      <c r="B17" s="9" t="s">
        <v>36</v>
      </c>
      <c r="C17" s="9" t="s">
        <v>78</v>
      </c>
      <c r="D17" s="9" t="s">
        <v>99</v>
      </c>
      <c r="E17" s="9" t="s">
        <v>73</v>
      </c>
      <c r="F17" s="9" t="s">
        <v>81</v>
      </c>
      <c r="G17" s="9" t="s">
        <v>24</v>
      </c>
      <c r="H17" s="9" t="s">
        <v>75</v>
      </c>
      <c r="I17" s="9">
        <v>4000011846</v>
      </c>
      <c r="J17" s="10">
        <v>25.48</v>
      </c>
      <c r="K17" s="10"/>
      <c r="L17" s="10">
        <f t="shared" si="0"/>
        <v>25.48</v>
      </c>
      <c r="M17" s="11">
        <v>0</v>
      </c>
      <c r="N17" s="10">
        <f t="shared" si="1"/>
        <v>0</v>
      </c>
      <c r="O17" s="10">
        <f t="shared" si="2"/>
        <v>25.48</v>
      </c>
      <c r="P17" s="11">
        <f t="shared" si="3"/>
        <v>7.6895219700627723E-2</v>
      </c>
      <c r="Q17" s="10">
        <f t="shared" si="4"/>
        <v>331.35999999999996</v>
      </c>
      <c r="R17" s="10">
        <f t="shared" si="5"/>
        <v>2387.2087999999994</v>
      </c>
      <c r="S17" s="10">
        <f t="shared" si="6"/>
        <v>183.56494514727183</v>
      </c>
      <c r="T17" s="9" t="s">
        <v>76</v>
      </c>
      <c r="U17" s="10">
        <v>4499</v>
      </c>
      <c r="V17" s="10">
        <f t="shared" si="7"/>
        <v>3149.2999999999997</v>
      </c>
      <c r="W17" s="166">
        <v>490110</v>
      </c>
      <c r="X17" s="12" t="s">
        <v>25</v>
      </c>
      <c r="Y17" s="12">
        <f t="shared" si="8"/>
        <v>183.56494514727183</v>
      </c>
      <c r="Z17" s="13">
        <f t="shared" si="9"/>
        <v>183.56494514727183</v>
      </c>
      <c r="AA17" s="13">
        <f t="shared" si="10"/>
        <v>183.56494514727183</v>
      </c>
      <c r="AB17" s="13">
        <f t="shared" si="11"/>
        <v>25.48</v>
      </c>
      <c r="AC17" s="13">
        <f t="shared" si="12"/>
        <v>158.08494514727184</v>
      </c>
      <c r="AD17" s="14">
        <f t="shared" si="13"/>
        <v>0.86119354117662439</v>
      </c>
      <c r="AE17" s="14">
        <f t="shared" si="14"/>
        <v>6.2042757122163197</v>
      </c>
      <c r="AF17" s="13" t="str">
        <f>IF(AD17&gt;=Assumptions!$B$3,"OK","Review")</f>
        <v>OK</v>
      </c>
      <c r="AG17" s="13">
        <f>IFERROR(IF(Assumptions!$B$13="Cost Price",AB17,AA17)*SUMIF(Assumptions!$A$6:$A$10,X17,Assumptions!$B$6:$B$10),0)</f>
        <v>14.685195611781747</v>
      </c>
      <c r="AH17" s="13">
        <f>IFERROR(IF(Assumptions!$B$13="Cost Price",AB17,AA17)*SUMIF(Assumptions!$A$6:$A$10,X17,Assumptions!$C$6:$C$10),0)</f>
        <v>9.1782472573635925</v>
      </c>
      <c r="AI17" s="13">
        <f>IFERROR(IF(Assumptions!$B$13="Cost Price",AB17,AA17)*SUMIF(Assumptions!$A$6:$A$10,X17,Assumptions!$D$6:$D$10),0)</f>
        <v>18.356494514727185</v>
      </c>
      <c r="AJ17" s="13">
        <v>28.735042317720911</v>
      </c>
      <c r="AK17" s="13">
        <f t="shared" si="15"/>
        <v>70.95497970159343</v>
      </c>
      <c r="AL17" s="14">
        <v>0.33</v>
      </c>
      <c r="AM17" s="13">
        <f t="shared" si="16"/>
        <v>87.129965445678408</v>
      </c>
      <c r="AN17" s="14">
        <f t="shared" si="17"/>
        <v>0.47465470804229609</v>
      </c>
      <c r="AO17" t="str">
        <f>IF(AN17&gt;=Assumptions!$B$3,"OK","Review")</f>
        <v>OK</v>
      </c>
    </row>
    <row r="18" spans="1:41" ht="15" customHeight="1">
      <c r="A18" s="9" t="s">
        <v>70</v>
      </c>
      <c r="B18" s="9" t="s">
        <v>36</v>
      </c>
      <c r="C18" s="9" t="s">
        <v>71</v>
      </c>
      <c r="D18" s="9" t="s">
        <v>100</v>
      </c>
      <c r="E18" s="9" t="s">
        <v>73</v>
      </c>
      <c r="F18" s="9" t="s">
        <v>74</v>
      </c>
      <c r="G18" s="9" t="s">
        <v>24</v>
      </c>
      <c r="H18" s="9" t="s">
        <v>84</v>
      </c>
      <c r="I18" s="9">
        <v>4000011847</v>
      </c>
      <c r="J18" s="10">
        <v>50.5</v>
      </c>
      <c r="K18" s="10"/>
      <c r="L18" s="10">
        <f t="shared" si="0"/>
        <v>50.5</v>
      </c>
      <c r="M18" s="11">
        <v>0</v>
      </c>
      <c r="N18" s="10">
        <f t="shared" si="1"/>
        <v>0</v>
      </c>
      <c r="O18" s="10">
        <f t="shared" si="2"/>
        <v>50.5</v>
      </c>
      <c r="P18" s="11">
        <f t="shared" si="3"/>
        <v>0.15240222114920329</v>
      </c>
      <c r="Q18" s="10">
        <f t="shared" si="4"/>
        <v>331.35999999999996</v>
      </c>
      <c r="R18" s="10">
        <f t="shared" si="5"/>
        <v>2387.2087999999994</v>
      </c>
      <c r="S18" s="10">
        <f t="shared" si="6"/>
        <v>363.81592346692412</v>
      </c>
      <c r="T18" s="9" t="s">
        <v>76</v>
      </c>
      <c r="U18" s="10">
        <v>4499</v>
      </c>
      <c r="V18" s="10">
        <f t="shared" si="7"/>
        <v>3149.2999999999997</v>
      </c>
      <c r="W18" s="166">
        <v>490110</v>
      </c>
      <c r="X18" s="12" t="s">
        <v>25</v>
      </c>
      <c r="Y18" s="12">
        <f t="shared" si="8"/>
        <v>363.81592346692412</v>
      </c>
      <c r="Z18" s="13">
        <f t="shared" si="9"/>
        <v>363.81592346692412</v>
      </c>
      <c r="AA18" s="13">
        <f t="shared" si="10"/>
        <v>363.81592346692412</v>
      </c>
      <c r="AB18" s="13">
        <f t="shared" si="11"/>
        <v>50.5</v>
      </c>
      <c r="AC18" s="13">
        <f t="shared" si="12"/>
        <v>313.31592346692412</v>
      </c>
      <c r="AD18" s="14">
        <f t="shared" si="13"/>
        <v>0.86119354117662428</v>
      </c>
      <c r="AE18" s="14">
        <f t="shared" si="14"/>
        <v>6.2042757122163188</v>
      </c>
      <c r="AF18" s="13" t="str">
        <f>IF(AD18&gt;=Assumptions!$B$3,"OK","Review")</f>
        <v>OK</v>
      </c>
      <c r="AG18" s="13">
        <f>IFERROR(IF(Assumptions!$B$13="Cost Price",AB18,AA18)*SUMIF(Assumptions!$A$6:$A$10,X18,Assumptions!$B$6:$B$10),0)</f>
        <v>29.10527387735393</v>
      </c>
      <c r="AH18" s="13">
        <f>IFERROR(IF(Assumptions!$B$13="Cost Price",AB18,AA18)*SUMIF(Assumptions!$A$6:$A$10,X18,Assumptions!$C$6:$C$10),0)</f>
        <v>18.190796173346207</v>
      </c>
      <c r="AI18" s="13">
        <f>IFERROR(IF(Assumptions!$B$13="Cost Price",AB18,AA18)*SUMIF(Assumptions!$A$6:$A$10,X18,Assumptions!$D$6:$D$10),0)</f>
        <v>36.381592346692415</v>
      </c>
      <c r="AJ18" s="13">
        <v>56.95132013520039</v>
      </c>
      <c r="AK18" s="13">
        <f t="shared" si="15"/>
        <v>140.62898253259294</v>
      </c>
      <c r="AL18" s="14">
        <v>0.33</v>
      </c>
      <c r="AM18" s="13">
        <f t="shared" si="16"/>
        <v>172.68694093433118</v>
      </c>
      <c r="AN18" s="14">
        <f t="shared" si="17"/>
        <v>0.47465470804229598</v>
      </c>
      <c r="AO18" t="str">
        <f>IF(AN18&gt;=Assumptions!$B$3,"OK","Review")</f>
        <v>OK</v>
      </c>
    </row>
    <row r="19" spans="1:41" ht="15" customHeight="1">
      <c r="A19" s="9" t="s">
        <v>70</v>
      </c>
      <c r="B19" s="9" t="s">
        <v>36</v>
      </c>
      <c r="C19" s="9" t="s">
        <v>71</v>
      </c>
      <c r="D19" s="9" t="s">
        <v>101</v>
      </c>
      <c r="E19" s="9" t="s">
        <v>73</v>
      </c>
      <c r="F19" s="9" t="s">
        <v>74</v>
      </c>
      <c r="G19" s="9" t="s">
        <v>24</v>
      </c>
      <c r="H19" s="9" t="s">
        <v>84</v>
      </c>
      <c r="I19" s="9">
        <v>4000011848</v>
      </c>
      <c r="J19" s="10">
        <v>21.01</v>
      </c>
      <c r="K19" s="10"/>
      <c r="L19" s="10">
        <f t="shared" si="0"/>
        <v>21.01</v>
      </c>
      <c r="M19" s="11">
        <v>0</v>
      </c>
      <c r="N19" s="10">
        <f t="shared" si="1"/>
        <v>0</v>
      </c>
      <c r="O19" s="10">
        <f t="shared" si="2"/>
        <v>21.01</v>
      </c>
      <c r="P19" s="11">
        <f t="shared" si="3"/>
        <v>6.3405359729599237E-2</v>
      </c>
      <c r="Q19" s="10">
        <f t="shared" si="4"/>
        <v>331.35999999999996</v>
      </c>
      <c r="R19" s="10">
        <f t="shared" si="5"/>
        <v>2387.2087999999994</v>
      </c>
      <c r="S19" s="10">
        <f t="shared" si="6"/>
        <v>151.36183271366488</v>
      </c>
      <c r="T19" s="9" t="s">
        <v>76</v>
      </c>
      <c r="U19" s="10">
        <v>4499</v>
      </c>
      <c r="V19" s="10">
        <f t="shared" si="7"/>
        <v>3149.2999999999997</v>
      </c>
      <c r="W19" s="166">
        <v>490110</v>
      </c>
      <c r="X19" s="12" t="s">
        <v>25</v>
      </c>
      <c r="Y19" s="12">
        <f t="shared" si="8"/>
        <v>151.36183271366488</v>
      </c>
      <c r="Z19" s="13">
        <f t="shared" si="9"/>
        <v>151.36183271366488</v>
      </c>
      <c r="AA19" s="13">
        <f t="shared" si="10"/>
        <v>151.36183271366488</v>
      </c>
      <c r="AB19" s="13">
        <f t="shared" si="11"/>
        <v>21.01</v>
      </c>
      <c r="AC19" s="13">
        <f t="shared" si="12"/>
        <v>130.35183271366489</v>
      </c>
      <c r="AD19" s="14">
        <f t="shared" si="13"/>
        <v>0.86119354117662439</v>
      </c>
      <c r="AE19" s="14">
        <f t="shared" si="14"/>
        <v>6.2042757122163197</v>
      </c>
      <c r="AF19" s="13" t="str">
        <f>IF(AD19&gt;=Assumptions!$B$3,"OK","Review")</f>
        <v>OK</v>
      </c>
      <c r="AG19" s="13">
        <f>IFERROR(IF(Assumptions!$B$13="Cost Price",AB19,AA19)*SUMIF(Assumptions!$A$6:$A$10,X19,Assumptions!$B$6:$B$10),0)</f>
        <v>12.10894661709319</v>
      </c>
      <c r="AH19" s="13">
        <f>IFERROR(IF(Assumptions!$B$13="Cost Price",AB19,AA19)*SUMIF(Assumptions!$A$6:$A$10,X19,Assumptions!$C$6:$C$10),0)</f>
        <v>7.5680916356832446</v>
      </c>
      <c r="AI19" s="13">
        <f>IFERROR(IF(Assumptions!$B$13="Cost Price",AB19,AA19)*SUMIF(Assumptions!$A$6:$A$10,X19,Assumptions!$D$6:$D$10),0)</f>
        <v>15.136183271366489</v>
      </c>
      <c r="AJ19" s="13">
        <v>23.694004674070502</v>
      </c>
      <c r="AK19" s="13">
        <f t="shared" si="15"/>
        <v>58.507226198213431</v>
      </c>
      <c r="AL19" s="14">
        <v>0.33</v>
      </c>
      <c r="AM19" s="13">
        <f t="shared" si="16"/>
        <v>71.84460651545146</v>
      </c>
      <c r="AN19" s="14">
        <f t="shared" si="17"/>
        <v>0.47465470804229604</v>
      </c>
      <c r="AO19" t="str">
        <f>IF(AN19&gt;=Assumptions!$B$3,"OK","Review")</f>
        <v>OK</v>
      </c>
    </row>
    <row r="20" spans="1:41" ht="15" customHeight="1">
      <c r="A20" s="9" t="s">
        <v>70</v>
      </c>
      <c r="B20" s="9" t="s">
        <v>36</v>
      </c>
      <c r="C20" s="9" t="s">
        <v>78</v>
      </c>
      <c r="D20" s="9" t="s">
        <v>102</v>
      </c>
      <c r="E20" s="9" t="s">
        <v>73</v>
      </c>
      <c r="F20" s="9" t="s">
        <v>81</v>
      </c>
      <c r="G20" s="9" t="s">
        <v>24</v>
      </c>
      <c r="H20" s="9" t="s">
        <v>84</v>
      </c>
      <c r="I20" s="9">
        <v>4000011849</v>
      </c>
      <c r="J20" s="10">
        <v>62.84</v>
      </c>
      <c r="K20" s="10"/>
      <c r="L20" s="10">
        <f t="shared" si="0"/>
        <v>62.84</v>
      </c>
      <c r="M20" s="11">
        <v>0</v>
      </c>
      <c r="N20" s="10">
        <f t="shared" si="1"/>
        <v>0</v>
      </c>
      <c r="O20" s="10">
        <f t="shared" si="2"/>
        <v>62.84</v>
      </c>
      <c r="P20" s="11">
        <f t="shared" si="3"/>
        <v>0.18964268469338488</v>
      </c>
      <c r="Q20" s="10">
        <f t="shared" si="4"/>
        <v>331.35999999999996</v>
      </c>
      <c r="R20" s="10">
        <f t="shared" si="5"/>
        <v>2387.2087999999994</v>
      </c>
      <c r="S20" s="10">
        <f t="shared" si="6"/>
        <v>452.71668575567361</v>
      </c>
      <c r="T20" s="9" t="s">
        <v>76</v>
      </c>
      <c r="U20" s="10">
        <v>4499</v>
      </c>
      <c r="V20" s="10">
        <f t="shared" si="7"/>
        <v>3149.2999999999997</v>
      </c>
      <c r="W20" s="166">
        <v>490110</v>
      </c>
      <c r="X20" s="12" t="s">
        <v>25</v>
      </c>
      <c r="Y20" s="12">
        <f t="shared" si="8"/>
        <v>452.71668575567361</v>
      </c>
      <c r="Z20" s="13">
        <f t="shared" si="9"/>
        <v>452.71668575567361</v>
      </c>
      <c r="AA20" s="13">
        <f t="shared" si="10"/>
        <v>452.71668575567361</v>
      </c>
      <c r="AB20" s="13">
        <f t="shared" si="11"/>
        <v>62.84</v>
      </c>
      <c r="AC20" s="13">
        <f t="shared" si="12"/>
        <v>389.87668575567363</v>
      </c>
      <c r="AD20" s="14">
        <f t="shared" si="13"/>
        <v>0.86119354117662439</v>
      </c>
      <c r="AE20" s="14">
        <f t="shared" si="14"/>
        <v>6.2042757122163215</v>
      </c>
      <c r="AF20" s="13" t="str">
        <f>IF(AD20&gt;=Assumptions!$B$3,"OK","Review")</f>
        <v>OK</v>
      </c>
      <c r="AG20" s="13">
        <f>IFERROR(IF(Assumptions!$B$13="Cost Price",AB20,AA20)*SUMIF(Assumptions!$A$6:$A$10,X20,Assumptions!$B$6:$B$10),0)</f>
        <v>36.217334860453889</v>
      </c>
      <c r="AH20" s="13">
        <f>IFERROR(IF(Assumptions!$B$13="Cost Price",AB20,AA20)*SUMIF(Assumptions!$A$6:$A$10,X20,Assumptions!$C$6:$C$10),0)</f>
        <v>22.63583428778368</v>
      </c>
      <c r="AI20" s="13">
        <f>IFERROR(IF(Assumptions!$B$13="Cost Price",AB20,AA20)*SUMIF(Assumptions!$A$6:$A$10,X20,Assumptions!$D$6:$D$10),0)</f>
        <v>45.271668575567361</v>
      </c>
      <c r="AJ20" s="13">
        <v>70.867741728633533</v>
      </c>
      <c r="AK20" s="13">
        <f t="shared" si="15"/>
        <v>174.99257945243846</v>
      </c>
      <c r="AL20" s="14">
        <v>0.33</v>
      </c>
      <c r="AM20" s="13">
        <f t="shared" si="16"/>
        <v>214.88410630323517</v>
      </c>
      <c r="AN20" s="14">
        <f t="shared" si="17"/>
        <v>0.47465470804229609</v>
      </c>
      <c r="AO20" t="str">
        <f>IF(AN20&gt;=Assumptions!$B$3,"OK","Review")</f>
        <v>OK</v>
      </c>
    </row>
    <row r="21" spans="1:41" ht="15" customHeight="1">
      <c r="A21" s="9" t="s">
        <v>70</v>
      </c>
      <c r="B21" s="9" t="s">
        <v>36</v>
      </c>
      <c r="C21" s="9" t="s">
        <v>78</v>
      </c>
      <c r="D21" s="9" t="s">
        <v>103</v>
      </c>
      <c r="E21" s="9" t="s">
        <v>73</v>
      </c>
      <c r="F21" s="9" t="s">
        <v>81</v>
      </c>
      <c r="G21" s="9" t="s">
        <v>24</v>
      </c>
      <c r="H21" s="9" t="s">
        <v>84</v>
      </c>
      <c r="I21" s="9">
        <v>4000011850</v>
      </c>
      <c r="J21" s="10">
        <v>23.95</v>
      </c>
      <c r="K21" s="10"/>
      <c r="L21" s="10">
        <f t="shared" si="0"/>
        <v>23.95</v>
      </c>
      <c r="M21" s="11">
        <v>0</v>
      </c>
      <c r="N21" s="10">
        <f t="shared" si="1"/>
        <v>0</v>
      </c>
      <c r="O21" s="10">
        <f t="shared" si="2"/>
        <v>23.95</v>
      </c>
      <c r="P21" s="11">
        <f t="shared" si="3"/>
        <v>7.2277885079671658E-2</v>
      </c>
      <c r="Q21" s="10">
        <f t="shared" si="4"/>
        <v>331.35999999999996</v>
      </c>
      <c r="R21" s="10">
        <f t="shared" si="5"/>
        <v>2387.2087999999994</v>
      </c>
      <c r="S21" s="10">
        <f t="shared" si="6"/>
        <v>172.54240330758086</v>
      </c>
      <c r="T21" s="9" t="s">
        <v>76</v>
      </c>
      <c r="U21" s="10">
        <v>4499</v>
      </c>
      <c r="V21" s="10">
        <f t="shared" si="7"/>
        <v>3149.2999999999997</v>
      </c>
      <c r="W21" s="166">
        <v>490110</v>
      </c>
      <c r="X21" s="12" t="s">
        <v>25</v>
      </c>
      <c r="Y21" s="12">
        <f t="shared" si="8"/>
        <v>172.54240330758086</v>
      </c>
      <c r="Z21" s="13">
        <f t="shared" si="9"/>
        <v>172.54240330758086</v>
      </c>
      <c r="AA21" s="13">
        <f t="shared" si="10"/>
        <v>172.54240330758086</v>
      </c>
      <c r="AB21" s="13">
        <f t="shared" si="11"/>
        <v>23.95</v>
      </c>
      <c r="AC21" s="13">
        <f t="shared" si="12"/>
        <v>148.59240330758087</v>
      </c>
      <c r="AD21" s="14">
        <f t="shared" si="13"/>
        <v>0.86119354117662439</v>
      </c>
      <c r="AE21" s="14">
        <f t="shared" si="14"/>
        <v>6.2042757122163206</v>
      </c>
      <c r="AF21" s="13" t="str">
        <f>IF(AD21&gt;=Assumptions!$B$3,"OK","Review")</f>
        <v>OK</v>
      </c>
      <c r="AG21" s="13">
        <f>IFERROR(IF(Assumptions!$B$13="Cost Price",AB21,AA21)*SUMIF(Assumptions!$A$6:$A$10,X21,Assumptions!$B$6:$B$10),0)</f>
        <v>13.803392264606469</v>
      </c>
      <c r="AH21" s="13">
        <f>IFERROR(IF(Assumptions!$B$13="Cost Price",AB21,AA21)*SUMIF(Assumptions!$A$6:$A$10,X21,Assumptions!$C$6:$C$10),0)</f>
        <v>8.6271201653790435</v>
      </c>
      <c r="AI21" s="13">
        <f>IFERROR(IF(Assumptions!$B$13="Cost Price",AB21,AA21)*SUMIF(Assumptions!$A$6:$A$10,X21,Assumptions!$D$6:$D$10),0)</f>
        <v>17.254240330758087</v>
      </c>
      <c r="AJ21" s="13">
        <v>27.009586479961371</v>
      </c>
      <c r="AK21" s="13">
        <f t="shared" si="15"/>
        <v>66.694339240704977</v>
      </c>
      <c r="AL21" s="14">
        <v>0.33</v>
      </c>
      <c r="AM21" s="13">
        <f t="shared" si="16"/>
        <v>81.898064066875889</v>
      </c>
      <c r="AN21" s="14">
        <f t="shared" si="17"/>
        <v>0.47465470804229604</v>
      </c>
      <c r="AO21" t="str">
        <f>IF(AN21&gt;=Assumptions!$B$3,"OK","Review")</f>
        <v>OK</v>
      </c>
    </row>
    <row r="22" spans="1:41" ht="15" customHeight="1">
      <c r="A22" s="9" t="s">
        <v>70</v>
      </c>
      <c r="B22" s="9" t="s">
        <v>36</v>
      </c>
      <c r="C22" s="9" t="s">
        <v>88</v>
      </c>
      <c r="D22" s="9" t="s">
        <v>104</v>
      </c>
      <c r="E22" s="9" t="s">
        <v>73</v>
      </c>
      <c r="F22" s="9" t="s">
        <v>90</v>
      </c>
      <c r="G22" s="9" t="s">
        <v>24</v>
      </c>
      <c r="H22" s="9" t="s">
        <v>75</v>
      </c>
      <c r="I22" s="9">
        <v>7000000223</v>
      </c>
      <c r="J22" s="10">
        <v>216.92</v>
      </c>
      <c r="K22" s="10">
        <v>10</v>
      </c>
      <c r="L22" s="10">
        <f t="shared" si="0"/>
        <v>226.92</v>
      </c>
      <c r="M22" s="11">
        <v>0.18</v>
      </c>
      <c r="N22" s="10">
        <f t="shared" si="1"/>
        <v>40.845599999999997</v>
      </c>
      <c r="O22" s="10">
        <f t="shared" si="2"/>
        <v>267.76560000000001</v>
      </c>
      <c r="P22" s="11">
        <f t="shared" si="3"/>
        <v>0.70271274619100699</v>
      </c>
      <c r="Q22" s="10">
        <f t="shared" si="4"/>
        <v>381.04560000000004</v>
      </c>
      <c r="R22" s="10">
        <f t="shared" si="5"/>
        <v>2387.2087999999994</v>
      </c>
      <c r="S22" s="10">
        <f t="shared" si="6"/>
        <v>267.76560000000001</v>
      </c>
      <c r="T22" s="9" t="s">
        <v>91</v>
      </c>
      <c r="U22" s="10">
        <v>4499</v>
      </c>
      <c r="V22" s="10">
        <f t="shared" si="7"/>
        <v>3149.2999999999997</v>
      </c>
      <c r="W22" s="166">
        <v>49119990</v>
      </c>
      <c r="X22" s="12" t="s">
        <v>25</v>
      </c>
      <c r="Y22" s="12">
        <f t="shared" si="8"/>
        <v>267.76560000000001</v>
      </c>
      <c r="Z22" s="13">
        <f t="shared" si="9"/>
        <v>267.76560000000001</v>
      </c>
      <c r="AA22" s="13">
        <f t="shared" si="10"/>
        <v>226.92000000000002</v>
      </c>
      <c r="AB22" s="13">
        <f t="shared" si="11"/>
        <v>216.92</v>
      </c>
      <c r="AC22" s="13">
        <f t="shared" si="12"/>
        <v>10.000000000000028</v>
      </c>
      <c r="AD22" s="14">
        <f t="shared" si="13"/>
        <v>4.4068394147717377E-2</v>
      </c>
      <c r="AE22" s="14">
        <f t="shared" si="14"/>
        <v>4.6099944680066521E-2</v>
      </c>
      <c r="AF22" s="13" t="str">
        <f>IF(AD22&gt;=Assumptions!$B$3,"OK","Review")</f>
        <v>Review</v>
      </c>
      <c r="AG22" s="13">
        <f>IFERROR(IF(Assumptions!$B$13="Cost Price",AB22,AA22)*SUMIF(Assumptions!$A$6:$A$10,X22,Assumptions!$B$6:$B$10),0)</f>
        <v>18.153600000000001</v>
      </c>
      <c r="AH22" s="13">
        <f>IFERROR(IF(Assumptions!$B$13="Cost Price",AB22,AA22)*SUMIF(Assumptions!$A$6:$A$10,X22,Assumptions!$C$6:$C$10),0)</f>
        <v>11.346000000000002</v>
      </c>
      <c r="AI22" s="13">
        <f>IFERROR(IF(Assumptions!$B$13="Cost Price",AB22,AA22)*SUMIF(Assumptions!$A$6:$A$10,X22,Assumptions!$D$6:$D$10),0)</f>
        <v>22.692000000000004</v>
      </c>
      <c r="AJ22" s="13">
        <v>22.692000000000004</v>
      </c>
      <c r="AK22" s="13">
        <f t="shared" si="15"/>
        <v>74.883600000000015</v>
      </c>
      <c r="AL22" s="14">
        <v>0.33</v>
      </c>
      <c r="AM22" s="13">
        <f t="shared" si="16"/>
        <v>-64.883599999999987</v>
      </c>
      <c r="AN22" s="14">
        <f t="shared" si="17"/>
        <v>-0.28593160585228267</v>
      </c>
      <c r="AO22" t="str">
        <f>IF(AN22&gt;=Assumptions!$B$3,"OK","Review")</f>
        <v>Review</v>
      </c>
    </row>
    <row r="23" spans="1:41" ht="15" customHeight="1">
      <c r="A23" s="9" t="s">
        <v>70</v>
      </c>
      <c r="B23" s="9" t="s">
        <v>36</v>
      </c>
      <c r="C23" s="9" t="s">
        <v>92</v>
      </c>
      <c r="D23" s="9" t="s">
        <v>93</v>
      </c>
      <c r="E23" s="9" t="s">
        <v>73</v>
      </c>
      <c r="F23" s="9" t="s">
        <v>94</v>
      </c>
      <c r="G23" s="9" t="s">
        <v>24</v>
      </c>
      <c r="H23" s="9" t="s">
        <v>75</v>
      </c>
      <c r="I23" s="9">
        <v>8400007</v>
      </c>
      <c r="J23" s="10">
        <v>96</v>
      </c>
      <c r="K23" s="10"/>
      <c r="L23" s="10">
        <f t="shared" si="0"/>
        <v>96</v>
      </c>
      <c r="M23" s="11">
        <v>0.18</v>
      </c>
      <c r="N23" s="10">
        <f t="shared" si="1"/>
        <v>17.28</v>
      </c>
      <c r="O23" s="10">
        <f t="shared" si="2"/>
        <v>113.28</v>
      </c>
      <c r="P23" s="11">
        <f t="shared" si="3"/>
        <v>0.2972872538089929</v>
      </c>
      <c r="Q23" s="10">
        <f t="shared" si="4"/>
        <v>381.04560000000004</v>
      </c>
      <c r="R23" s="10">
        <f t="shared" si="5"/>
        <v>2387.2087999999994</v>
      </c>
      <c r="S23" s="10">
        <f t="shared" si="6"/>
        <v>113.28</v>
      </c>
      <c r="T23" s="9" t="s">
        <v>91</v>
      </c>
      <c r="U23" s="10">
        <v>4499</v>
      </c>
      <c r="V23" s="10">
        <f t="shared" si="7"/>
        <v>3149.2999999999997</v>
      </c>
      <c r="W23" s="166">
        <v>999299</v>
      </c>
      <c r="X23" s="12" t="s">
        <v>25</v>
      </c>
      <c r="Y23" s="12">
        <f t="shared" si="8"/>
        <v>113.28</v>
      </c>
      <c r="Z23" s="13">
        <f t="shared" si="9"/>
        <v>113.28</v>
      </c>
      <c r="AA23" s="13">
        <f t="shared" si="10"/>
        <v>96</v>
      </c>
      <c r="AB23" s="13">
        <f t="shared" si="11"/>
        <v>96</v>
      </c>
      <c r="AC23" s="13">
        <f t="shared" si="12"/>
        <v>0</v>
      </c>
      <c r="AD23" s="14">
        <f t="shared" si="13"/>
        <v>0</v>
      </c>
      <c r="AE23" s="14">
        <f t="shared" si="14"/>
        <v>0</v>
      </c>
      <c r="AF23" s="13" t="str">
        <f>IF(AD23&gt;=Assumptions!$B$3,"OK","Review")</f>
        <v>Review</v>
      </c>
      <c r="AG23" s="13">
        <f>IFERROR(IF(Assumptions!$B$13="Cost Price",AB23,AA23)*SUMIF(Assumptions!$A$6:$A$10,X23,Assumptions!$B$6:$B$10),0)</f>
        <v>7.68</v>
      </c>
      <c r="AH23" s="13">
        <f>IFERROR(IF(Assumptions!$B$13="Cost Price",AB23,AA23)*SUMIF(Assumptions!$A$6:$A$10,X23,Assumptions!$C$6:$C$10),0)</f>
        <v>4.8000000000000007</v>
      </c>
      <c r="AI23" s="13">
        <f>IFERROR(IF(Assumptions!$B$13="Cost Price",AB23,AA23)*SUMIF(Assumptions!$A$6:$A$10,X23,Assumptions!$D$6:$D$10),0)</f>
        <v>9.6000000000000014</v>
      </c>
      <c r="AJ23" s="13">
        <v>9.6000000000000014</v>
      </c>
      <c r="AK23" s="13">
        <f t="shared" si="15"/>
        <v>31.680000000000003</v>
      </c>
      <c r="AL23" s="14">
        <v>0.33</v>
      </c>
      <c r="AM23" s="13">
        <f t="shared" si="16"/>
        <v>-31.680000000000003</v>
      </c>
      <c r="AN23" s="14">
        <f t="shared" si="17"/>
        <v>-0.33</v>
      </c>
      <c r="AO23" t="str">
        <f>IF(AN23&gt;=Assumptions!$B$3,"OK","Review")</f>
        <v>Review</v>
      </c>
    </row>
    <row r="24" spans="1:41" ht="15" customHeight="1">
      <c r="A24" s="9" t="s">
        <v>70</v>
      </c>
      <c r="B24" s="9" t="s">
        <v>37</v>
      </c>
      <c r="C24" s="9" t="s">
        <v>105</v>
      </c>
      <c r="D24" s="9" t="s">
        <v>106</v>
      </c>
      <c r="E24" s="9" t="s">
        <v>73</v>
      </c>
      <c r="F24" s="9" t="s">
        <v>74</v>
      </c>
      <c r="G24" s="9" t="s">
        <v>24</v>
      </c>
      <c r="H24" s="9" t="s">
        <v>75</v>
      </c>
      <c r="I24" s="9">
        <v>4000011851</v>
      </c>
      <c r="J24" s="10">
        <v>30</v>
      </c>
      <c r="K24" s="10"/>
      <c r="L24" s="10">
        <f t="shared" si="0"/>
        <v>30</v>
      </c>
      <c r="M24" s="11">
        <v>0</v>
      </c>
      <c r="N24" s="10">
        <f t="shared" si="1"/>
        <v>0</v>
      </c>
      <c r="O24" s="10">
        <f t="shared" si="2"/>
        <v>30</v>
      </c>
      <c r="P24" s="11">
        <f t="shared" si="3"/>
        <v>6.0504608434342425E-2</v>
      </c>
      <c r="Q24" s="10">
        <f t="shared" si="4"/>
        <v>495.82999999999993</v>
      </c>
      <c r="R24" s="10">
        <f t="shared" si="5"/>
        <v>2992.7639999999997</v>
      </c>
      <c r="S24" s="10">
        <f t="shared" si="6"/>
        <v>181.07601395639634</v>
      </c>
      <c r="T24" s="9" t="s">
        <v>76</v>
      </c>
      <c r="U24" s="10">
        <v>5599</v>
      </c>
      <c r="V24" s="10">
        <f t="shared" si="7"/>
        <v>3919.2999999999997</v>
      </c>
      <c r="W24" s="166">
        <v>490110</v>
      </c>
      <c r="X24" s="12" t="s">
        <v>25</v>
      </c>
      <c r="Y24" s="12">
        <f t="shared" si="8"/>
        <v>181.07601395639634</v>
      </c>
      <c r="Z24" s="13">
        <f t="shared" si="9"/>
        <v>181.07601395639634</v>
      </c>
      <c r="AA24" s="13">
        <f t="shared" si="10"/>
        <v>181.07601395639634</v>
      </c>
      <c r="AB24" s="13">
        <f t="shared" si="11"/>
        <v>30</v>
      </c>
      <c r="AC24" s="13">
        <f t="shared" si="12"/>
        <v>151.07601395639634</v>
      </c>
      <c r="AD24" s="14">
        <f t="shared" si="13"/>
        <v>0.83432372215116191</v>
      </c>
      <c r="AE24" s="14">
        <f t="shared" si="14"/>
        <v>5.0358671318798782</v>
      </c>
      <c r="AF24" s="13" t="str">
        <f>IF(AD24&gt;=Assumptions!$B$3,"OK","Review")</f>
        <v>OK</v>
      </c>
      <c r="AG24" s="13">
        <f>IFERROR(IF(Assumptions!$B$13="Cost Price",AB24,AA24)*SUMIF(Assumptions!$A$6:$A$10,X24,Assumptions!$B$6:$B$10),0)</f>
        <v>14.486081116511707</v>
      </c>
      <c r="AH24" s="13">
        <f>IFERROR(IF(Assumptions!$B$13="Cost Price",AB24,AA24)*SUMIF(Assumptions!$A$6:$A$10,X24,Assumptions!$C$6:$C$10),0)</f>
        <v>9.0538006978198169</v>
      </c>
      <c r="AI24" s="13">
        <f>IFERROR(IF(Assumptions!$B$13="Cost Price",AB24,AA24)*SUMIF(Assumptions!$A$6:$A$10,X24,Assumptions!$D$6:$D$10),0)</f>
        <v>18.107601395639634</v>
      </c>
      <c r="AJ24" s="13">
        <v>28.270560474356138</v>
      </c>
      <c r="AK24" s="13">
        <f t="shared" si="15"/>
        <v>69.918043684327301</v>
      </c>
      <c r="AL24" s="14">
        <v>0.33</v>
      </c>
      <c r="AM24" s="13">
        <f t="shared" si="16"/>
        <v>81.157970272069036</v>
      </c>
      <c r="AN24" s="14">
        <f t="shared" si="17"/>
        <v>0.44819834774810169</v>
      </c>
      <c r="AO24" t="str">
        <f>IF(AN24&gt;=Assumptions!$B$3,"OK","Review")</f>
        <v>OK</v>
      </c>
    </row>
    <row r="25" spans="1:41" ht="15" customHeight="1">
      <c r="A25" s="9" t="s">
        <v>70</v>
      </c>
      <c r="B25" s="9" t="s">
        <v>37</v>
      </c>
      <c r="C25" s="9" t="s">
        <v>105</v>
      </c>
      <c r="D25" s="9" t="s">
        <v>107</v>
      </c>
      <c r="E25" s="9" t="s">
        <v>73</v>
      </c>
      <c r="F25" s="9" t="s">
        <v>74</v>
      </c>
      <c r="G25" s="9" t="s">
        <v>24</v>
      </c>
      <c r="H25" s="9" t="s">
        <v>75</v>
      </c>
      <c r="I25" s="9">
        <v>4000011853</v>
      </c>
      <c r="J25" s="10">
        <v>16.29</v>
      </c>
      <c r="K25" s="10"/>
      <c r="L25" s="10">
        <f t="shared" si="0"/>
        <v>16.29</v>
      </c>
      <c r="M25" s="11">
        <v>0</v>
      </c>
      <c r="N25" s="10">
        <f t="shared" si="1"/>
        <v>0</v>
      </c>
      <c r="O25" s="10">
        <f t="shared" si="2"/>
        <v>16.29</v>
      </c>
      <c r="P25" s="11">
        <f t="shared" si="3"/>
        <v>3.2854002379847938E-2</v>
      </c>
      <c r="Q25" s="10">
        <f t="shared" si="4"/>
        <v>495.82999999999993</v>
      </c>
      <c r="R25" s="10">
        <f t="shared" si="5"/>
        <v>2992.7639999999997</v>
      </c>
      <c r="S25" s="10">
        <f t="shared" si="6"/>
        <v>98.324275578323224</v>
      </c>
      <c r="T25" s="9" t="s">
        <v>76</v>
      </c>
      <c r="U25" s="10">
        <v>5599</v>
      </c>
      <c r="V25" s="10">
        <f t="shared" si="7"/>
        <v>3919.2999999999997</v>
      </c>
      <c r="W25" s="166">
        <v>490110</v>
      </c>
      <c r="X25" s="12" t="s">
        <v>25</v>
      </c>
      <c r="Y25" s="12">
        <f t="shared" si="8"/>
        <v>98.324275578323224</v>
      </c>
      <c r="Z25" s="13">
        <f t="shared" si="9"/>
        <v>98.324275578323224</v>
      </c>
      <c r="AA25" s="13">
        <f t="shared" si="10"/>
        <v>98.324275578323224</v>
      </c>
      <c r="AB25" s="13">
        <f t="shared" si="11"/>
        <v>16.29</v>
      </c>
      <c r="AC25" s="13">
        <f t="shared" si="12"/>
        <v>82.034275578323218</v>
      </c>
      <c r="AD25" s="14">
        <f t="shared" si="13"/>
        <v>0.83432372215116191</v>
      </c>
      <c r="AE25" s="14">
        <f t="shared" si="14"/>
        <v>5.0358671318798782</v>
      </c>
      <c r="AF25" s="13" t="str">
        <f>IF(AD25&gt;=Assumptions!$B$3,"OK","Review")</f>
        <v>OK</v>
      </c>
      <c r="AG25" s="13">
        <f>IFERROR(IF(Assumptions!$B$13="Cost Price",AB25,AA25)*SUMIF(Assumptions!$A$6:$A$10,X25,Assumptions!$B$6:$B$10),0)</f>
        <v>7.8659420462658582</v>
      </c>
      <c r="AH25" s="13">
        <f>IFERROR(IF(Assumptions!$B$13="Cost Price",AB25,AA25)*SUMIF(Assumptions!$A$6:$A$10,X25,Assumptions!$C$6:$C$10),0)</f>
        <v>4.9162137789161617</v>
      </c>
      <c r="AI25" s="13">
        <f>IFERROR(IF(Assumptions!$B$13="Cost Price",AB25,AA25)*SUMIF(Assumptions!$A$6:$A$10,X25,Assumptions!$D$6:$D$10),0)</f>
        <v>9.8324275578323235</v>
      </c>
      <c r="AJ25" s="13">
        <v>15.350914337575382</v>
      </c>
      <c r="AK25" s="13">
        <f t="shared" si="15"/>
        <v>37.965497720589724</v>
      </c>
      <c r="AL25" s="14">
        <v>0.33</v>
      </c>
      <c r="AM25" s="13">
        <f t="shared" si="16"/>
        <v>44.068777857733494</v>
      </c>
      <c r="AN25" s="14">
        <f t="shared" si="17"/>
        <v>0.44819834774810169</v>
      </c>
      <c r="AO25" t="str">
        <f>IF(AN25&gt;=Assumptions!$B$3,"OK","Review")</f>
        <v>OK</v>
      </c>
    </row>
    <row r="26" spans="1:41" ht="15" customHeight="1">
      <c r="A26" s="9" t="s">
        <v>70</v>
      </c>
      <c r="B26" s="9" t="s">
        <v>37</v>
      </c>
      <c r="C26" s="9" t="s">
        <v>71</v>
      </c>
      <c r="D26" s="9" t="s">
        <v>108</v>
      </c>
      <c r="E26" s="9" t="s">
        <v>73</v>
      </c>
      <c r="F26" s="9" t="s">
        <v>74</v>
      </c>
      <c r="G26" s="9" t="s">
        <v>24</v>
      </c>
      <c r="H26" s="9" t="s">
        <v>75</v>
      </c>
      <c r="I26" s="9">
        <v>4000011854</v>
      </c>
      <c r="J26" s="10">
        <v>43.03</v>
      </c>
      <c r="K26" s="10"/>
      <c r="L26" s="10">
        <f t="shared" si="0"/>
        <v>43.03</v>
      </c>
      <c r="M26" s="11">
        <v>0</v>
      </c>
      <c r="N26" s="10">
        <f t="shared" si="1"/>
        <v>0</v>
      </c>
      <c r="O26" s="10">
        <f t="shared" si="2"/>
        <v>43.03</v>
      </c>
      <c r="P26" s="11">
        <f t="shared" si="3"/>
        <v>8.6783776697658493E-2</v>
      </c>
      <c r="Q26" s="10">
        <f t="shared" si="4"/>
        <v>495.82999999999993</v>
      </c>
      <c r="R26" s="10">
        <f t="shared" si="5"/>
        <v>2992.7639999999997</v>
      </c>
      <c r="S26" s="10">
        <f t="shared" si="6"/>
        <v>259.7233626847912</v>
      </c>
      <c r="T26" s="9" t="s">
        <v>76</v>
      </c>
      <c r="U26" s="10">
        <v>5599</v>
      </c>
      <c r="V26" s="10">
        <f t="shared" si="7"/>
        <v>3919.2999999999997</v>
      </c>
      <c r="W26" s="166">
        <v>490110</v>
      </c>
      <c r="X26" s="12" t="s">
        <v>25</v>
      </c>
      <c r="Y26" s="12">
        <f t="shared" si="8"/>
        <v>259.7233626847912</v>
      </c>
      <c r="Z26" s="13">
        <f t="shared" si="9"/>
        <v>259.7233626847912</v>
      </c>
      <c r="AA26" s="13">
        <f t="shared" si="10"/>
        <v>259.7233626847912</v>
      </c>
      <c r="AB26" s="13">
        <f t="shared" si="11"/>
        <v>43.03</v>
      </c>
      <c r="AC26" s="13">
        <f t="shared" si="12"/>
        <v>216.6933626847912</v>
      </c>
      <c r="AD26" s="14">
        <f t="shared" si="13"/>
        <v>0.83432372215116191</v>
      </c>
      <c r="AE26" s="14">
        <f t="shared" si="14"/>
        <v>5.0358671318798791</v>
      </c>
      <c r="AF26" s="13" t="str">
        <f>IF(AD26&gt;=Assumptions!$B$3,"OK","Review")</f>
        <v>OK</v>
      </c>
      <c r="AG26" s="13">
        <f>IFERROR(IF(Assumptions!$B$13="Cost Price",AB26,AA26)*SUMIF(Assumptions!$A$6:$A$10,X26,Assumptions!$B$6:$B$10),0)</f>
        <v>20.777869014783295</v>
      </c>
      <c r="AH26" s="13">
        <f>IFERROR(IF(Assumptions!$B$13="Cost Price",AB26,AA26)*SUMIF(Assumptions!$A$6:$A$10,X26,Assumptions!$C$6:$C$10),0)</f>
        <v>12.986168134239561</v>
      </c>
      <c r="AI26" s="13">
        <f>IFERROR(IF(Assumptions!$B$13="Cost Price",AB26,AA26)*SUMIF(Assumptions!$A$6:$A$10,X26,Assumptions!$D$6:$D$10),0)</f>
        <v>25.972336268479122</v>
      </c>
      <c r="AJ26" s="13">
        <v>40.549407240384824</v>
      </c>
      <c r="AK26" s="13">
        <f t="shared" si="15"/>
        <v>100.2857806578868</v>
      </c>
      <c r="AL26" s="14">
        <v>0.33</v>
      </c>
      <c r="AM26" s="13">
        <f t="shared" si="16"/>
        <v>116.40758202690439</v>
      </c>
      <c r="AN26" s="14">
        <f t="shared" si="17"/>
        <v>0.44819834774810174</v>
      </c>
      <c r="AO26" t="str">
        <f>IF(AN26&gt;=Assumptions!$B$3,"OK","Review")</f>
        <v>OK</v>
      </c>
    </row>
    <row r="27" spans="1:41" ht="15" customHeight="1">
      <c r="A27" s="9" t="s">
        <v>70</v>
      </c>
      <c r="B27" s="9" t="s">
        <v>37</v>
      </c>
      <c r="C27" s="9" t="s">
        <v>71</v>
      </c>
      <c r="D27" s="9" t="s">
        <v>109</v>
      </c>
      <c r="E27" s="9" t="s">
        <v>73</v>
      </c>
      <c r="F27" s="9" t="s">
        <v>74</v>
      </c>
      <c r="G27" s="9" t="s">
        <v>24</v>
      </c>
      <c r="H27" s="9" t="s">
        <v>75</v>
      </c>
      <c r="I27" s="9">
        <v>4000011855</v>
      </c>
      <c r="J27" s="10">
        <v>20.67</v>
      </c>
      <c r="K27" s="10"/>
      <c r="L27" s="10">
        <f t="shared" si="0"/>
        <v>20.67</v>
      </c>
      <c r="M27" s="11">
        <v>0</v>
      </c>
      <c r="N27" s="10">
        <f t="shared" si="1"/>
        <v>0</v>
      </c>
      <c r="O27" s="10">
        <f t="shared" si="2"/>
        <v>20.67</v>
      </c>
      <c r="P27" s="11">
        <f t="shared" si="3"/>
        <v>4.1687675211261932E-2</v>
      </c>
      <c r="Q27" s="10">
        <f t="shared" si="4"/>
        <v>495.82999999999993</v>
      </c>
      <c r="R27" s="10">
        <f t="shared" si="5"/>
        <v>2992.7639999999997</v>
      </c>
      <c r="S27" s="10">
        <f t="shared" si="6"/>
        <v>124.7613736159571</v>
      </c>
      <c r="T27" s="9" t="s">
        <v>76</v>
      </c>
      <c r="U27" s="10">
        <v>5599</v>
      </c>
      <c r="V27" s="10">
        <f t="shared" si="7"/>
        <v>3919.2999999999997</v>
      </c>
      <c r="W27" s="166">
        <v>490110</v>
      </c>
      <c r="X27" s="12" t="s">
        <v>25</v>
      </c>
      <c r="Y27" s="12">
        <f t="shared" si="8"/>
        <v>124.7613736159571</v>
      </c>
      <c r="Z27" s="13">
        <f t="shared" si="9"/>
        <v>124.7613736159571</v>
      </c>
      <c r="AA27" s="13">
        <f t="shared" si="10"/>
        <v>124.7613736159571</v>
      </c>
      <c r="AB27" s="13">
        <f t="shared" si="11"/>
        <v>20.67</v>
      </c>
      <c r="AC27" s="13">
        <f t="shared" si="12"/>
        <v>104.0913736159571</v>
      </c>
      <c r="AD27" s="14">
        <f t="shared" si="13"/>
        <v>0.83432372215116191</v>
      </c>
      <c r="AE27" s="14">
        <f t="shared" si="14"/>
        <v>5.0358671318798782</v>
      </c>
      <c r="AF27" s="13" t="str">
        <f>IF(AD27&gt;=Assumptions!$B$3,"OK","Review")</f>
        <v>OK</v>
      </c>
      <c r="AG27" s="13">
        <f>IFERROR(IF(Assumptions!$B$13="Cost Price",AB27,AA27)*SUMIF(Assumptions!$A$6:$A$10,X27,Assumptions!$B$6:$B$10),0)</f>
        <v>9.9809098892765675</v>
      </c>
      <c r="AH27" s="13">
        <f>IFERROR(IF(Assumptions!$B$13="Cost Price",AB27,AA27)*SUMIF(Assumptions!$A$6:$A$10,X27,Assumptions!$C$6:$C$10),0)</f>
        <v>6.2380686807978556</v>
      </c>
      <c r="AI27" s="13">
        <f>IFERROR(IF(Assumptions!$B$13="Cost Price",AB27,AA27)*SUMIF(Assumptions!$A$6:$A$10,X27,Assumptions!$D$6:$D$10),0)</f>
        <v>12.476137361595711</v>
      </c>
      <c r="AJ27" s="13">
        <v>19.47841616683138</v>
      </c>
      <c r="AK27" s="13">
        <f t="shared" si="15"/>
        <v>48.173532098501511</v>
      </c>
      <c r="AL27" s="14">
        <v>0.33</v>
      </c>
      <c r="AM27" s="13">
        <f t="shared" si="16"/>
        <v>55.917841517455585</v>
      </c>
      <c r="AN27" s="14">
        <f t="shared" si="17"/>
        <v>0.44819834774810174</v>
      </c>
      <c r="AO27" t="str">
        <f>IF(AN27&gt;=Assumptions!$B$3,"OK","Review")</f>
        <v>OK</v>
      </c>
    </row>
    <row r="28" spans="1:41" ht="15" customHeight="1">
      <c r="A28" s="9" t="s">
        <v>70</v>
      </c>
      <c r="B28" s="9" t="s">
        <v>37</v>
      </c>
      <c r="C28" s="9" t="s">
        <v>78</v>
      </c>
      <c r="D28" s="9" t="s">
        <v>110</v>
      </c>
      <c r="E28" s="9" t="s">
        <v>73</v>
      </c>
      <c r="F28" s="9" t="s">
        <v>74</v>
      </c>
      <c r="G28" s="9" t="s">
        <v>24</v>
      </c>
      <c r="H28" s="9" t="s">
        <v>75</v>
      </c>
      <c r="I28" s="9">
        <v>4000011857</v>
      </c>
      <c r="J28" s="10">
        <v>28.34</v>
      </c>
      <c r="K28" s="10"/>
      <c r="L28" s="10">
        <f t="shared" si="0"/>
        <v>28.34</v>
      </c>
      <c r="M28" s="11">
        <v>0</v>
      </c>
      <c r="N28" s="10">
        <f t="shared" si="1"/>
        <v>0</v>
      </c>
      <c r="O28" s="10">
        <f t="shared" si="2"/>
        <v>28.34</v>
      </c>
      <c r="P28" s="11">
        <f t="shared" si="3"/>
        <v>5.7156686767642143E-2</v>
      </c>
      <c r="Q28" s="10">
        <f t="shared" si="4"/>
        <v>495.82999999999993</v>
      </c>
      <c r="R28" s="10">
        <f t="shared" si="5"/>
        <v>2992.7639999999997</v>
      </c>
      <c r="S28" s="10">
        <f t="shared" si="6"/>
        <v>171.05647451747575</v>
      </c>
      <c r="T28" s="9" t="s">
        <v>76</v>
      </c>
      <c r="U28" s="10">
        <v>5599</v>
      </c>
      <c r="V28" s="10">
        <f t="shared" si="7"/>
        <v>3919.2999999999997</v>
      </c>
      <c r="W28" s="166">
        <v>490110</v>
      </c>
      <c r="X28" s="12" t="s">
        <v>25</v>
      </c>
      <c r="Y28" s="12">
        <f t="shared" si="8"/>
        <v>171.05647451747575</v>
      </c>
      <c r="Z28" s="13">
        <f t="shared" si="9"/>
        <v>171.05647451747575</v>
      </c>
      <c r="AA28" s="13">
        <f t="shared" si="10"/>
        <v>171.05647451747575</v>
      </c>
      <c r="AB28" s="13">
        <f t="shared" si="11"/>
        <v>28.34</v>
      </c>
      <c r="AC28" s="13">
        <f t="shared" si="12"/>
        <v>142.71647451747575</v>
      </c>
      <c r="AD28" s="14">
        <f t="shared" si="13"/>
        <v>0.83432372215116191</v>
      </c>
      <c r="AE28" s="14">
        <f t="shared" si="14"/>
        <v>5.0358671318798782</v>
      </c>
      <c r="AF28" s="13" t="str">
        <f>IF(AD28&gt;=Assumptions!$B$3,"OK","Review")</f>
        <v>OK</v>
      </c>
      <c r="AG28" s="13">
        <f>IFERROR(IF(Assumptions!$B$13="Cost Price",AB28,AA28)*SUMIF(Assumptions!$A$6:$A$10,X28,Assumptions!$B$6:$B$10),0)</f>
        <v>13.684517961398059</v>
      </c>
      <c r="AH28" s="13">
        <f>IFERROR(IF(Assumptions!$B$13="Cost Price",AB28,AA28)*SUMIF(Assumptions!$A$6:$A$10,X28,Assumptions!$C$6:$C$10),0)</f>
        <v>8.5528237258737878</v>
      </c>
      <c r="AI28" s="13">
        <f>IFERROR(IF(Assumptions!$B$13="Cost Price",AB28,AA28)*SUMIF(Assumptions!$A$6:$A$10,X28,Assumptions!$D$6:$D$10),0)</f>
        <v>17.105647451747576</v>
      </c>
      <c r="AJ28" s="13">
        <v>26.706256128108432</v>
      </c>
      <c r="AK28" s="13">
        <f t="shared" si="15"/>
        <v>66.049245267127858</v>
      </c>
      <c r="AL28" s="14">
        <v>0.33</v>
      </c>
      <c r="AM28" s="13">
        <f t="shared" si="16"/>
        <v>76.667229250347887</v>
      </c>
      <c r="AN28" s="14">
        <f t="shared" si="17"/>
        <v>0.44819834774810169</v>
      </c>
      <c r="AO28" t="str">
        <f>IF(AN28&gt;=Assumptions!$B$3,"OK","Review")</f>
        <v>OK</v>
      </c>
    </row>
    <row r="29" spans="1:41" ht="15" customHeight="1">
      <c r="A29" s="9" t="s">
        <v>70</v>
      </c>
      <c r="B29" s="9" t="s">
        <v>37</v>
      </c>
      <c r="C29" s="9" t="s">
        <v>78</v>
      </c>
      <c r="D29" s="9" t="s">
        <v>111</v>
      </c>
      <c r="E29" s="9" t="s">
        <v>73</v>
      </c>
      <c r="F29" s="9" t="s">
        <v>81</v>
      </c>
      <c r="G29" s="9" t="s">
        <v>24</v>
      </c>
      <c r="H29" s="9" t="s">
        <v>75</v>
      </c>
      <c r="I29" s="9">
        <v>4000011856</v>
      </c>
      <c r="J29" s="10">
        <v>65.83</v>
      </c>
      <c r="K29" s="10"/>
      <c r="L29" s="10">
        <f t="shared" si="0"/>
        <v>65.83</v>
      </c>
      <c r="M29" s="11">
        <v>0</v>
      </c>
      <c r="N29" s="10">
        <f t="shared" si="1"/>
        <v>0</v>
      </c>
      <c r="O29" s="10">
        <f t="shared" si="2"/>
        <v>65.83</v>
      </c>
      <c r="P29" s="11">
        <f t="shared" si="3"/>
        <v>0.13276727910775873</v>
      </c>
      <c r="Q29" s="10">
        <f t="shared" si="4"/>
        <v>495.82999999999993</v>
      </c>
      <c r="R29" s="10">
        <f t="shared" si="5"/>
        <v>2992.7639999999997</v>
      </c>
      <c r="S29" s="10">
        <f t="shared" si="6"/>
        <v>397.3411332916524</v>
      </c>
      <c r="T29" s="9" t="s">
        <v>76</v>
      </c>
      <c r="U29" s="10">
        <v>5599</v>
      </c>
      <c r="V29" s="10">
        <f t="shared" si="7"/>
        <v>3919.2999999999997</v>
      </c>
      <c r="W29" s="166">
        <v>490110</v>
      </c>
      <c r="X29" s="12" t="s">
        <v>25</v>
      </c>
      <c r="Y29" s="12">
        <f t="shared" si="8"/>
        <v>397.3411332916524</v>
      </c>
      <c r="Z29" s="13">
        <f t="shared" si="9"/>
        <v>397.3411332916524</v>
      </c>
      <c r="AA29" s="13">
        <f t="shared" si="10"/>
        <v>397.3411332916524</v>
      </c>
      <c r="AB29" s="13">
        <f t="shared" si="11"/>
        <v>65.83</v>
      </c>
      <c r="AC29" s="13">
        <f t="shared" si="12"/>
        <v>331.51113329165241</v>
      </c>
      <c r="AD29" s="14">
        <f t="shared" si="13"/>
        <v>0.83432372215116202</v>
      </c>
      <c r="AE29" s="14">
        <f t="shared" si="14"/>
        <v>5.0358671318798791</v>
      </c>
      <c r="AF29" s="13" t="str">
        <f>IF(AD29&gt;=Assumptions!$B$3,"OK","Review")</f>
        <v>OK</v>
      </c>
      <c r="AG29" s="13">
        <f>IFERROR(IF(Assumptions!$B$13="Cost Price",AB29,AA29)*SUMIF(Assumptions!$A$6:$A$10,X29,Assumptions!$B$6:$B$10),0)</f>
        <v>31.787290663332193</v>
      </c>
      <c r="AH29" s="13">
        <f>IFERROR(IF(Assumptions!$B$13="Cost Price",AB29,AA29)*SUMIF(Assumptions!$A$6:$A$10,X29,Assumptions!$C$6:$C$10),0)</f>
        <v>19.86705666458262</v>
      </c>
      <c r="AI29" s="13">
        <f>IFERROR(IF(Assumptions!$B$13="Cost Price",AB29,AA29)*SUMIF(Assumptions!$A$6:$A$10,X29,Assumptions!$D$6:$D$10),0)</f>
        <v>39.73411332916524</v>
      </c>
      <c r="AJ29" s="13">
        <v>62.035033200895477</v>
      </c>
      <c r="AK29" s="13">
        <f t="shared" si="15"/>
        <v>153.42349385797553</v>
      </c>
      <c r="AL29" s="14">
        <v>0.33</v>
      </c>
      <c r="AM29" s="13">
        <f t="shared" si="16"/>
        <v>178.08763943367688</v>
      </c>
      <c r="AN29" s="14">
        <f t="shared" si="17"/>
        <v>0.4481983477481018</v>
      </c>
      <c r="AO29" t="str">
        <f>IF(AN29&gt;=Assumptions!$B$3,"OK","Review")</f>
        <v>OK</v>
      </c>
    </row>
    <row r="30" spans="1:41" ht="15" customHeight="1">
      <c r="A30" s="9" t="s">
        <v>70</v>
      </c>
      <c r="B30" s="9" t="s">
        <v>37</v>
      </c>
      <c r="C30" s="9" t="s">
        <v>78</v>
      </c>
      <c r="D30" s="9" t="s">
        <v>112</v>
      </c>
      <c r="E30" s="9" t="s">
        <v>73</v>
      </c>
      <c r="F30" s="9" t="s">
        <v>81</v>
      </c>
      <c r="G30" s="9" t="s">
        <v>24</v>
      </c>
      <c r="H30" s="9" t="s">
        <v>75</v>
      </c>
      <c r="I30" s="9">
        <v>4000011858</v>
      </c>
      <c r="J30" s="10">
        <v>16.29</v>
      </c>
      <c r="K30" s="10"/>
      <c r="L30" s="10">
        <f t="shared" si="0"/>
        <v>16.29</v>
      </c>
      <c r="M30" s="11">
        <v>0</v>
      </c>
      <c r="N30" s="10">
        <f t="shared" si="1"/>
        <v>0</v>
      </c>
      <c r="O30" s="10">
        <f t="shared" si="2"/>
        <v>16.29</v>
      </c>
      <c r="P30" s="11">
        <f t="shared" si="3"/>
        <v>3.2854002379847938E-2</v>
      </c>
      <c r="Q30" s="10">
        <f t="shared" si="4"/>
        <v>495.82999999999993</v>
      </c>
      <c r="R30" s="10">
        <f t="shared" si="5"/>
        <v>2992.7639999999997</v>
      </c>
      <c r="S30" s="10">
        <f t="shared" si="6"/>
        <v>98.324275578323224</v>
      </c>
      <c r="T30" s="9" t="s">
        <v>76</v>
      </c>
      <c r="U30" s="10">
        <v>5599</v>
      </c>
      <c r="V30" s="10">
        <f t="shared" si="7"/>
        <v>3919.2999999999997</v>
      </c>
      <c r="W30" s="166">
        <v>490110</v>
      </c>
      <c r="X30" s="12" t="s">
        <v>25</v>
      </c>
      <c r="Y30" s="12">
        <f t="shared" si="8"/>
        <v>98.324275578323224</v>
      </c>
      <c r="Z30" s="13">
        <f t="shared" si="9"/>
        <v>98.324275578323224</v>
      </c>
      <c r="AA30" s="13">
        <f t="shared" si="10"/>
        <v>98.324275578323224</v>
      </c>
      <c r="AB30" s="13">
        <f t="shared" si="11"/>
        <v>16.29</v>
      </c>
      <c r="AC30" s="13">
        <f t="shared" si="12"/>
        <v>82.034275578323218</v>
      </c>
      <c r="AD30" s="14">
        <f t="shared" si="13"/>
        <v>0.83432372215116191</v>
      </c>
      <c r="AE30" s="14">
        <f t="shared" si="14"/>
        <v>5.0358671318798782</v>
      </c>
      <c r="AF30" s="13" t="str">
        <f>IF(AD30&gt;=Assumptions!$B$3,"OK","Review")</f>
        <v>OK</v>
      </c>
      <c r="AG30" s="13">
        <f>IFERROR(IF(Assumptions!$B$13="Cost Price",AB30,AA30)*SUMIF(Assumptions!$A$6:$A$10,X30,Assumptions!$B$6:$B$10),0)</f>
        <v>7.8659420462658582</v>
      </c>
      <c r="AH30" s="13">
        <f>IFERROR(IF(Assumptions!$B$13="Cost Price",AB30,AA30)*SUMIF(Assumptions!$A$6:$A$10,X30,Assumptions!$C$6:$C$10),0)</f>
        <v>4.9162137789161617</v>
      </c>
      <c r="AI30" s="13">
        <f>IFERROR(IF(Assumptions!$B$13="Cost Price",AB30,AA30)*SUMIF(Assumptions!$A$6:$A$10,X30,Assumptions!$D$6:$D$10),0)</f>
        <v>9.8324275578323235</v>
      </c>
      <c r="AJ30" s="13">
        <v>15.350914337575382</v>
      </c>
      <c r="AK30" s="13">
        <f t="shared" si="15"/>
        <v>37.965497720589724</v>
      </c>
      <c r="AL30" s="14">
        <v>0.33</v>
      </c>
      <c r="AM30" s="13">
        <f t="shared" si="16"/>
        <v>44.068777857733494</v>
      </c>
      <c r="AN30" s="14">
        <f t="shared" si="17"/>
        <v>0.44819834774810169</v>
      </c>
      <c r="AO30" t="str">
        <f>IF(AN30&gt;=Assumptions!$B$3,"OK","Review")</f>
        <v>OK</v>
      </c>
    </row>
    <row r="31" spans="1:41" ht="15" customHeight="1">
      <c r="A31" s="9" t="s">
        <v>70</v>
      </c>
      <c r="B31" s="9" t="s">
        <v>37</v>
      </c>
      <c r="C31" s="9" t="s">
        <v>113</v>
      </c>
      <c r="D31" s="9" t="s">
        <v>114</v>
      </c>
      <c r="E31" s="9" t="s">
        <v>73</v>
      </c>
      <c r="F31" s="9" t="s">
        <v>81</v>
      </c>
      <c r="G31" s="9" t="s">
        <v>24</v>
      </c>
      <c r="H31" s="9" t="s">
        <v>75</v>
      </c>
      <c r="I31" s="9">
        <v>4000011859</v>
      </c>
      <c r="J31" s="10">
        <v>54.55</v>
      </c>
      <c r="K31" s="10"/>
      <c r="L31" s="10">
        <f t="shared" si="0"/>
        <v>54.55</v>
      </c>
      <c r="M31" s="11">
        <v>0</v>
      </c>
      <c r="N31" s="10">
        <f t="shared" si="1"/>
        <v>0</v>
      </c>
      <c r="O31" s="10">
        <f t="shared" si="2"/>
        <v>54.55</v>
      </c>
      <c r="P31" s="11">
        <f t="shared" si="3"/>
        <v>0.11001754633644598</v>
      </c>
      <c r="Q31" s="10">
        <f t="shared" si="4"/>
        <v>495.82999999999993</v>
      </c>
      <c r="R31" s="10">
        <f t="shared" si="5"/>
        <v>2992.7639999999997</v>
      </c>
      <c r="S31" s="10">
        <f t="shared" si="6"/>
        <v>329.2565520440474</v>
      </c>
      <c r="T31" s="9" t="s">
        <v>76</v>
      </c>
      <c r="U31" s="10">
        <v>5599</v>
      </c>
      <c r="V31" s="10">
        <f t="shared" si="7"/>
        <v>3919.2999999999997</v>
      </c>
      <c r="W31" s="166">
        <v>490110</v>
      </c>
      <c r="X31" s="12" t="s">
        <v>25</v>
      </c>
      <c r="Y31" s="12">
        <f t="shared" si="8"/>
        <v>329.2565520440474</v>
      </c>
      <c r="Z31" s="13">
        <f t="shared" si="9"/>
        <v>329.2565520440474</v>
      </c>
      <c r="AA31" s="13">
        <f t="shared" si="10"/>
        <v>329.2565520440474</v>
      </c>
      <c r="AB31" s="13">
        <f t="shared" si="11"/>
        <v>54.55</v>
      </c>
      <c r="AC31" s="13">
        <f t="shared" si="12"/>
        <v>274.70655204404738</v>
      </c>
      <c r="AD31" s="14">
        <f t="shared" si="13"/>
        <v>0.83432372215116191</v>
      </c>
      <c r="AE31" s="14">
        <f t="shared" si="14"/>
        <v>5.0358671318798791</v>
      </c>
      <c r="AF31" s="13" t="str">
        <f>IF(AD31&gt;=Assumptions!$B$3,"OK","Review")</f>
        <v>OK</v>
      </c>
      <c r="AG31" s="13">
        <f>IFERROR(IF(Assumptions!$B$13="Cost Price",AB31,AA31)*SUMIF(Assumptions!$A$6:$A$10,X31,Assumptions!$B$6:$B$10),0)</f>
        <v>26.340524163523792</v>
      </c>
      <c r="AH31" s="13">
        <f>IFERROR(IF(Assumptions!$B$13="Cost Price",AB31,AA31)*SUMIF(Assumptions!$A$6:$A$10,X31,Assumptions!$C$6:$C$10),0)</f>
        <v>16.462827602202371</v>
      </c>
      <c r="AI31" s="13">
        <f>IFERROR(IF(Assumptions!$B$13="Cost Price",AB31,AA31)*SUMIF(Assumptions!$A$6:$A$10,X31,Assumptions!$D$6:$D$10),0)</f>
        <v>32.925655204404741</v>
      </c>
      <c r="AJ31" s="13">
        <v>51.40530246253757</v>
      </c>
      <c r="AK31" s="13">
        <f t="shared" si="15"/>
        <v>127.13430943266849</v>
      </c>
      <c r="AL31" s="14">
        <v>0.33</v>
      </c>
      <c r="AM31" s="13">
        <f t="shared" si="16"/>
        <v>147.5722426113789</v>
      </c>
      <c r="AN31" s="14">
        <f t="shared" si="17"/>
        <v>0.44819834774810169</v>
      </c>
      <c r="AO31" t="str">
        <f>IF(AN31&gt;=Assumptions!$B$3,"OK","Review")</f>
        <v>OK</v>
      </c>
    </row>
    <row r="32" spans="1:41" ht="15" customHeight="1">
      <c r="A32" s="9" t="s">
        <v>70</v>
      </c>
      <c r="B32" s="9" t="s">
        <v>37</v>
      </c>
      <c r="C32" s="9" t="s">
        <v>105</v>
      </c>
      <c r="D32" s="9" t="s">
        <v>115</v>
      </c>
      <c r="E32" s="9" t="s">
        <v>73</v>
      </c>
      <c r="F32" s="9" t="s">
        <v>74</v>
      </c>
      <c r="G32" s="9" t="s">
        <v>24</v>
      </c>
      <c r="H32" s="9" t="s">
        <v>84</v>
      </c>
      <c r="I32" s="9">
        <v>4000011780</v>
      </c>
      <c r="J32" s="10">
        <v>32.14</v>
      </c>
      <c r="K32" s="10"/>
      <c r="L32" s="10">
        <f t="shared" si="0"/>
        <v>32.14</v>
      </c>
      <c r="M32" s="11">
        <v>0</v>
      </c>
      <c r="N32" s="10">
        <f t="shared" si="1"/>
        <v>0</v>
      </c>
      <c r="O32" s="10">
        <f t="shared" si="2"/>
        <v>32.14</v>
      </c>
      <c r="P32" s="11">
        <f t="shared" si="3"/>
        <v>6.4820603835992183E-2</v>
      </c>
      <c r="Q32" s="10">
        <f t="shared" si="4"/>
        <v>495.82999999999993</v>
      </c>
      <c r="R32" s="10">
        <f t="shared" si="5"/>
        <v>2992.7639999999997</v>
      </c>
      <c r="S32" s="10">
        <f t="shared" si="6"/>
        <v>193.99276961861929</v>
      </c>
      <c r="T32" s="9" t="s">
        <v>76</v>
      </c>
      <c r="U32" s="10">
        <v>5599</v>
      </c>
      <c r="V32" s="10">
        <f t="shared" si="7"/>
        <v>3919.2999999999997</v>
      </c>
      <c r="W32" s="166">
        <v>490110</v>
      </c>
      <c r="X32" s="12" t="s">
        <v>25</v>
      </c>
      <c r="Y32" s="12">
        <f t="shared" si="8"/>
        <v>193.99276961861929</v>
      </c>
      <c r="Z32" s="13">
        <f t="shared" si="9"/>
        <v>193.99276961861929</v>
      </c>
      <c r="AA32" s="13">
        <f t="shared" si="10"/>
        <v>193.99276961861929</v>
      </c>
      <c r="AB32" s="13">
        <f t="shared" si="11"/>
        <v>32.14</v>
      </c>
      <c r="AC32" s="13">
        <f t="shared" si="12"/>
        <v>161.85276961861928</v>
      </c>
      <c r="AD32" s="14">
        <f t="shared" si="13"/>
        <v>0.83432372215116191</v>
      </c>
      <c r="AE32" s="14">
        <f t="shared" si="14"/>
        <v>5.0358671318798782</v>
      </c>
      <c r="AF32" s="13" t="str">
        <f>IF(AD32&gt;=Assumptions!$B$3,"OK","Review")</f>
        <v>OK</v>
      </c>
      <c r="AG32" s="13">
        <f>IFERROR(IF(Assumptions!$B$13="Cost Price",AB32,AA32)*SUMIF(Assumptions!$A$6:$A$10,X32,Assumptions!$B$6:$B$10),0)</f>
        <v>15.519421569489543</v>
      </c>
      <c r="AH32" s="13">
        <f>IFERROR(IF(Assumptions!$B$13="Cost Price",AB32,AA32)*SUMIF(Assumptions!$A$6:$A$10,X32,Assumptions!$C$6:$C$10),0)</f>
        <v>9.6996384809309646</v>
      </c>
      <c r="AI32" s="13">
        <f>IFERROR(IF(Assumptions!$B$13="Cost Price",AB32,AA32)*SUMIF(Assumptions!$A$6:$A$10,X32,Assumptions!$D$6:$D$10),0)</f>
        <v>19.399276961861929</v>
      </c>
      <c r="AJ32" s="13">
        <v>30.287193788193537</v>
      </c>
      <c r="AK32" s="13">
        <f t="shared" si="15"/>
        <v>74.905530800475972</v>
      </c>
      <c r="AL32" s="14">
        <v>0.33</v>
      </c>
      <c r="AM32" s="13">
        <f t="shared" si="16"/>
        <v>86.947238818143305</v>
      </c>
      <c r="AN32" s="14">
        <f t="shared" si="17"/>
        <v>0.44819834774810169</v>
      </c>
      <c r="AO32" t="str">
        <f>IF(AN32&gt;=Assumptions!$B$3,"OK","Review")</f>
        <v>OK</v>
      </c>
    </row>
    <row r="33" spans="1:41" ht="15" customHeight="1">
      <c r="A33" s="9" t="s">
        <v>70</v>
      </c>
      <c r="B33" s="9" t="s">
        <v>37</v>
      </c>
      <c r="C33" s="9" t="s">
        <v>105</v>
      </c>
      <c r="D33" s="9" t="s">
        <v>116</v>
      </c>
      <c r="E33" s="9" t="s">
        <v>73</v>
      </c>
      <c r="F33" s="9" t="s">
        <v>74</v>
      </c>
      <c r="G33" s="9" t="s">
        <v>24</v>
      </c>
      <c r="H33" s="9" t="s">
        <v>84</v>
      </c>
      <c r="I33" s="9">
        <v>4000011781</v>
      </c>
      <c r="J33" s="10">
        <v>17.72</v>
      </c>
      <c r="K33" s="10"/>
      <c r="L33" s="10">
        <f t="shared" si="0"/>
        <v>17.72</v>
      </c>
      <c r="M33" s="11">
        <v>0</v>
      </c>
      <c r="N33" s="10">
        <f t="shared" si="1"/>
        <v>0</v>
      </c>
      <c r="O33" s="10">
        <f t="shared" si="2"/>
        <v>17.72</v>
      </c>
      <c r="P33" s="11">
        <f t="shared" si="3"/>
        <v>3.5738055381884924E-2</v>
      </c>
      <c r="Q33" s="10">
        <f t="shared" si="4"/>
        <v>495.82999999999993</v>
      </c>
      <c r="R33" s="10">
        <f t="shared" si="5"/>
        <v>2992.7639999999997</v>
      </c>
      <c r="S33" s="10">
        <f t="shared" si="6"/>
        <v>106.95556557691144</v>
      </c>
      <c r="T33" s="9" t="s">
        <v>76</v>
      </c>
      <c r="U33" s="10">
        <v>5599</v>
      </c>
      <c r="V33" s="10">
        <f t="shared" si="7"/>
        <v>3919.2999999999997</v>
      </c>
      <c r="W33" s="166">
        <v>490110</v>
      </c>
      <c r="X33" s="12" t="s">
        <v>25</v>
      </c>
      <c r="Y33" s="12">
        <f t="shared" si="8"/>
        <v>106.95556557691144</v>
      </c>
      <c r="Z33" s="13">
        <f t="shared" si="9"/>
        <v>106.95556557691144</v>
      </c>
      <c r="AA33" s="13">
        <f t="shared" si="10"/>
        <v>106.95556557691144</v>
      </c>
      <c r="AB33" s="13">
        <f t="shared" si="11"/>
        <v>17.72</v>
      </c>
      <c r="AC33" s="13">
        <f t="shared" si="12"/>
        <v>89.235565576911441</v>
      </c>
      <c r="AD33" s="14">
        <f t="shared" si="13"/>
        <v>0.83432372215116191</v>
      </c>
      <c r="AE33" s="14">
        <f t="shared" si="14"/>
        <v>5.0358671318798782</v>
      </c>
      <c r="AF33" s="13" t="str">
        <f>IF(AD33&gt;=Assumptions!$B$3,"OK","Review")</f>
        <v>OK</v>
      </c>
      <c r="AG33" s="13">
        <f>IFERROR(IF(Assumptions!$B$13="Cost Price",AB33,AA33)*SUMIF(Assumptions!$A$6:$A$10,X33,Assumptions!$B$6:$B$10),0)</f>
        <v>8.556445246152915</v>
      </c>
      <c r="AH33" s="13">
        <f>IFERROR(IF(Assumptions!$B$13="Cost Price",AB33,AA33)*SUMIF(Assumptions!$A$6:$A$10,X33,Assumptions!$C$6:$C$10),0)</f>
        <v>5.3477782788455723</v>
      </c>
      <c r="AI33" s="13">
        <f>IFERROR(IF(Assumptions!$B$13="Cost Price",AB33,AA33)*SUMIF(Assumptions!$A$6:$A$10,X33,Assumptions!$D$6:$D$10),0)</f>
        <v>10.695556557691145</v>
      </c>
      <c r="AJ33" s="13">
        <v>16.698477720186357</v>
      </c>
      <c r="AK33" s="13">
        <f t="shared" si="15"/>
        <v>41.298257802875995</v>
      </c>
      <c r="AL33" s="14">
        <v>0.33</v>
      </c>
      <c r="AM33" s="13">
        <f t="shared" si="16"/>
        <v>47.937307774035446</v>
      </c>
      <c r="AN33" s="14">
        <f t="shared" si="17"/>
        <v>0.44819834774810169</v>
      </c>
      <c r="AO33" t="str">
        <f>IF(AN33&gt;=Assumptions!$B$3,"OK","Review")</f>
        <v>OK</v>
      </c>
    </row>
    <row r="34" spans="1:41" ht="15" customHeight="1">
      <c r="A34" s="9" t="s">
        <v>70</v>
      </c>
      <c r="B34" s="9" t="s">
        <v>37</v>
      </c>
      <c r="C34" s="9" t="s">
        <v>71</v>
      </c>
      <c r="D34" s="9" t="s">
        <v>117</v>
      </c>
      <c r="E34" s="9" t="s">
        <v>73</v>
      </c>
      <c r="F34" s="9" t="s">
        <v>74</v>
      </c>
      <c r="G34" s="9" t="s">
        <v>24</v>
      </c>
      <c r="H34" s="9" t="s">
        <v>84</v>
      </c>
      <c r="I34" s="9">
        <v>4000011782</v>
      </c>
      <c r="J34" s="10">
        <v>43.03</v>
      </c>
      <c r="K34" s="10"/>
      <c r="L34" s="10">
        <f t="shared" si="0"/>
        <v>43.03</v>
      </c>
      <c r="M34" s="11">
        <v>0</v>
      </c>
      <c r="N34" s="10">
        <f t="shared" si="1"/>
        <v>0</v>
      </c>
      <c r="O34" s="10">
        <f t="shared" si="2"/>
        <v>43.03</v>
      </c>
      <c r="P34" s="11">
        <f t="shared" si="3"/>
        <v>8.6783776697658493E-2</v>
      </c>
      <c r="Q34" s="10">
        <f t="shared" si="4"/>
        <v>495.82999999999993</v>
      </c>
      <c r="R34" s="10">
        <f t="shared" si="5"/>
        <v>2992.7639999999997</v>
      </c>
      <c r="S34" s="10">
        <f t="shared" si="6"/>
        <v>259.7233626847912</v>
      </c>
      <c r="T34" s="9" t="s">
        <v>76</v>
      </c>
      <c r="U34" s="10">
        <v>5599</v>
      </c>
      <c r="V34" s="10">
        <f t="shared" si="7"/>
        <v>3919.2999999999997</v>
      </c>
      <c r="W34" s="166">
        <v>490110</v>
      </c>
      <c r="X34" s="12" t="s">
        <v>25</v>
      </c>
      <c r="Y34" s="12">
        <f t="shared" si="8"/>
        <v>259.7233626847912</v>
      </c>
      <c r="Z34" s="13">
        <f t="shared" si="9"/>
        <v>259.7233626847912</v>
      </c>
      <c r="AA34" s="13">
        <f t="shared" si="10"/>
        <v>259.7233626847912</v>
      </c>
      <c r="AB34" s="13">
        <f t="shared" si="11"/>
        <v>43.03</v>
      </c>
      <c r="AC34" s="13">
        <f t="shared" si="12"/>
        <v>216.6933626847912</v>
      </c>
      <c r="AD34" s="14">
        <f t="shared" si="13"/>
        <v>0.83432372215116191</v>
      </c>
      <c r="AE34" s="14">
        <f t="shared" si="14"/>
        <v>5.0358671318798791</v>
      </c>
      <c r="AF34" s="13" t="str">
        <f>IF(AD34&gt;=Assumptions!$B$3,"OK","Review")</f>
        <v>OK</v>
      </c>
      <c r="AG34" s="13">
        <f>IFERROR(IF(Assumptions!$B$13="Cost Price",AB34,AA34)*SUMIF(Assumptions!$A$6:$A$10,X34,Assumptions!$B$6:$B$10),0)</f>
        <v>20.777869014783295</v>
      </c>
      <c r="AH34" s="13">
        <f>IFERROR(IF(Assumptions!$B$13="Cost Price",AB34,AA34)*SUMIF(Assumptions!$A$6:$A$10,X34,Assumptions!$C$6:$C$10),0)</f>
        <v>12.986168134239561</v>
      </c>
      <c r="AI34" s="13">
        <f>IFERROR(IF(Assumptions!$B$13="Cost Price",AB34,AA34)*SUMIF(Assumptions!$A$6:$A$10,X34,Assumptions!$D$6:$D$10),0)</f>
        <v>25.972336268479122</v>
      </c>
      <c r="AJ34" s="13">
        <v>40.549407240384824</v>
      </c>
      <c r="AK34" s="13">
        <f t="shared" si="15"/>
        <v>100.2857806578868</v>
      </c>
      <c r="AL34" s="14">
        <v>0.33</v>
      </c>
      <c r="AM34" s="13">
        <f t="shared" si="16"/>
        <v>116.40758202690439</v>
      </c>
      <c r="AN34" s="14">
        <f t="shared" si="17"/>
        <v>0.44819834774810174</v>
      </c>
      <c r="AO34" t="str">
        <f>IF(AN34&gt;=Assumptions!$B$3,"OK","Review")</f>
        <v>OK</v>
      </c>
    </row>
    <row r="35" spans="1:41" ht="15" customHeight="1">
      <c r="A35" s="9" t="s">
        <v>70</v>
      </c>
      <c r="B35" s="9" t="s">
        <v>37</v>
      </c>
      <c r="C35" s="9" t="s">
        <v>71</v>
      </c>
      <c r="D35" s="9" t="s">
        <v>118</v>
      </c>
      <c r="E35" s="9" t="s">
        <v>73</v>
      </c>
      <c r="F35" s="9" t="s">
        <v>74</v>
      </c>
      <c r="G35" s="9" t="s">
        <v>24</v>
      </c>
      <c r="H35" s="9" t="s">
        <v>84</v>
      </c>
      <c r="I35" s="9">
        <v>4000011784</v>
      </c>
      <c r="J35" s="10">
        <v>19.22</v>
      </c>
      <c r="K35" s="10"/>
      <c r="L35" s="10">
        <f t="shared" si="0"/>
        <v>19.22</v>
      </c>
      <c r="M35" s="11">
        <v>0</v>
      </c>
      <c r="N35" s="10">
        <f t="shared" si="1"/>
        <v>0</v>
      </c>
      <c r="O35" s="10">
        <f t="shared" si="2"/>
        <v>19.22</v>
      </c>
      <c r="P35" s="11">
        <f t="shared" si="3"/>
        <v>3.8763285803602048E-2</v>
      </c>
      <c r="Q35" s="10">
        <f t="shared" si="4"/>
        <v>495.82999999999993</v>
      </c>
      <c r="R35" s="10">
        <f t="shared" si="5"/>
        <v>2992.7639999999997</v>
      </c>
      <c r="S35" s="10">
        <f t="shared" si="6"/>
        <v>116.00936627473126</v>
      </c>
      <c r="T35" s="9" t="s">
        <v>76</v>
      </c>
      <c r="U35" s="10">
        <v>5599</v>
      </c>
      <c r="V35" s="10">
        <f t="shared" si="7"/>
        <v>3919.2999999999997</v>
      </c>
      <c r="W35" s="166">
        <v>490110</v>
      </c>
      <c r="X35" s="12" t="s">
        <v>25</v>
      </c>
      <c r="Y35" s="12">
        <f t="shared" si="8"/>
        <v>116.00936627473126</v>
      </c>
      <c r="Z35" s="13">
        <f t="shared" si="9"/>
        <v>116.00936627473126</v>
      </c>
      <c r="AA35" s="13">
        <f t="shared" si="10"/>
        <v>116.00936627473126</v>
      </c>
      <c r="AB35" s="13">
        <f t="shared" si="11"/>
        <v>19.22</v>
      </c>
      <c r="AC35" s="13">
        <f t="shared" si="12"/>
        <v>96.789366274731265</v>
      </c>
      <c r="AD35" s="14">
        <f t="shared" si="13"/>
        <v>0.83432372215116191</v>
      </c>
      <c r="AE35" s="14">
        <f t="shared" si="14"/>
        <v>5.0358671318798791</v>
      </c>
      <c r="AF35" s="13" t="str">
        <f>IF(AD35&gt;=Assumptions!$B$3,"OK","Review")</f>
        <v>OK</v>
      </c>
      <c r="AG35" s="13">
        <f>IFERROR(IF(Assumptions!$B$13="Cost Price",AB35,AA35)*SUMIF(Assumptions!$A$6:$A$10,X35,Assumptions!$B$6:$B$10),0)</f>
        <v>9.280749301978501</v>
      </c>
      <c r="AH35" s="13">
        <f>IFERROR(IF(Assumptions!$B$13="Cost Price",AB35,AA35)*SUMIF(Assumptions!$A$6:$A$10,X35,Assumptions!$C$6:$C$10),0)</f>
        <v>5.8004683137365634</v>
      </c>
      <c r="AI35" s="13">
        <f>IFERROR(IF(Assumptions!$B$13="Cost Price",AB35,AA35)*SUMIF(Assumptions!$A$6:$A$10,X35,Assumptions!$D$6:$D$10),0)</f>
        <v>11.600936627473127</v>
      </c>
      <c r="AJ35" s="13">
        <v>18.112005743904163</v>
      </c>
      <c r="AK35" s="13">
        <f t="shared" si="15"/>
        <v>44.794159987092357</v>
      </c>
      <c r="AL35" s="14">
        <v>0.33</v>
      </c>
      <c r="AM35" s="13">
        <f t="shared" si="16"/>
        <v>51.995206287638908</v>
      </c>
      <c r="AN35" s="14">
        <f t="shared" si="17"/>
        <v>0.44819834774810174</v>
      </c>
      <c r="AO35" t="str">
        <f>IF(AN35&gt;=Assumptions!$B$3,"OK","Review")</f>
        <v>OK</v>
      </c>
    </row>
    <row r="36" spans="1:41" ht="15" customHeight="1">
      <c r="A36" s="9" t="s">
        <v>70</v>
      </c>
      <c r="B36" s="9" t="s">
        <v>37</v>
      </c>
      <c r="C36" s="9" t="s">
        <v>78</v>
      </c>
      <c r="D36" s="9" t="s">
        <v>119</v>
      </c>
      <c r="E36" s="9" t="s">
        <v>73</v>
      </c>
      <c r="F36" s="9" t="s">
        <v>81</v>
      </c>
      <c r="G36" s="9" t="s">
        <v>24</v>
      </c>
      <c r="H36" s="9" t="s">
        <v>84</v>
      </c>
      <c r="I36" s="9">
        <v>4000011785</v>
      </c>
      <c r="J36" s="10">
        <v>53.56</v>
      </c>
      <c r="K36" s="10"/>
      <c r="L36" s="10">
        <f t="shared" si="0"/>
        <v>53.56</v>
      </c>
      <c r="M36" s="11">
        <v>0</v>
      </c>
      <c r="N36" s="10">
        <f t="shared" si="1"/>
        <v>0</v>
      </c>
      <c r="O36" s="10">
        <f t="shared" si="2"/>
        <v>53.56</v>
      </c>
      <c r="P36" s="11">
        <f t="shared" si="3"/>
        <v>0.10802089425811268</v>
      </c>
      <c r="Q36" s="10">
        <f t="shared" si="4"/>
        <v>495.82999999999993</v>
      </c>
      <c r="R36" s="10">
        <f t="shared" si="5"/>
        <v>2992.7639999999997</v>
      </c>
      <c r="S36" s="10">
        <f t="shared" si="6"/>
        <v>323.28104358348628</v>
      </c>
      <c r="T36" s="9" t="s">
        <v>76</v>
      </c>
      <c r="U36" s="10">
        <v>5599</v>
      </c>
      <c r="V36" s="10">
        <f t="shared" si="7"/>
        <v>3919.2999999999997</v>
      </c>
      <c r="W36" s="166">
        <v>490110</v>
      </c>
      <c r="X36" s="12" t="s">
        <v>25</v>
      </c>
      <c r="Y36" s="12">
        <f t="shared" si="8"/>
        <v>323.28104358348628</v>
      </c>
      <c r="Z36" s="13">
        <f t="shared" si="9"/>
        <v>323.28104358348628</v>
      </c>
      <c r="AA36" s="13">
        <f t="shared" si="10"/>
        <v>323.28104358348628</v>
      </c>
      <c r="AB36" s="13">
        <f t="shared" si="11"/>
        <v>53.56</v>
      </c>
      <c r="AC36" s="13">
        <f t="shared" si="12"/>
        <v>269.72104358348628</v>
      </c>
      <c r="AD36" s="14">
        <f t="shared" si="13"/>
        <v>0.83432372215116191</v>
      </c>
      <c r="AE36" s="14">
        <f t="shared" si="14"/>
        <v>5.0358671318798782</v>
      </c>
      <c r="AF36" s="13" t="str">
        <f>IF(AD36&gt;=Assumptions!$B$3,"OK","Review")</f>
        <v>OK</v>
      </c>
      <c r="AG36" s="13">
        <f>IFERROR(IF(Assumptions!$B$13="Cost Price",AB36,AA36)*SUMIF(Assumptions!$A$6:$A$10,X36,Assumptions!$B$6:$B$10),0)</f>
        <v>25.862483486678904</v>
      </c>
      <c r="AH36" s="13">
        <f>IFERROR(IF(Assumptions!$B$13="Cost Price",AB36,AA36)*SUMIF(Assumptions!$A$6:$A$10,X36,Assumptions!$C$6:$C$10),0)</f>
        <v>16.164052179174316</v>
      </c>
      <c r="AI36" s="13">
        <f>IFERROR(IF(Assumptions!$B$13="Cost Price",AB36,AA36)*SUMIF(Assumptions!$A$6:$A$10,X36,Assumptions!$D$6:$D$10),0)</f>
        <v>32.328104358348632</v>
      </c>
      <c r="AJ36" s="13">
        <v>50.472373966883822</v>
      </c>
      <c r="AK36" s="13">
        <f t="shared" si="15"/>
        <v>124.82701399108566</v>
      </c>
      <c r="AL36" s="14">
        <v>0.33</v>
      </c>
      <c r="AM36" s="13">
        <f t="shared" si="16"/>
        <v>144.89402959240061</v>
      </c>
      <c r="AN36" s="14">
        <f t="shared" si="17"/>
        <v>0.44819834774810174</v>
      </c>
      <c r="AO36" t="str">
        <f>IF(AN36&gt;=Assumptions!$B$3,"OK","Review")</f>
        <v>OK</v>
      </c>
    </row>
    <row r="37" spans="1:41" ht="15" customHeight="1">
      <c r="A37" s="9" t="s">
        <v>70</v>
      </c>
      <c r="B37" s="9" t="s">
        <v>37</v>
      </c>
      <c r="C37" s="9" t="s">
        <v>78</v>
      </c>
      <c r="D37" s="9" t="s">
        <v>120</v>
      </c>
      <c r="E37" s="9" t="s">
        <v>73</v>
      </c>
      <c r="F37" s="9" t="s">
        <v>81</v>
      </c>
      <c r="G37" s="9" t="s">
        <v>24</v>
      </c>
      <c r="H37" s="9" t="s">
        <v>84</v>
      </c>
      <c r="I37" s="9">
        <v>4000011786</v>
      </c>
      <c r="J37" s="10">
        <v>17.5</v>
      </c>
      <c r="K37" s="10"/>
      <c r="L37" s="10">
        <f t="shared" si="0"/>
        <v>17.5</v>
      </c>
      <c r="M37" s="11">
        <v>0</v>
      </c>
      <c r="N37" s="10">
        <f t="shared" si="1"/>
        <v>0</v>
      </c>
      <c r="O37" s="10">
        <f t="shared" si="2"/>
        <v>17.5</v>
      </c>
      <c r="P37" s="11">
        <f t="shared" si="3"/>
        <v>3.5294354920033084E-2</v>
      </c>
      <c r="Q37" s="10">
        <f t="shared" si="4"/>
        <v>495.82999999999993</v>
      </c>
      <c r="R37" s="10">
        <f t="shared" si="5"/>
        <v>2992.7639999999997</v>
      </c>
      <c r="S37" s="10">
        <f t="shared" si="6"/>
        <v>105.62767480789788</v>
      </c>
      <c r="T37" s="9" t="s">
        <v>76</v>
      </c>
      <c r="U37" s="10">
        <v>5599</v>
      </c>
      <c r="V37" s="10">
        <f t="shared" si="7"/>
        <v>3919.2999999999997</v>
      </c>
      <c r="W37" s="166">
        <v>490110</v>
      </c>
      <c r="X37" s="12" t="s">
        <v>25</v>
      </c>
      <c r="Y37" s="12">
        <f t="shared" si="8"/>
        <v>105.62767480789788</v>
      </c>
      <c r="Z37" s="13">
        <f t="shared" si="9"/>
        <v>105.62767480789788</v>
      </c>
      <c r="AA37" s="13">
        <f t="shared" si="10"/>
        <v>105.62767480789788</v>
      </c>
      <c r="AB37" s="13">
        <f t="shared" si="11"/>
        <v>17.5</v>
      </c>
      <c r="AC37" s="13">
        <f t="shared" si="12"/>
        <v>88.127674807897876</v>
      </c>
      <c r="AD37" s="14">
        <f t="shared" si="13"/>
        <v>0.83432372215116191</v>
      </c>
      <c r="AE37" s="14">
        <f t="shared" si="14"/>
        <v>5.0358671318798782</v>
      </c>
      <c r="AF37" s="13" t="str">
        <f>IF(AD37&gt;=Assumptions!$B$3,"OK","Review")</f>
        <v>OK</v>
      </c>
      <c r="AG37" s="13">
        <f>IFERROR(IF(Assumptions!$B$13="Cost Price",AB37,AA37)*SUMIF(Assumptions!$A$6:$A$10,X37,Assumptions!$B$6:$B$10),0)</f>
        <v>8.45021398463183</v>
      </c>
      <c r="AH37" s="13">
        <f>IFERROR(IF(Assumptions!$B$13="Cost Price",AB37,AA37)*SUMIF(Assumptions!$A$6:$A$10,X37,Assumptions!$C$6:$C$10),0)</f>
        <v>5.2813837403948938</v>
      </c>
      <c r="AI37" s="13">
        <f>IFERROR(IF(Assumptions!$B$13="Cost Price",AB37,AA37)*SUMIF(Assumptions!$A$6:$A$10,X37,Assumptions!$D$6:$D$10),0)</f>
        <v>10.562767480789788</v>
      </c>
      <c r="AJ37" s="13">
        <v>16.491160276707745</v>
      </c>
      <c r="AK37" s="13">
        <f t="shared" si="15"/>
        <v>40.785525482524257</v>
      </c>
      <c r="AL37" s="14">
        <v>0.33</v>
      </c>
      <c r="AM37" s="13">
        <f t="shared" si="16"/>
        <v>47.342149325373619</v>
      </c>
      <c r="AN37" s="14">
        <f t="shared" si="17"/>
        <v>0.44819834774810174</v>
      </c>
      <c r="AO37" t="str">
        <f>IF(AN37&gt;=Assumptions!$B$3,"OK","Review")</f>
        <v>OK</v>
      </c>
    </row>
    <row r="38" spans="1:41" ht="15" customHeight="1">
      <c r="A38" s="9" t="s">
        <v>70</v>
      </c>
      <c r="B38" s="9" t="s">
        <v>37</v>
      </c>
      <c r="C38" s="9" t="s">
        <v>113</v>
      </c>
      <c r="D38" s="9" t="s">
        <v>121</v>
      </c>
      <c r="E38" s="9" t="s">
        <v>73</v>
      </c>
      <c r="F38" s="9" t="s">
        <v>81</v>
      </c>
      <c r="G38" s="9" t="s">
        <v>24</v>
      </c>
      <c r="H38" s="9" t="s">
        <v>84</v>
      </c>
      <c r="I38" s="9">
        <v>4000011787</v>
      </c>
      <c r="J38" s="10">
        <v>37.659999999999997</v>
      </c>
      <c r="K38" s="10"/>
      <c r="L38" s="10">
        <f t="shared" si="0"/>
        <v>37.659999999999997</v>
      </c>
      <c r="M38" s="11">
        <v>0</v>
      </c>
      <c r="N38" s="10">
        <f t="shared" si="1"/>
        <v>0</v>
      </c>
      <c r="O38" s="10">
        <f t="shared" si="2"/>
        <v>37.659999999999997</v>
      </c>
      <c r="P38" s="11">
        <f t="shared" si="3"/>
        <v>7.5953451787911186E-2</v>
      </c>
      <c r="Q38" s="10">
        <f t="shared" si="4"/>
        <v>495.82999999999993</v>
      </c>
      <c r="R38" s="10">
        <f t="shared" si="5"/>
        <v>2992.7639999999997</v>
      </c>
      <c r="S38" s="10">
        <f t="shared" si="6"/>
        <v>227.31075618659619</v>
      </c>
      <c r="T38" s="9" t="s">
        <v>76</v>
      </c>
      <c r="U38" s="10">
        <v>5599</v>
      </c>
      <c r="V38" s="10">
        <f t="shared" si="7"/>
        <v>3919.2999999999997</v>
      </c>
      <c r="W38" s="166">
        <v>490110</v>
      </c>
      <c r="X38" s="12" t="s">
        <v>25</v>
      </c>
      <c r="Y38" s="12">
        <f t="shared" si="8"/>
        <v>227.31075618659619</v>
      </c>
      <c r="Z38" s="13">
        <f t="shared" si="9"/>
        <v>227.31075618659619</v>
      </c>
      <c r="AA38" s="13">
        <f t="shared" si="10"/>
        <v>227.31075618659619</v>
      </c>
      <c r="AB38" s="13">
        <f t="shared" si="11"/>
        <v>37.659999999999997</v>
      </c>
      <c r="AC38" s="13">
        <f t="shared" si="12"/>
        <v>189.6507561865962</v>
      </c>
      <c r="AD38" s="14">
        <f t="shared" si="13"/>
        <v>0.83432372215116191</v>
      </c>
      <c r="AE38" s="14">
        <f t="shared" si="14"/>
        <v>5.0358671318798782</v>
      </c>
      <c r="AF38" s="13" t="str">
        <f>IF(AD38&gt;=Assumptions!$B$3,"OK","Review")</f>
        <v>OK</v>
      </c>
      <c r="AG38" s="13">
        <f>IFERROR(IF(Assumptions!$B$13="Cost Price",AB38,AA38)*SUMIF(Assumptions!$A$6:$A$10,X38,Assumptions!$B$6:$B$10),0)</f>
        <v>18.184860494927698</v>
      </c>
      <c r="AH38" s="13">
        <f>IFERROR(IF(Assumptions!$B$13="Cost Price",AB38,AA38)*SUMIF(Assumptions!$A$6:$A$10,X38,Assumptions!$C$6:$C$10),0)</f>
        <v>11.36553780932981</v>
      </c>
      <c r="AI38" s="13">
        <f>IFERROR(IF(Assumptions!$B$13="Cost Price",AB38,AA38)*SUMIF(Assumptions!$A$6:$A$10,X38,Assumptions!$D$6:$D$10),0)</f>
        <v>22.73107561865962</v>
      </c>
      <c r="AJ38" s="13">
        <v>35.488976915475064</v>
      </c>
      <c r="AK38" s="13">
        <f t="shared" si="15"/>
        <v>87.770450838392193</v>
      </c>
      <c r="AL38" s="14">
        <v>0.33</v>
      </c>
      <c r="AM38" s="13">
        <f t="shared" si="16"/>
        <v>101.880305348204</v>
      </c>
      <c r="AN38" s="14">
        <f t="shared" si="17"/>
        <v>0.44819834774810169</v>
      </c>
      <c r="AO38" t="str">
        <f>IF(AN38&gt;=Assumptions!$B$3,"OK","Review")</f>
        <v>OK</v>
      </c>
    </row>
    <row r="39" spans="1:41" ht="15" customHeight="1">
      <c r="A39" s="9" t="s">
        <v>70</v>
      </c>
      <c r="B39" s="9" t="s">
        <v>37</v>
      </c>
      <c r="C39" s="9" t="s">
        <v>88</v>
      </c>
      <c r="D39" s="9" t="s">
        <v>122</v>
      </c>
      <c r="E39" s="9" t="s">
        <v>73</v>
      </c>
      <c r="F39" s="9" t="s">
        <v>90</v>
      </c>
      <c r="G39" s="9" t="s">
        <v>24</v>
      </c>
      <c r="H39" s="9" t="s">
        <v>75</v>
      </c>
      <c r="I39" s="9">
        <v>7000000217</v>
      </c>
      <c r="J39" s="10">
        <v>286.60000000000002</v>
      </c>
      <c r="K39" s="10">
        <v>10</v>
      </c>
      <c r="L39" s="10">
        <f t="shared" si="0"/>
        <v>296.60000000000002</v>
      </c>
      <c r="M39" s="11">
        <v>0.18</v>
      </c>
      <c r="N39" s="10">
        <f t="shared" si="1"/>
        <v>53.388000000000005</v>
      </c>
      <c r="O39" s="10">
        <f t="shared" si="2"/>
        <v>349.98800000000006</v>
      </c>
      <c r="P39" s="11">
        <f t="shared" si="3"/>
        <v>0.75547631176770258</v>
      </c>
      <c r="Q39" s="10">
        <f t="shared" si="4"/>
        <v>463.26800000000003</v>
      </c>
      <c r="R39" s="10">
        <f t="shared" si="5"/>
        <v>2992.7639999999997</v>
      </c>
      <c r="S39" s="10">
        <f t="shared" si="6"/>
        <v>349.98800000000006</v>
      </c>
      <c r="T39" s="9" t="s">
        <v>91</v>
      </c>
      <c r="U39" s="10">
        <v>5599</v>
      </c>
      <c r="V39" s="10">
        <f t="shared" si="7"/>
        <v>3919.2999999999997</v>
      </c>
      <c r="W39" s="166">
        <v>49119990</v>
      </c>
      <c r="X39" s="12" t="s">
        <v>25</v>
      </c>
      <c r="Y39" s="12">
        <f t="shared" si="8"/>
        <v>349.98800000000006</v>
      </c>
      <c r="Z39" s="13">
        <f t="shared" si="9"/>
        <v>349.98800000000006</v>
      </c>
      <c r="AA39" s="13">
        <f t="shared" si="10"/>
        <v>296.60000000000008</v>
      </c>
      <c r="AB39" s="13">
        <f t="shared" si="11"/>
        <v>286.60000000000002</v>
      </c>
      <c r="AC39" s="13">
        <f t="shared" si="12"/>
        <v>10.000000000000057</v>
      </c>
      <c r="AD39" s="14">
        <f t="shared" si="13"/>
        <v>3.3715441672286087E-2</v>
      </c>
      <c r="AE39" s="14">
        <f t="shared" si="14"/>
        <v>3.4891835310537529E-2</v>
      </c>
      <c r="AF39" s="13" t="str">
        <f>IF(AD39&gt;=Assumptions!$B$3,"OK","Review")</f>
        <v>Review</v>
      </c>
      <c r="AG39" s="13">
        <f>IFERROR(IF(Assumptions!$B$13="Cost Price",AB39,AA39)*SUMIF(Assumptions!$A$6:$A$10,X39,Assumptions!$B$6:$B$10),0)</f>
        <v>23.728000000000005</v>
      </c>
      <c r="AH39" s="13">
        <f>IFERROR(IF(Assumptions!$B$13="Cost Price",AB39,AA39)*SUMIF(Assumptions!$A$6:$A$10,X39,Assumptions!$C$6:$C$10),0)</f>
        <v>14.830000000000005</v>
      </c>
      <c r="AI39" s="13">
        <f>IFERROR(IF(Assumptions!$B$13="Cost Price",AB39,AA39)*SUMIF(Assumptions!$A$6:$A$10,X39,Assumptions!$D$6:$D$10),0)</f>
        <v>29.660000000000011</v>
      </c>
      <c r="AJ39" s="13">
        <v>29.660000000000011</v>
      </c>
      <c r="AK39" s="13">
        <f t="shared" si="15"/>
        <v>97.878000000000029</v>
      </c>
      <c r="AL39" s="14">
        <v>0.33</v>
      </c>
      <c r="AM39" s="13">
        <f t="shared" si="16"/>
        <v>-87.877999999999972</v>
      </c>
      <c r="AN39" s="14">
        <f t="shared" si="17"/>
        <v>-0.29628455832771394</v>
      </c>
      <c r="AO39" t="str">
        <f>IF(AN39&gt;=Assumptions!$B$3,"OK","Review")</f>
        <v>Review</v>
      </c>
    </row>
    <row r="40" spans="1:41" ht="15" customHeight="1">
      <c r="A40" s="9" t="s">
        <v>70</v>
      </c>
      <c r="B40" s="9" t="s">
        <v>37</v>
      </c>
      <c r="C40" s="9" t="s">
        <v>92</v>
      </c>
      <c r="D40" s="9" t="s">
        <v>93</v>
      </c>
      <c r="E40" s="9" t="s">
        <v>73</v>
      </c>
      <c r="F40" s="9" t="s">
        <v>94</v>
      </c>
      <c r="G40" s="9" t="s">
        <v>24</v>
      </c>
      <c r="H40" s="9" t="s">
        <v>75</v>
      </c>
      <c r="I40" s="9">
        <v>8400007</v>
      </c>
      <c r="J40" s="10">
        <v>96</v>
      </c>
      <c r="K40" s="10"/>
      <c r="L40" s="10">
        <f t="shared" si="0"/>
        <v>96</v>
      </c>
      <c r="M40" s="11">
        <v>0.18</v>
      </c>
      <c r="N40" s="10">
        <f t="shared" si="1"/>
        <v>17.28</v>
      </c>
      <c r="O40" s="10">
        <f t="shared" si="2"/>
        <v>113.28</v>
      </c>
      <c r="P40" s="11">
        <f t="shared" si="3"/>
        <v>0.2445236882322975</v>
      </c>
      <c r="Q40" s="10">
        <f t="shared" si="4"/>
        <v>463.26800000000003</v>
      </c>
      <c r="R40" s="10">
        <f t="shared" si="5"/>
        <v>2992.7639999999997</v>
      </c>
      <c r="S40" s="10">
        <f t="shared" si="6"/>
        <v>113.28</v>
      </c>
      <c r="T40" s="9" t="s">
        <v>91</v>
      </c>
      <c r="U40" s="10">
        <v>5599</v>
      </c>
      <c r="V40" s="10">
        <f t="shared" si="7"/>
        <v>3919.2999999999997</v>
      </c>
      <c r="W40" s="166">
        <v>999299</v>
      </c>
      <c r="X40" s="12" t="s">
        <v>25</v>
      </c>
      <c r="Y40" s="12">
        <f t="shared" si="8"/>
        <v>113.28</v>
      </c>
      <c r="Z40" s="13">
        <f t="shared" si="9"/>
        <v>113.28</v>
      </c>
      <c r="AA40" s="13">
        <f t="shared" si="10"/>
        <v>96</v>
      </c>
      <c r="AB40" s="13">
        <f t="shared" si="11"/>
        <v>96</v>
      </c>
      <c r="AC40" s="13">
        <f t="shared" si="12"/>
        <v>0</v>
      </c>
      <c r="AD40" s="14">
        <f t="shared" si="13"/>
        <v>0</v>
      </c>
      <c r="AE40" s="14">
        <f t="shared" si="14"/>
        <v>0</v>
      </c>
      <c r="AF40" s="13" t="str">
        <f>IF(AD40&gt;=Assumptions!$B$3,"OK","Review")</f>
        <v>Review</v>
      </c>
      <c r="AG40" s="13">
        <f>IFERROR(IF(Assumptions!$B$13="Cost Price",AB40,AA40)*SUMIF(Assumptions!$A$6:$A$10,X40,Assumptions!$B$6:$B$10),0)</f>
        <v>7.68</v>
      </c>
      <c r="AH40" s="13">
        <f>IFERROR(IF(Assumptions!$B$13="Cost Price",AB40,AA40)*SUMIF(Assumptions!$A$6:$A$10,X40,Assumptions!$C$6:$C$10),0)</f>
        <v>4.8000000000000007</v>
      </c>
      <c r="AI40" s="13">
        <f>IFERROR(IF(Assumptions!$B$13="Cost Price",AB40,AA40)*SUMIF(Assumptions!$A$6:$A$10,X40,Assumptions!$D$6:$D$10),0)</f>
        <v>9.6000000000000014</v>
      </c>
      <c r="AJ40" s="13">
        <v>9.6000000000000014</v>
      </c>
      <c r="AK40" s="13">
        <f t="shared" si="15"/>
        <v>31.680000000000003</v>
      </c>
      <c r="AL40" s="14">
        <v>0.33</v>
      </c>
      <c r="AM40" s="13">
        <f t="shared" si="16"/>
        <v>-31.680000000000003</v>
      </c>
      <c r="AN40" s="14">
        <f t="shared" si="17"/>
        <v>-0.33</v>
      </c>
      <c r="AO40" t="str">
        <f>IF(AN40&gt;=Assumptions!$B$3,"OK","Review")</f>
        <v>Review</v>
      </c>
    </row>
    <row r="41" spans="1:41" ht="15" customHeight="1">
      <c r="A41" s="9" t="s">
        <v>70</v>
      </c>
      <c r="B41" s="9" t="s">
        <v>38</v>
      </c>
      <c r="C41" s="9" t="s">
        <v>105</v>
      </c>
      <c r="D41" s="9" t="s">
        <v>123</v>
      </c>
      <c r="E41" s="9" t="s">
        <v>73</v>
      </c>
      <c r="F41" s="9" t="s">
        <v>74</v>
      </c>
      <c r="G41" s="9" t="s">
        <v>24</v>
      </c>
      <c r="H41" s="9" t="s">
        <v>75</v>
      </c>
      <c r="I41" s="9">
        <v>4000011788</v>
      </c>
      <c r="J41" s="10">
        <v>34.78</v>
      </c>
      <c r="K41" s="10"/>
      <c r="L41" s="10">
        <f t="shared" si="0"/>
        <v>34.78</v>
      </c>
      <c r="M41" s="11">
        <v>0</v>
      </c>
      <c r="N41" s="10">
        <f t="shared" si="1"/>
        <v>0</v>
      </c>
      <c r="O41" s="10">
        <f t="shared" si="2"/>
        <v>34.78</v>
      </c>
      <c r="P41" s="11">
        <f t="shared" si="3"/>
        <v>6.3885674399808967E-2</v>
      </c>
      <c r="Q41" s="10">
        <f t="shared" si="4"/>
        <v>544.41</v>
      </c>
      <c r="R41" s="10">
        <f t="shared" si="5"/>
        <v>3165.7519999999995</v>
      </c>
      <c r="S41" s="10">
        <f t="shared" si="6"/>
        <v>202.24620150254401</v>
      </c>
      <c r="T41" s="9" t="s">
        <v>76</v>
      </c>
      <c r="U41" s="10">
        <v>5599</v>
      </c>
      <c r="V41" s="10">
        <f t="shared" si="7"/>
        <v>3919.2999999999997</v>
      </c>
      <c r="W41" s="166">
        <v>490110</v>
      </c>
      <c r="X41" s="12" t="s">
        <v>25</v>
      </c>
      <c r="Y41" s="12">
        <f t="shared" si="8"/>
        <v>202.24620150254401</v>
      </c>
      <c r="Z41" s="13">
        <f t="shared" si="9"/>
        <v>202.24620150254401</v>
      </c>
      <c r="AA41" s="13">
        <f t="shared" si="10"/>
        <v>202.24620150254401</v>
      </c>
      <c r="AB41" s="13">
        <f t="shared" si="11"/>
        <v>34.78</v>
      </c>
      <c r="AC41" s="13">
        <f t="shared" si="12"/>
        <v>167.46620150254401</v>
      </c>
      <c r="AD41" s="14">
        <f t="shared" si="13"/>
        <v>0.82803138085358552</v>
      </c>
      <c r="AE41" s="14">
        <f t="shared" si="14"/>
        <v>4.8150144192795858</v>
      </c>
      <c r="AF41" s="13" t="str">
        <f>IF(AD41&gt;=Assumptions!$B$3,"OK","Review")</f>
        <v>OK</v>
      </c>
      <c r="AG41" s="13">
        <f>IFERROR(IF(Assumptions!$B$13="Cost Price",AB41,AA41)*SUMIF(Assumptions!$A$6:$A$10,X41,Assumptions!$B$6:$B$10),0)</f>
        <v>16.17969612020352</v>
      </c>
      <c r="AH41" s="13">
        <f>IFERROR(IF(Assumptions!$B$13="Cost Price",AB41,AA41)*SUMIF(Assumptions!$A$6:$A$10,X41,Assumptions!$C$6:$C$10),0)</f>
        <v>10.112310075127201</v>
      </c>
      <c r="AI41" s="13">
        <f>IFERROR(IF(Assumptions!$B$13="Cost Price",AB41,AA41)*SUMIF(Assumptions!$A$6:$A$10,X41,Assumptions!$D$6:$D$10),0)</f>
        <v>20.224620150254403</v>
      </c>
      <c r="AJ41" s="13">
        <v>30.955496879190317</v>
      </c>
      <c r="AK41" s="13">
        <f t="shared" si="15"/>
        <v>77.472123224775444</v>
      </c>
      <c r="AL41" s="14">
        <v>0.33</v>
      </c>
      <c r="AM41" s="13">
        <f t="shared" si="16"/>
        <v>89.994078277768565</v>
      </c>
      <c r="AN41" s="14">
        <f t="shared" si="17"/>
        <v>0.44497289743479584</v>
      </c>
      <c r="AO41" t="str">
        <f>IF(AN41&gt;=Assumptions!$B$3,"OK","Review")</f>
        <v>OK</v>
      </c>
    </row>
    <row r="42" spans="1:41" ht="15" customHeight="1">
      <c r="A42" s="9" t="s">
        <v>70</v>
      </c>
      <c r="B42" s="9" t="s">
        <v>38</v>
      </c>
      <c r="C42" s="9" t="s">
        <v>105</v>
      </c>
      <c r="D42" s="9" t="s">
        <v>124</v>
      </c>
      <c r="E42" s="9" t="s">
        <v>73</v>
      </c>
      <c r="F42" s="9" t="s">
        <v>74</v>
      </c>
      <c r="G42" s="9" t="s">
        <v>24</v>
      </c>
      <c r="H42" s="9" t="s">
        <v>75</v>
      </c>
      <c r="I42" s="9">
        <v>4000011789</v>
      </c>
      <c r="J42" s="10">
        <v>19.34</v>
      </c>
      <c r="K42" s="10"/>
      <c r="L42" s="10">
        <f t="shared" si="0"/>
        <v>19.34</v>
      </c>
      <c r="M42" s="11">
        <v>0</v>
      </c>
      <c r="N42" s="10">
        <f t="shared" si="1"/>
        <v>0</v>
      </c>
      <c r="O42" s="10">
        <f t="shared" si="2"/>
        <v>19.34</v>
      </c>
      <c r="P42" s="11">
        <f t="shared" si="3"/>
        <v>3.5524696460388312E-2</v>
      </c>
      <c r="Q42" s="10">
        <f t="shared" si="4"/>
        <v>544.41</v>
      </c>
      <c r="R42" s="10">
        <f t="shared" si="5"/>
        <v>3165.7519999999995</v>
      </c>
      <c r="S42" s="10">
        <f t="shared" si="6"/>
        <v>112.46237886886721</v>
      </c>
      <c r="T42" s="9" t="s">
        <v>76</v>
      </c>
      <c r="U42" s="10">
        <v>5599</v>
      </c>
      <c r="V42" s="10">
        <f t="shared" si="7"/>
        <v>3919.2999999999997</v>
      </c>
      <c r="W42" s="166">
        <v>490110</v>
      </c>
      <c r="X42" s="12" t="s">
        <v>25</v>
      </c>
      <c r="Y42" s="12">
        <f t="shared" si="8"/>
        <v>112.46237886886721</v>
      </c>
      <c r="Z42" s="13">
        <f t="shared" si="9"/>
        <v>112.46237886886721</v>
      </c>
      <c r="AA42" s="13">
        <f t="shared" si="10"/>
        <v>112.46237886886721</v>
      </c>
      <c r="AB42" s="13">
        <f t="shared" si="11"/>
        <v>19.34</v>
      </c>
      <c r="AC42" s="13">
        <f t="shared" si="12"/>
        <v>93.122378868867202</v>
      </c>
      <c r="AD42" s="14">
        <f t="shared" si="13"/>
        <v>0.82803138085358541</v>
      </c>
      <c r="AE42" s="14">
        <f t="shared" si="14"/>
        <v>4.8150144192795867</v>
      </c>
      <c r="AF42" s="13" t="str">
        <f>IF(AD42&gt;=Assumptions!$B$3,"OK","Review")</f>
        <v>OK</v>
      </c>
      <c r="AG42" s="13">
        <f>IFERROR(IF(Assumptions!$B$13="Cost Price",AB42,AA42)*SUMIF(Assumptions!$A$6:$A$10,X42,Assumptions!$B$6:$B$10),0)</f>
        <v>8.9969903095093766</v>
      </c>
      <c r="AH42" s="13">
        <f>IFERROR(IF(Assumptions!$B$13="Cost Price",AB42,AA42)*SUMIF(Assumptions!$A$6:$A$10,X42,Assumptions!$C$6:$C$10),0)</f>
        <v>5.6231189434433606</v>
      </c>
      <c r="AI42" s="13">
        <f>IFERROR(IF(Assumptions!$B$13="Cost Price",AB42,AA42)*SUMIF(Assumptions!$A$6:$A$10,X42,Assumptions!$D$6:$D$10),0)</f>
        <v>11.246237886886721</v>
      </c>
      <c r="AJ42" s="13">
        <v>17.213321151338146</v>
      </c>
      <c r="AK42" s="13">
        <f t="shared" si="15"/>
        <v>43.079668291177605</v>
      </c>
      <c r="AL42" s="14">
        <v>0.33</v>
      </c>
      <c r="AM42" s="13">
        <f t="shared" si="16"/>
        <v>50.042710577689597</v>
      </c>
      <c r="AN42" s="14">
        <f t="shared" si="17"/>
        <v>0.44497289743479584</v>
      </c>
      <c r="AO42" t="str">
        <f>IF(AN42&gt;=Assumptions!$B$3,"OK","Review")</f>
        <v>OK</v>
      </c>
    </row>
    <row r="43" spans="1:41" ht="15" customHeight="1">
      <c r="A43" s="9" t="s">
        <v>70</v>
      </c>
      <c r="B43" s="9" t="s">
        <v>38</v>
      </c>
      <c r="C43" s="9" t="s">
        <v>71</v>
      </c>
      <c r="D43" s="9" t="s">
        <v>125</v>
      </c>
      <c r="E43" s="9" t="s">
        <v>73</v>
      </c>
      <c r="F43" s="9" t="s">
        <v>74</v>
      </c>
      <c r="G43" s="9" t="s">
        <v>24</v>
      </c>
      <c r="H43" s="9" t="s">
        <v>75</v>
      </c>
      <c r="I43" s="9">
        <v>4000011790</v>
      </c>
      <c r="J43" s="10">
        <v>45.67</v>
      </c>
      <c r="K43" s="10"/>
      <c r="L43" s="10">
        <f t="shared" si="0"/>
        <v>45.67</v>
      </c>
      <c r="M43" s="11">
        <v>0</v>
      </c>
      <c r="N43" s="10">
        <f t="shared" si="1"/>
        <v>0</v>
      </c>
      <c r="O43" s="10">
        <f t="shared" si="2"/>
        <v>45.67</v>
      </c>
      <c r="P43" s="11">
        <f t="shared" si="3"/>
        <v>8.388898073143404E-2</v>
      </c>
      <c r="Q43" s="10">
        <f t="shared" si="4"/>
        <v>544.41</v>
      </c>
      <c r="R43" s="10">
        <f t="shared" si="5"/>
        <v>3165.7519999999995</v>
      </c>
      <c r="S43" s="10">
        <f t="shared" si="6"/>
        <v>265.57170852849873</v>
      </c>
      <c r="T43" s="9" t="s">
        <v>76</v>
      </c>
      <c r="U43" s="10">
        <v>5599</v>
      </c>
      <c r="V43" s="10">
        <f t="shared" si="7"/>
        <v>3919.2999999999997</v>
      </c>
      <c r="W43" s="166">
        <v>490110</v>
      </c>
      <c r="X43" s="12" t="s">
        <v>25</v>
      </c>
      <c r="Y43" s="12">
        <f t="shared" si="8"/>
        <v>265.57170852849873</v>
      </c>
      <c r="Z43" s="13">
        <f t="shared" si="9"/>
        <v>265.57170852849873</v>
      </c>
      <c r="AA43" s="13">
        <f t="shared" si="10"/>
        <v>265.57170852849873</v>
      </c>
      <c r="AB43" s="13">
        <f t="shared" si="11"/>
        <v>45.67</v>
      </c>
      <c r="AC43" s="13">
        <f t="shared" si="12"/>
        <v>219.90170852849872</v>
      </c>
      <c r="AD43" s="14">
        <f t="shared" si="13"/>
        <v>0.82803138085358541</v>
      </c>
      <c r="AE43" s="14">
        <f t="shared" si="14"/>
        <v>4.8150144192795867</v>
      </c>
      <c r="AF43" s="13" t="str">
        <f>IF(AD43&gt;=Assumptions!$B$3,"OK","Review")</f>
        <v>OK</v>
      </c>
      <c r="AG43" s="13">
        <f>IFERROR(IF(Assumptions!$B$13="Cost Price",AB43,AA43)*SUMIF(Assumptions!$A$6:$A$10,X43,Assumptions!$B$6:$B$10),0)</f>
        <v>21.245736682279897</v>
      </c>
      <c r="AH43" s="13">
        <f>IFERROR(IF(Assumptions!$B$13="Cost Price",AB43,AA43)*SUMIF(Assumptions!$A$6:$A$10,X43,Assumptions!$C$6:$C$10),0)</f>
        <v>13.278585426424938</v>
      </c>
      <c r="AI43" s="13">
        <f>IFERROR(IF(Assumptions!$B$13="Cost Price",AB43,AA43)*SUMIF(Assumptions!$A$6:$A$10,X43,Assumptions!$D$6:$D$10),0)</f>
        <v>26.557170852849875</v>
      </c>
      <c r="AJ43" s="13">
        <v>40.648002946308857</v>
      </c>
      <c r="AK43" s="13">
        <f t="shared" si="15"/>
        <v>101.72949590786357</v>
      </c>
      <c r="AL43" s="14">
        <v>0.33</v>
      </c>
      <c r="AM43" s="13">
        <f t="shared" si="16"/>
        <v>118.17221262063515</v>
      </c>
      <c r="AN43" s="14">
        <f t="shared" si="17"/>
        <v>0.44497289743479579</v>
      </c>
      <c r="AO43" t="str">
        <f>IF(AN43&gt;=Assumptions!$B$3,"OK","Review")</f>
        <v>OK</v>
      </c>
    </row>
    <row r="44" spans="1:41" ht="15" customHeight="1">
      <c r="A44" s="9" t="s">
        <v>70</v>
      </c>
      <c r="B44" s="9" t="s">
        <v>38</v>
      </c>
      <c r="C44" s="9" t="s">
        <v>71</v>
      </c>
      <c r="D44" s="9" t="s">
        <v>126</v>
      </c>
      <c r="E44" s="9" t="s">
        <v>73</v>
      </c>
      <c r="F44" s="9" t="s">
        <v>74</v>
      </c>
      <c r="G44" s="9" t="s">
        <v>24</v>
      </c>
      <c r="H44" s="9" t="s">
        <v>75</v>
      </c>
      <c r="I44" s="9">
        <v>4000011791</v>
      </c>
      <c r="J44" s="10">
        <v>20.8</v>
      </c>
      <c r="K44" s="10"/>
      <c r="L44" s="10">
        <f t="shared" si="0"/>
        <v>20.8</v>
      </c>
      <c r="M44" s="11">
        <v>0</v>
      </c>
      <c r="N44" s="10">
        <f t="shared" si="1"/>
        <v>0</v>
      </c>
      <c r="O44" s="10">
        <f t="shared" si="2"/>
        <v>20.8</v>
      </c>
      <c r="P44" s="11">
        <f t="shared" si="3"/>
        <v>3.8206498778494156E-2</v>
      </c>
      <c r="Q44" s="10">
        <f t="shared" si="4"/>
        <v>544.41</v>
      </c>
      <c r="R44" s="10">
        <f t="shared" si="5"/>
        <v>3165.7519999999995</v>
      </c>
      <c r="S44" s="10">
        <f t="shared" si="6"/>
        <v>120.95229992101541</v>
      </c>
      <c r="T44" s="9" t="s">
        <v>76</v>
      </c>
      <c r="U44" s="10">
        <v>5599</v>
      </c>
      <c r="V44" s="10">
        <f t="shared" si="7"/>
        <v>3919.2999999999997</v>
      </c>
      <c r="W44" s="166">
        <v>490110</v>
      </c>
      <c r="X44" s="12" t="s">
        <v>25</v>
      </c>
      <c r="Y44" s="12">
        <f t="shared" si="8"/>
        <v>120.95229992101541</v>
      </c>
      <c r="Z44" s="13">
        <f t="shared" si="9"/>
        <v>120.95229992101541</v>
      </c>
      <c r="AA44" s="13">
        <f t="shared" si="10"/>
        <v>120.95229992101541</v>
      </c>
      <c r="AB44" s="13">
        <f t="shared" si="11"/>
        <v>20.8</v>
      </c>
      <c r="AC44" s="13">
        <f t="shared" si="12"/>
        <v>100.15229992101541</v>
      </c>
      <c r="AD44" s="14">
        <f t="shared" si="13"/>
        <v>0.82803138085358552</v>
      </c>
      <c r="AE44" s="14">
        <f t="shared" si="14"/>
        <v>4.8150144192795867</v>
      </c>
      <c r="AF44" s="13" t="str">
        <f>IF(AD44&gt;=Assumptions!$B$3,"OK","Review")</f>
        <v>OK</v>
      </c>
      <c r="AG44" s="13">
        <f>IFERROR(IF(Assumptions!$B$13="Cost Price",AB44,AA44)*SUMIF(Assumptions!$A$6:$A$10,X44,Assumptions!$B$6:$B$10),0)</f>
        <v>9.6761839936812333</v>
      </c>
      <c r="AH44" s="13">
        <f>IFERROR(IF(Assumptions!$B$13="Cost Price",AB44,AA44)*SUMIF(Assumptions!$A$6:$A$10,X44,Assumptions!$C$6:$C$10),0)</f>
        <v>6.047614996050771</v>
      </c>
      <c r="AI44" s="13">
        <f>IFERROR(IF(Assumptions!$B$13="Cost Price",AB44,AA44)*SUMIF(Assumptions!$A$6:$A$10,X44,Assumptions!$D$6:$D$10),0)</f>
        <v>12.095229992101542</v>
      </c>
      <c r="AJ44" s="13">
        <v>18.512775591925209</v>
      </c>
      <c r="AK44" s="13">
        <f t="shared" si="15"/>
        <v>46.33180457375876</v>
      </c>
      <c r="AL44" s="14">
        <v>0.33</v>
      </c>
      <c r="AM44" s="13">
        <f t="shared" si="16"/>
        <v>53.820495347256653</v>
      </c>
      <c r="AN44" s="14">
        <f t="shared" si="17"/>
        <v>0.44497289743479584</v>
      </c>
      <c r="AO44" t="str">
        <f>IF(AN44&gt;=Assumptions!$B$3,"OK","Review")</f>
        <v>OK</v>
      </c>
    </row>
    <row r="45" spans="1:41" ht="15" customHeight="1">
      <c r="A45" s="9" t="s">
        <v>70</v>
      </c>
      <c r="B45" s="9" t="s">
        <v>38</v>
      </c>
      <c r="C45" s="9" t="s">
        <v>78</v>
      </c>
      <c r="D45" s="9" t="s">
        <v>127</v>
      </c>
      <c r="E45" s="9" t="s">
        <v>73</v>
      </c>
      <c r="F45" s="9" t="s">
        <v>74</v>
      </c>
      <c r="G45" s="9" t="s">
        <v>24</v>
      </c>
      <c r="H45" s="9" t="s">
        <v>75</v>
      </c>
      <c r="I45" s="9">
        <v>4000011793</v>
      </c>
      <c r="J45" s="10">
        <v>30.65</v>
      </c>
      <c r="K45" s="10"/>
      <c r="L45" s="10">
        <f t="shared" si="0"/>
        <v>30.65</v>
      </c>
      <c r="M45" s="11">
        <v>0</v>
      </c>
      <c r="N45" s="10">
        <f t="shared" si="1"/>
        <v>0</v>
      </c>
      <c r="O45" s="10">
        <f t="shared" si="2"/>
        <v>30.65</v>
      </c>
      <c r="P45" s="11">
        <f t="shared" si="3"/>
        <v>5.6299480171194502E-2</v>
      </c>
      <c r="Q45" s="10">
        <f t="shared" si="4"/>
        <v>544.41</v>
      </c>
      <c r="R45" s="10">
        <f t="shared" si="5"/>
        <v>3165.7519999999995</v>
      </c>
      <c r="S45" s="10">
        <f t="shared" si="6"/>
        <v>178.23019195091931</v>
      </c>
      <c r="T45" s="9" t="s">
        <v>76</v>
      </c>
      <c r="U45" s="10">
        <v>5599</v>
      </c>
      <c r="V45" s="10">
        <f t="shared" si="7"/>
        <v>3919.2999999999997</v>
      </c>
      <c r="W45" s="166">
        <v>490110</v>
      </c>
      <c r="X45" s="12" t="s">
        <v>25</v>
      </c>
      <c r="Y45" s="12">
        <f t="shared" si="8"/>
        <v>178.23019195091931</v>
      </c>
      <c r="Z45" s="13">
        <f t="shared" si="9"/>
        <v>178.23019195091931</v>
      </c>
      <c r="AA45" s="13">
        <f t="shared" si="10"/>
        <v>178.23019195091931</v>
      </c>
      <c r="AB45" s="13">
        <f t="shared" si="11"/>
        <v>30.65</v>
      </c>
      <c r="AC45" s="13">
        <f t="shared" si="12"/>
        <v>147.5801919509193</v>
      </c>
      <c r="AD45" s="14">
        <f t="shared" si="13"/>
        <v>0.82803138085358541</v>
      </c>
      <c r="AE45" s="14">
        <f t="shared" si="14"/>
        <v>4.8150144192795858</v>
      </c>
      <c r="AF45" s="13" t="str">
        <f>IF(AD45&gt;=Assumptions!$B$3,"OK","Review")</f>
        <v>OK</v>
      </c>
      <c r="AG45" s="13">
        <f>IFERROR(IF(Assumptions!$B$13="Cost Price",AB45,AA45)*SUMIF(Assumptions!$A$6:$A$10,X45,Assumptions!$B$6:$B$10),0)</f>
        <v>14.258415356073545</v>
      </c>
      <c r="AH45" s="13">
        <f>IFERROR(IF(Assumptions!$B$13="Cost Price",AB45,AA45)*SUMIF(Assumptions!$A$6:$A$10,X45,Assumptions!$C$6:$C$10),0)</f>
        <v>8.9115095975459653</v>
      </c>
      <c r="AI45" s="13">
        <f>IFERROR(IF(Assumptions!$B$13="Cost Price",AB45,AA45)*SUMIF(Assumptions!$A$6:$A$10,X45,Assumptions!$D$6:$D$10),0)</f>
        <v>17.823019195091931</v>
      </c>
      <c r="AJ45" s="13">
        <v>27.279642879447479</v>
      </c>
      <c r="AK45" s="13">
        <f t="shared" si="15"/>
        <v>68.272587028158924</v>
      </c>
      <c r="AL45" s="14">
        <v>0.33</v>
      </c>
      <c r="AM45" s="13">
        <f t="shared" si="16"/>
        <v>79.307604922760376</v>
      </c>
      <c r="AN45" s="14">
        <f t="shared" si="17"/>
        <v>0.44497289743479573</v>
      </c>
      <c r="AO45" t="str">
        <f>IF(AN45&gt;=Assumptions!$B$3,"OK","Review")</f>
        <v>OK</v>
      </c>
    </row>
    <row r="46" spans="1:41" ht="15" customHeight="1">
      <c r="A46" s="9" t="s">
        <v>70</v>
      </c>
      <c r="B46" s="9" t="s">
        <v>38</v>
      </c>
      <c r="C46" s="9" t="s">
        <v>78</v>
      </c>
      <c r="D46" s="9" t="s">
        <v>128</v>
      </c>
      <c r="E46" s="9" t="s">
        <v>73</v>
      </c>
      <c r="F46" s="9" t="s">
        <v>81</v>
      </c>
      <c r="G46" s="9" t="s">
        <v>24</v>
      </c>
      <c r="H46" s="9" t="s">
        <v>75</v>
      </c>
      <c r="I46" s="9">
        <v>4000011792</v>
      </c>
      <c r="J46" s="10">
        <v>60.27</v>
      </c>
      <c r="K46" s="10"/>
      <c r="L46" s="10">
        <f t="shared" si="0"/>
        <v>60.27</v>
      </c>
      <c r="M46" s="11">
        <v>0</v>
      </c>
      <c r="N46" s="10">
        <f t="shared" si="1"/>
        <v>0</v>
      </c>
      <c r="O46" s="10">
        <f t="shared" si="2"/>
        <v>60.27</v>
      </c>
      <c r="P46" s="11">
        <f t="shared" si="3"/>
        <v>0.11070700391249244</v>
      </c>
      <c r="Q46" s="10">
        <f t="shared" si="4"/>
        <v>544.41</v>
      </c>
      <c r="R46" s="10">
        <f t="shared" si="5"/>
        <v>3165.7519999999995</v>
      </c>
      <c r="S46" s="10">
        <f t="shared" si="6"/>
        <v>350.47091904998069</v>
      </c>
      <c r="T46" s="9" t="s">
        <v>76</v>
      </c>
      <c r="U46" s="10">
        <v>5599</v>
      </c>
      <c r="V46" s="10">
        <f t="shared" si="7"/>
        <v>3919.2999999999997</v>
      </c>
      <c r="W46" s="166">
        <v>490110</v>
      </c>
      <c r="X46" s="12" t="s">
        <v>25</v>
      </c>
      <c r="Y46" s="12">
        <f t="shared" si="8"/>
        <v>350.47091904998069</v>
      </c>
      <c r="Z46" s="13">
        <f t="shared" si="9"/>
        <v>350.47091904998069</v>
      </c>
      <c r="AA46" s="13">
        <f t="shared" si="10"/>
        <v>350.47091904998069</v>
      </c>
      <c r="AB46" s="13">
        <f t="shared" si="11"/>
        <v>60.27</v>
      </c>
      <c r="AC46" s="13">
        <f t="shared" si="12"/>
        <v>290.20091904998071</v>
      </c>
      <c r="AD46" s="14">
        <f t="shared" si="13"/>
        <v>0.82803138085358552</v>
      </c>
      <c r="AE46" s="14">
        <f t="shared" si="14"/>
        <v>4.8150144192795867</v>
      </c>
      <c r="AF46" s="13" t="str">
        <f>IF(AD46&gt;=Assumptions!$B$3,"OK","Review")</f>
        <v>OK</v>
      </c>
      <c r="AG46" s="13">
        <f>IFERROR(IF(Assumptions!$B$13="Cost Price",AB46,AA46)*SUMIF(Assumptions!$A$6:$A$10,X46,Assumptions!$B$6:$B$10),0)</f>
        <v>28.037673523998457</v>
      </c>
      <c r="AH46" s="13">
        <f>IFERROR(IF(Assumptions!$B$13="Cost Price",AB46,AA46)*SUMIF(Assumptions!$A$6:$A$10,X46,Assumptions!$C$6:$C$10),0)</f>
        <v>17.523545952499035</v>
      </c>
      <c r="AI46" s="13">
        <f>IFERROR(IF(Assumptions!$B$13="Cost Price",AB46,AA46)*SUMIF(Assumptions!$A$6:$A$10,X46,Assumptions!$D$6:$D$10),0)</f>
        <v>35.047091904998069</v>
      </c>
      <c r="AJ46" s="13">
        <v>53.642547352179442</v>
      </c>
      <c r="AK46" s="13">
        <f t="shared" si="15"/>
        <v>134.25085873367499</v>
      </c>
      <c r="AL46" s="14">
        <v>0.33</v>
      </c>
      <c r="AM46" s="13">
        <f t="shared" si="16"/>
        <v>155.95006031630572</v>
      </c>
      <c r="AN46" s="14">
        <f t="shared" si="17"/>
        <v>0.4449728974347959</v>
      </c>
      <c r="AO46" t="str">
        <f>IF(AN46&gt;=Assumptions!$B$3,"OK","Review")</f>
        <v>OK</v>
      </c>
    </row>
    <row r="47" spans="1:41" ht="15" customHeight="1">
      <c r="A47" s="9" t="s">
        <v>70</v>
      </c>
      <c r="B47" s="9" t="s">
        <v>38</v>
      </c>
      <c r="C47" s="9" t="s">
        <v>78</v>
      </c>
      <c r="D47" s="9" t="s">
        <v>129</v>
      </c>
      <c r="E47" s="9" t="s">
        <v>73</v>
      </c>
      <c r="F47" s="9" t="s">
        <v>81</v>
      </c>
      <c r="G47" s="9" t="s">
        <v>24</v>
      </c>
      <c r="H47" s="9" t="s">
        <v>75</v>
      </c>
      <c r="I47" s="9">
        <v>4000011795</v>
      </c>
      <c r="J47" s="10">
        <v>17.84</v>
      </c>
      <c r="K47" s="10"/>
      <c r="L47" s="10">
        <f t="shared" si="0"/>
        <v>17.84</v>
      </c>
      <c r="M47" s="11">
        <v>0</v>
      </c>
      <c r="N47" s="10">
        <f t="shared" si="1"/>
        <v>0</v>
      </c>
      <c r="O47" s="10">
        <f t="shared" si="2"/>
        <v>17.84</v>
      </c>
      <c r="P47" s="11">
        <f t="shared" si="3"/>
        <v>3.2769420106169983E-2</v>
      </c>
      <c r="Q47" s="10">
        <f t="shared" si="4"/>
        <v>544.41</v>
      </c>
      <c r="R47" s="10">
        <f t="shared" si="5"/>
        <v>3165.7519999999995</v>
      </c>
      <c r="S47" s="10">
        <f t="shared" si="6"/>
        <v>103.73985723994782</v>
      </c>
      <c r="T47" s="9" t="s">
        <v>76</v>
      </c>
      <c r="U47" s="10">
        <v>5599</v>
      </c>
      <c r="V47" s="10">
        <f t="shared" si="7"/>
        <v>3919.2999999999997</v>
      </c>
      <c r="W47" s="166">
        <v>490110</v>
      </c>
      <c r="X47" s="12" t="s">
        <v>25</v>
      </c>
      <c r="Y47" s="12">
        <f t="shared" si="8"/>
        <v>103.73985723994782</v>
      </c>
      <c r="Z47" s="13">
        <f t="shared" si="9"/>
        <v>103.73985723994782</v>
      </c>
      <c r="AA47" s="13">
        <f t="shared" si="10"/>
        <v>103.73985723994782</v>
      </c>
      <c r="AB47" s="13">
        <f t="shared" si="11"/>
        <v>17.84</v>
      </c>
      <c r="AC47" s="13">
        <f t="shared" si="12"/>
        <v>85.899857239947821</v>
      </c>
      <c r="AD47" s="14">
        <f t="shared" si="13"/>
        <v>0.82803138085358541</v>
      </c>
      <c r="AE47" s="14">
        <f t="shared" si="14"/>
        <v>4.8150144192795867</v>
      </c>
      <c r="AF47" s="13" t="str">
        <f>IF(AD47&gt;=Assumptions!$B$3,"OK","Review")</f>
        <v>OK</v>
      </c>
      <c r="AG47" s="13">
        <f>IFERROR(IF(Assumptions!$B$13="Cost Price",AB47,AA47)*SUMIF(Assumptions!$A$6:$A$10,X47,Assumptions!$B$6:$B$10),0)</f>
        <v>8.2991885791958264</v>
      </c>
      <c r="AH47" s="13">
        <f>IFERROR(IF(Assumptions!$B$13="Cost Price",AB47,AA47)*SUMIF(Assumptions!$A$6:$A$10,X47,Assumptions!$C$6:$C$10),0)</f>
        <v>5.1869928619973917</v>
      </c>
      <c r="AI47" s="13">
        <f>IFERROR(IF(Assumptions!$B$13="Cost Price",AB47,AA47)*SUMIF(Assumptions!$A$6:$A$10,X47,Assumptions!$D$6:$D$10),0)</f>
        <v>10.373985723994783</v>
      </c>
      <c r="AJ47" s="13">
        <v>15.878265219228158</v>
      </c>
      <c r="AK47" s="13">
        <f t="shared" si="15"/>
        <v>39.738432384416157</v>
      </c>
      <c r="AL47" s="14">
        <v>0.33</v>
      </c>
      <c r="AM47" s="13">
        <f t="shared" si="16"/>
        <v>46.161424855531664</v>
      </c>
      <c r="AN47" s="14">
        <f t="shared" si="17"/>
        <v>0.44497289743479584</v>
      </c>
      <c r="AO47" t="str">
        <f>IF(AN47&gt;=Assumptions!$B$3,"OK","Review")</f>
        <v>OK</v>
      </c>
    </row>
    <row r="48" spans="1:41" ht="15" customHeight="1">
      <c r="A48" s="9" t="s">
        <v>70</v>
      </c>
      <c r="B48" s="9" t="s">
        <v>38</v>
      </c>
      <c r="C48" s="9" t="s">
        <v>113</v>
      </c>
      <c r="D48" s="9" t="s">
        <v>130</v>
      </c>
      <c r="E48" s="9" t="s">
        <v>73</v>
      </c>
      <c r="F48" s="9" t="s">
        <v>81</v>
      </c>
      <c r="G48" s="9" t="s">
        <v>24</v>
      </c>
      <c r="H48" s="9" t="s">
        <v>75</v>
      </c>
      <c r="I48" s="9">
        <v>4000011796</v>
      </c>
      <c r="J48" s="10">
        <v>57.61</v>
      </c>
      <c r="K48" s="10"/>
      <c r="L48" s="10">
        <f t="shared" si="0"/>
        <v>57.61</v>
      </c>
      <c r="M48" s="11">
        <v>0</v>
      </c>
      <c r="N48" s="10">
        <f t="shared" si="1"/>
        <v>0</v>
      </c>
      <c r="O48" s="10">
        <f t="shared" si="2"/>
        <v>57.61</v>
      </c>
      <c r="P48" s="11">
        <f t="shared" si="3"/>
        <v>0.10582098051101192</v>
      </c>
      <c r="Q48" s="10">
        <f t="shared" si="4"/>
        <v>544.41</v>
      </c>
      <c r="R48" s="10">
        <f t="shared" si="5"/>
        <v>3165.7519999999995</v>
      </c>
      <c r="S48" s="10">
        <f t="shared" si="6"/>
        <v>335.00298069469699</v>
      </c>
      <c r="T48" s="9" t="s">
        <v>76</v>
      </c>
      <c r="U48" s="10">
        <v>5599</v>
      </c>
      <c r="V48" s="10">
        <f t="shared" si="7"/>
        <v>3919.2999999999997</v>
      </c>
      <c r="W48" s="166">
        <v>490110</v>
      </c>
      <c r="X48" s="12" t="s">
        <v>25</v>
      </c>
      <c r="Y48" s="12">
        <f t="shared" si="8"/>
        <v>335.00298069469699</v>
      </c>
      <c r="Z48" s="13">
        <f t="shared" si="9"/>
        <v>335.00298069469699</v>
      </c>
      <c r="AA48" s="13">
        <f t="shared" si="10"/>
        <v>335.00298069469699</v>
      </c>
      <c r="AB48" s="13">
        <f t="shared" si="11"/>
        <v>57.61</v>
      </c>
      <c r="AC48" s="13">
        <f t="shared" si="12"/>
        <v>277.39298069469697</v>
      </c>
      <c r="AD48" s="14">
        <f t="shared" si="13"/>
        <v>0.82803138085358541</v>
      </c>
      <c r="AE48" s="14">
        <f t="shared" si="14"/>
        <v>4.8150144192795867</v>
      </c>
      <c r="AF48" s="13" t="str">
        <f>IF(AD48&gt;=Assumptions!$B$3,"OK","Review")</f>
        <v>OK</v>
      </c>
      <c r="AG48" s="13">
        <f>IFERROR(IF(Assumptions!$B$13="Cost Price",AB48,AA48)*SUMIF(Assumptions!$A$6:$A$10,X48,Assumptions!$B$6:$B$10),0)</f>
        <v>26.800238455575759</v>
      </c>
      <c r="AH48" s="13">
        <f>IFERROR(IF(Assumptions!$B$13="Cost Price",AB48,AA48)*SUMIF(Assumptions!$A$6:$A$10,X48,Assumptions!$C$6:$C$10),0)</f>
        <v>16.75014903473485</v>
      </c>
      <c r="AI48" s="13">
        <f>IFERROR(IF(Assumptions!$B$13="Cost Price",AB48,AA48)*SUMIF(Assumptions!$A$6:$A$10,X48,Assumptions!$D$6:$D$10),0)</f>
        <v>33.5002980694697</v>
      </c>
      <c r="AJ48" s="13">
        <v>51.27504816590438</v>
      </c>
      <c r="AK48" s="13">
        <f t="shared" si="15"/>
        <v>128.3257337256847</v>
      </c>
      <c r="AL48" s="14">
        <v>0.33</v>
      </c>
      <c r="AM48" s="13">
        <f t="shared" si="16"/>
        <v>149.06724696901227</v>
      </c>
      <c r="AN48" s="14">
        <f t="shared" si="17"/>
        <v>0.44497289743479579</v>
      </c>
      <c r="AO48" t="str">
        <f>IF(AN48&gt;=Assumptions!$B$3,"OK","Review")</f>
        <v>OK</v>
      </c>
    </row>
    <row r="49" spans="1:41" ht="15" customHeight="1">
      <c r="A49" s="9" t="s">
        <v>70</v>
      </c>
      <c r="B49" s="9" t="s">
        <v>38</v>
      </c>
      <c r="C49" s="9" t="s">
        <v>105</v>
      </c>
      <c r="D49" s="9" t="s">
        <v>131</v>
      </c>
      <c r="E49" s="9" t="s">
        <v>73</v>
      </c>
      <c r="F49" s="9" t="s">
        <v>74</v>
      </c>
      <c r="G49" s="9" t="s">
        <v>24</v>
      </c>
      <c r="H49" s="9" t="s">
        <v>84</v>
      </c>
      <c r="I49" s="9">
        <v>4000011797</v>
      </c>
      <c r="J49" s="10">
        <v>39.18</v>
      </c>
      <c r="K49" s="10"/>
      <c r="L49" s="10">
        <f t="shared" si="0"/>
        <v>39.18</v>
      </c>
      <c r="M49" s="11">
        <v>0</v>
      </c>
      <c r="N49" s="10">
        <f t="shared" si="1"/>
        <v>0</v>
      </c>
      <c r="O49" s="10">
        <f t="shared" si="2"/>
        <v>39.18</v>
      </c>
      <c r="P49" s="11">
        <f t="shared" si="3"/>
        <v>7.1967818372182732E-2</v>
      </c>
      <c r="Q49" s="10">
        <f t="shared" si="4"/>
        <v>544.41</v>
      </c>
      <c r="R49" s="10">
        <f t="shared" si="5"/>
        <v>3165.7519999999995</v>
      </c>
      <c r="S49" s="10">
        <f t="shared" si="6"/>
        <v>227.8322649473742</v>
      </c>
      <c r="T49" s="9" t="s">
        <v>76</v>
      </c>
      <c r="U49" s="10">
        <v>5599</v>
      </c>
      <c r="V49" s="10">
        <f t="shared" si="7"/>
        <v>3919.2999999999997</v>
      </c>
      <c r="W49" s="166">
        <v>490110</v>
      </c>
      <c r="X49" s="12" t="s">
        <v>25</v>
      </c>
      <c r="Y49" s="12">
        <f t="shared" si="8"/>
        <v>227.8322649473742</v>
      </c>
      <c r="Z49" s="13">
        <f t="shared" si="9"/>
        <v>227.8322649473742</v>
      </c>
      <c r="AA49" s="13">
        <f t="shared" si="10"/>
        <v>227.8322649473742</v>
      </c>
      <c r="AB49" s="13">
        <f t="shared" si="11"/>
        <v>39.18</v>
      </c>
      <c r="AC49" s="13">
        <f t="shared" si="12"/>
        <v>188.65226494737419</v>
      </c>
      <c r="AD49" s="14">
        <f t="shared" si="13"/>
        <v>0.82803138085358541</v>
      </c>
      <c r="AE49" s="14">
        <f t="shared" si="14"/>
        <v>4.8150144192795867</v>
      </c>
      <c r="AF49" s="13" t="str">
        <f>IF(AD49&gt;=Assumptions!$B$3,"OK","Review")</f>
        <v>OK</v>
      </c>
      <c r="AG49" s="13">
        <f>IFERROR(IF(Assumptions!$B$13="Cost Price",AB49,AA49)*SUMIF(Assumptions!$A$6:$A$10,X49,Assumptions!$B$6:$B$10),0)</f>
        <v>18.226581195789937</v>
      </c>
      <c r="AH49" s="13">
        <f>IFERROR(IF(Assumptions!$B$13="Cost Price",AB49,AA49)*SUMIF(Assumptions!$A$6:$A$10,X49,Assumptions!$C$6:$C$10),0)</f>
        <v>11.39161324736871</v>
      </c>
      <c r="AI49" s="13">
        <f>IFERROR(IF(Assumptions!$B$13="Cost Price",AB49,AA49)*SUMIF(Assumptions!$A$6:$A$10,X49,Assumptions!$D$6:$D$10),0)</f>
        <v>22.78322649473742</v>
      </c>
      <c r="AJ49" s="13">
        <v>34.871660946712957</v>
      </c>
      <c r="AK49" s="13">
        <f t="shared" si="15"/>
        <v>87.273081884609013</v>
      </c>
      <c r="AL49" s="14">
        <v>0.33</v>
      </c>
      <c r="AM49" s="13">
        <f t="shared" si="16"/>
        <v>101.37918306276518</v>
      </c>
      <c r="AN49" s="14">
        <f t="shared" si="17"/>
        <v>0.4449728974347959</v>
      </c>
      <c r="AO49" t="str">
        <f>IF(AN49&gt;=Assumptions!$B$3,"OK","Review")</f>
        <v>OK</v>
      </c>
    </row>
    <row r="50" spans="1:41" ht="15" customHeight="1">
      <c r="A50" s="9" t="s">
        <v>70</v>
      </c>
      <c r="B50" s="9" t="s">
        <v>38</v>
      </c>
      <c r="C50" s="9" t="s">
        <v>105</v>
      </c>
      <c r="D50" s="9" t="s">
        <v>132</v>
      </c>
      <c r="E50" s="9" t="s">
        <v>73</v>
      </c>
      <c r="F50" s="9" t="s">
        <v>74</v>
      </c>
      <c r="G50" s="9" t="s">
        <v>24</v>
      </c>
      <c r="H50" s="9" t="s">
        <v>84</v>
      </c>
      <c r="I50" s="9">
        <v>4000011798</v>
      </c>
      <c r="J50" s="10">
        <v>19.34</v>
      </c>
      <c r="K50" s="10"/>
      <c r="L50" s="10">
        <f t="shared" si="0"/>
        <v>19.34</v>
      </c>
      <c r="M50" s="11">
        <v>0</v>
      </c>
      <c r="N50" s="10">
        <f t="shared" si="1"/>
        <v>0</v>
      </c>
      <c r="O50" s="10">
        <f t="shared" si="2"/>
        <v>19.34</v>
      </c>
      <c r="P50" s="11">
        <f t="shared" si="3"/>
        <v>3.5524696460388312E-2</v>
      </c>
      <c r="Q50" s="10">
        <f t="shared" si="4"/>
        <v>544.41</v>
      </c>
      <c r="R50" s="10">
        <f t="shared" si="5"/>
        <v>3165.7519999999995</v>
      </c>
      <c r="S50" s="10">
        <f t="shared" si="6"/>
        <v>112.46237886886721</v>
      </c>
      <c r="T50" s="9" t="s">
        <v>76</v>
      </c>
      <c r="U50" s="10">
        <v>5599</v>
      </c>
      <c r="V50" s="10">
        <f t="shared" si="7"/>
        <v>3919.2999999999997</v>
      </c>
      <c r="W50" s="166">
        <v>490110</v>
      </c>
      <c r="X50" s="12" t="s">
        <v>25</v>
      </c>
      <c r="Y50" s="12">
        <f t="shared" si="8"/>
        <v>112.46237886886721</v>
      </c>
      <c r="Z50" s="13">
        <f t="shared" si="9"/>
        <v>112.46237886886721</v>
      </c>
      <c r="AA50" s="13">
        <f t="shared" si="10"/>
        <v>112.46237886886721</v>
      </c>
      <c r="AB50" s="13">
        <f t="shared" si="11"/>
        <v>19.34</v>
      </c>
      <c r="AC50" s="13">
        <f t="shared" si="12"/>
        <v>93.122378868867202</v>
      </c>
      <c r="AD50" s="14">
        <f t="shared" si="13"/>
        <v>0.82803138085358541</v>
      </c>
      <c r="AE50" s="14">
        <f t="shared" si="14"/>
        <v>4.8150144192795867</v>
      </c>
      <c r="AF50" s="13" t="str">
        <f>IF(AD50&gt;=Assumptions!$B$3,"OK","Review")</f>
        <v>OK</v>
      </c>
      <c r="AG50" s="13">
        <f>IFERROR(IF(Assumptions!$B$13="Cost Price",AB50,AA50)*SUMIF(Assumptions!$A$6:$A$10,X50,Assumptions!$B$6:$B$10),0)</f>
        <v>8.9969903095093766</v>
      </c>
      <c r="AH50" s="13">
        <f>IFERROR(IF(Assumptions!$B$13="Cost Price",AB50,AA50)*SUMIF(Assumptions!$A$6:$A$10,X50,Assumptions!$C$6:$C$10),0)</f>
        <v>5.6231189434433606</v>
      </c>
      <c r="AI50" s="13">
        <f>IFERROR(IF(Assumptions!$B$13="Cost Price",AB50,AA50)*SUMIF(Assumptions!$A$6:$A$10,X50,Assumptions!$D$6:$D$10),0)</f>
        <v>11.246237886886721</v>
      </c>
      <c r="AJ50" s="13">
        <v>17.213321151338146</v>
      </c>
      <c r="AK50" s="13">
        <f t="shared" si="15"/>
        <v>43.079668291177605</v>
      </c>
      <c r="AL50" s="14">
        <v>0.33</v>
      </c>
      <c r="AM50" s="13">
        <f t="shared" si="16"/>
        <v>50.042710577689597</v>
      </c>
      <c r="AN50" s="14">
        <f t="shared" si="17"/>
        <v>0.44497289743479584</v>
      </c>
      <c r="AO50" t="str">
        <f>IF(AN50&gt;=Assumptions!$B$3,"OK","Review")</f>
        <v>OK</v>
      </c>
    </row>
    <row r="51" spans="1:41" ht="15" customHeight="1">
      <c r="A51" s="9" t="s">
        <v>70</v>
      </c>
      <c r="B51" s="9" t="s">
        <v>38</v>
      </c>
      <c r="C51" s="9" t="s">
        <v>71</v>
      </c>
      <c r="D51" s="9" t="s">
        <v>133</v>
      </c>
      <c r="E51" s="9" t="s">
        <v>73</v>
      </c>
      <c r="F51" s="9" t="s">
        <v>74</v>
      </c>
      <c r="G51" s="9" t="s">
        <v>24</v>
      </c>
      <c r="H51" s="9" t="s">
        <v>84</v>
      </c>
      <c r="I51" s="9">
        <v>4000011799</v>
      </c>
      <c r="J51" s="10">
        <v>50.05</v>
      </c>
      <c r="K51" s="10"/>
      <c r="L51" s="10">
        <f t="shared" si="0"/>
        <v>50.05</v>
      </c>
      <c r="M51" s="11">
        <v>0</v>
      </c>
      <c r="N51" s="10">
        <f t="shared" si="1"/>
        <v>0</v>
      </c>
      <c r="O51" s="10">
        <f t="shared" si="2"/>
        <v>50.05</v>
      </c>
      <c r="P51" s="11">
        <f t="shared" si="3"/>
        <v>9.1934387685751545E-2</v>
      </c>
      <c r="Q51" s="10">
        <f t="shared" si="4"/>
        <v>544.41</v>
      </c>
      <c r="R51" s="10">
        <f t="shared" si="5"/>
        <v>3165.7519999999995</v>
      </c>
      <c r="S51" s="10">
        <f t="shared" si="6"/>
        <v>291.0414716849433</v>
      </c>
      <c r="T51" s="9" t="s">
        <v>76</v>
      </c>
      <c r="U51" s="10">
        <v>5599</v>
      </c>
      <c r="V51" s="10">
        <f t="shared" si="7"/>
        <v>3919.2999999999997</v>
      </c>
      <c r="W51" s="166">
        <v>490110</v>
      </c>
      <c r="X51" s="12" t="s">
        <v>25</v>
      </c>
      <c r="Y51" s="12">
        <f t="shared" si="8"/>
        <v>291.0414716849433</v>
      </c>
      <c r="Z51" s="13">
        <f t="shared" si="9"/>
        <v>291.0414716849433</v>
      </c>
      <c r="AA51" s="13">
        <f t="shared" si="10"/>
        <v>291.0414716849433</v>
      </c>
      <c r="AB51" s="13">
        <f t="shared" si="11"/>
        <v>50.05</v>
      </c>
      <c r="AC51" s="13">
        <f t="shared" si="12"/>
        <v>240.99147168494329</v>
      </c>
      <c r="AD51" s="14">
        <f t="shared" si="13"/>
        <v>0.82803138085358541</v>
      </c>
      <c r="AE51" s="14">
        <f t="shared" si="14"/>
        <v>4.8150144192795867</v>
      </c>
      <c r="AF51" s="13" t="str">
        <f>IF(AD51&gt;=Assumptions!$B$3,"OK","Review")</f>
        <v>OK</v>
      </c>
      <c r="AG51" s="13">
        <f>IFERROR(IF(Assumptions!$B$13="Cost Price",AB51,AA51)*SUMIF(Assumptions!$A$6:$A$10,X51,Assumptions!$B$6:$B$10),0)</f>
        <v>23.283317734795464</v>
      </c>
      <c r="AH51" s="13">
        <f>IFERROR(IF(Assumptions!$B$13="Cost Price",AB51,AA51)*SUMIF(Assumptions!$A$6:$A$10,X51,Assumptions!$C$6:$C$10),0)</f>
        <v>14.552073584247166</v>
      </c>
      <c r="AI51" s="13">
        <f>IFERROR(IF(Assumptions!$B$13="Cost Price",AB51,AA51)*SUMIF(Assumptions!$A$6:$A$10,X51,Assumptions!$D$6:$D$10),0)</f>
        <v>29.104147168494332</v>
      </c>
      <c r="AJ51" s="13">
        <v>44.546366268070024</v>
      </c>
      <c r="AK51" s="13">
        <f t="shared" si="15"/>
        <v>111.48590475560698</v>
      </c>
      <c r="AL51" s="14">
        <v>0.33</v>
      </c>
      <c r="AM51" s="13">
        <f t="shared" si="16"/>
        <v>129.50556692933631</v>
      </c>
      <c r="AN51" s="14">
        <f t="shared" si="17"/>
        <v>0.44497289743479584</v>
      </c>
      <c r="AO51" t="str">
        <f>IF(AN51&gt;=Assumptions!$B$3,"OK","Review")</f>
        <v>OK</v>
      </c>
    </row>
    <row r="52" spans="1:41" ht="15" customHeight="1">
      <c r="A52" s="9" t="s">
        <v>70</v>
      </c>
      <c r="B52" s="9" t="s">
        <v>38</v>
      </c>
      <c r="C52" s="9" t="s">
        <v>71</v>
      </c>
      <c r="D52" s="9" t="s">
        <v>134</v>
      </c>
      <c r="E52" s="9" t="s">
        <v>73</v>
      </c>
      <c r="F52" s="9" t="s">
        <v>74</v>
      </c>
      <c r="G52" s="9" t="s">
        <v>24</v>
      </c>
      <c r="H52" s="9" t="s">
        <v>84</v>
      </c>
      <c r="I52" s="9">
        <v>4000011800</v>
      </c>
      <c r="J52" s="10">
        <v>19.34</v>
      </c>
      <c r="K52" s="10"/>
      <c r="L52" s="10">
        <f t="shared" si="0"/>
        <v>19.34</v>
      </c>
      <c r="M52" s="11">
        <v>0</v>
      </c>
      <c r="N52" s="10">
        <f t="shared" si="1"/>
        <v>0</v>
      </c>
      <c r="O52" s="10">
        <f t="shared" si="2"/>
        <v>19.34</v>
      </c>
      <c r="P52" s="11">
        <f t="shared" si="3"/>
        <v>3.5524696460388312E-2</v>
      </c>
      <c r="Q52" s="10">
        <f t="shared" si="4"/>
        <v>544.41</v>
      </c>
      <c r="R52" s="10">
        <f t="shared" si="5"/>
        <v>3165.7519999999995</v>
      </c>
      <c r="S52" s="10">
        <f t="shared" si="6"/>
        <v>112.46237886886721</v>
      </c>
      <c r="T52" s="9" t="s">
        <v>76</v>
      </c>
      <c r="U52" s="10">
        <v>5599</v>
      </c>
      <c r="V52" s="10">
        <f t="shared" si="7"/>
        <v>3919.2999999999997</v>
      </c>
      <c r="W52" s="166">
        <v>490110</v>
      </c>
      <c r="X52" s="12" t="s">
        <v>25</v>
      </c>
      <c r="Y52" s="12">
        <f t="shared" si="8"/>
        <v>112.46237886886721</v>
      </c>
      <c r="Z52" s="13">
        <f t="shared" si="9"/>
        <v>112.46237886886721</v>
      </c>
      <c r="AA52" s="13">
        <f t="shared" si="10"/>
        <v>112.46237886886721</v>
      </c>
      <c r="AB52" s="13">
        <f t="shared" si="11"/>
        <v>19.34</v>
      </c>
      <c r="AC52" s="13">
        <f t="shared" si="12"/>
        <v>93.122378868867202</v>
      </c>
      <c r="AD52" s="14">
        <f t="shared" si="13"/>
        <v>0.82803138085358541</v>
      </c>
      <c r="AE52" s="14">
        <f t="shared" si="14"/>
        <v>4.8150144192795867</v>
      </c>
      <c r="AF52" s="13" t="str">
        <f>IF(AD52&gt;=Assumptions!$B$3,"OK","Review")</f>
        <v>OK</v>
      </c>
      <c r="AG52" s="13">
        <f>IFERROR(IF(Assumptions!$B$13="Cost Price",AB52,AA52)*SUMIF(Assumptions!$A$6:$A$10,X52,Assumptions!$B$6:$B$10),0)</f>
        <v>8.9969903095093766</v>
      </c>
      <c r="AH52" s="13">
        <f>IFERROR(IF(Assumptions!$B$13="Cost Price",AB52,AA52)*SUMIF(Assumptions!$A$6:$A$10,X52,Assumptions!$C$6:$C$10),0)</f>
        <v>5.6231189434433606</v>
      </c>
      <c r="AI52" s="13">
        <f>IFERROR(IF(Assumptions!$B$13="Cost Price",AB52,AA52)*SUMIF(Assumptions!$A$6:$A$10,X52,Assumptions!$D$6:$D$10),0)</f>
        <v>11.246237886886721</v>
      </c>
      <c r="AJ52" s="13">
        <v>17.213321151338146</v>
      </c>
      <c r="AK52" s="13">
        <f t="shared" si="15"/>
        <v>43.079668291177605</v>
      </c>
      <c r="AL52" s="14">
        <v>0.33</v>
      </c>
      <c r="AM52" s="13">
        <f t="shared" si="16"/>
        <v>50.042710577689597</v>
      </c>
      <c r="AN52" s="14">
        <f t="shared" si="17"/>
        <v>0.44497289743479584</v>
      </c>
      <c r="AO52" t="str">
        <f>IF(AN52&gt;=Assumptions!$B$3,"OK","Review")</f>
        <v>OK</v>
      </c>
    </row>
    <row r="53" spans="1:41" ht="15" customHeight="1">
      <c r="A53" s="9" t="s">
        <v>70</v>
      </c>
      <c r="B53" s="9" t="s">
        <v>38</v>
      </c>
      <c r="C53" s="9" t="s">
        <v>78</v>
      </c>
      <c r="D53" s="9" t="s">
        <v>135</v>
      </c>
      <c r="E53" s="9" t="s">
        <v>73</v>
      </c>
      <c r="F53" s="9" t="s">
        <v>81</v>
      </c>
      <c r="G53" s="9" t="s">
        <v>24</v>
      </c>
      <c r="H53" s="9" t="s">
        <v>84</v>
      </c>
      <c r="I53" s="9">
        <v>4000011801</v>
      </c>
      <c r="J53" s="10">
        <v>65.510000000000005</v>
      </c>
      <c r="K53" s="10"/>
      <c r="L53" s="10">
        <f t="shared" si="0"/>
        <v>65.510000000000005</v>
      </c>
      <c r="M53" s="11">
        <v>0</v>
      </c>
      <c r="N53" s="10">
        <f t="shared" si="1"/>
        <v>0</v>
      </c>
      <c r="O53" s="10">
        <f t="shared" si="2"/>
        <v>65.510000000000005</v>
      </c>
      <c r="P53" s="11">
        <f t="shared" si="3"/>
        <v>0.12033210264322847</v>
      </c>
      <c r="Q53" s="10">
        <f t="shared" si="4"/>
        <v>544.41</v>
      </c>
      <c r="R53" s="10">
        <f t="shared" si="5"/>
        <v>3165.7519999999995</v>
      </c>
      <c r="S53" s="10">
        <f t="shared" si="6"/>
        <v>380.94159460700575</v>
      </c>
      <c r="T53" s="9" t="s">
        <v>76</v>
      </c>
      <c r="U53" s="10">
        <v>5599</v>
      </c>
      <c r="V53" s="10">
        <f t="shared" si="7"/>
        <v>3919.2999999999997</v>
      </c>
      <c r="W53" s="166">
        <v>490110</v>
      </c>
      <c r="X53" s="12" t="s">
        <v>25</v>
      </c>
      <c r="Y53" s="12">
        <f t="shared" si="8"/>
        <v>380.94159460700575</v>
      </c>
      <c r="Z53" s="13">
        <f t="shared" si="9"/>
        <v>380.94159460700575</v>
      </c>
      <c r="AA53" s="13">
        <f t="shared" si="10"/>
        <v>380.94159460700575</v>
      </c>
      <c r="AB53" s="13">
        <f t="shared" si="11"/>
        <v>65.510000000000005</v>
      </c>
      <c r="AC53" s="13">
        <f t="shared" si="12"/>
        <v>315.43159460700576</v>
      </c>
      <c r="AD53" s="14">
        <f t="shared" si="13"/>
        <v>0.82803138085358552</v>
      </c>
      <c r="AE53" s="14">
        <f t="shared" si="14"/>
        <v>4.8150144192795867</v>
      </c>
      <c r="AF53" s="13" t="str">
        <f>IF(AD53&gt;=Assumptions!$B$3,"OK","Review")</f>
        <v>OK</v>
      </c>
      <c r="AG53" s="13">
        <f>IFERROR(IF(Assumptions!$B$13="Cost Price",AB53,AA53)*SUMIF(Assumptions!$A$6:$A$10,X53,Assumptions!$B$6:$B$10),0)</f>
        <v>30.475327568560459</v>
      </c>
      <c r="AH53" s="13">
        <f>IFERROR(IF(Assumptions!$B$13="Cost Price",AB53,AA53)*SUMIF(Assumptions!$A$6:$A$10,X53,Assumptions!$C$6:$C$10),0)</f>
        <v>19.047079730350287</v>
      </c>
      <c r="AI53" s="13">
        <f>IFERROR(IF(Assumptions!$B$13="Cost Price",AB53,AA53)*SUMIF(Assumptions!$A$6:$A$10,X53,Assumptions!$D$6:$D$10),0)</f>
        <v>38.094159460700574</v>
      </c>
      <c r="AJ53" s="13">
        <v>58.306342741683672</v>
      </c>
      <c r="AK53" s="13">
        <f t="shared" si="15"/>
        <v>145.92290950129498</v>
      </c>
      <c r="AL53" s="14">
        <v>0.33</v>
      </c>
      <c r="AM53" s="13">
        <f t="shared" si="16"/>
        <v>169.50868510571078</v>
      </c>
      <c r="AN53" s="14">
        <f t="shared" si="17"/>
        <v>0.44497289743479596</v>
      </c>
      <c r="AO53" t="str">
        <f>IF(AN53&gt;=Assumptions!$B$3,"OK","Review")</f>
        <v>OK</v>
      </c>
    </row>
    <row r="54" spans="1:41" ht="15" customHeight="1">
      <c r="A54" s="9" t="s">
        <v>70</v>
      </c>
      <c r="B54" s="9" t="s">
        <v>38</v>
      </c>
      <c r="C54" s="9" t="s">
        <v>78</v>
      </c>
      <c r="D54" s="9" t="s">
        <v>136</v>
      </c>
      <c r="E54" s="9" t="s">
        <v>73</v>
      </c>
      <c r="F54" s="9" t="s">
        <v>81</v>
      </c>
      <c r="G54" s="9" t="s">
        <v>24</v>
      </c>
      <c r="H54" s="9" t="s">
        <v>84</v>
      </c>
      <c r="I54" s="9">
        <v>4000011802</v>
      </c>
      <c r="J54" s="10">
        <v>19.05</v>
      </c>
      <c r="K54" s="10"/>
      <c r="L54" s="10">
        <f t="shared" si="0"/>
        <v>19.05</v>
      </c>
      <c r="M54" s="11">
        <v>0</v>
      </c>
      <c r="N54" s="10">
        <f t="shared" si="1"/>
        <v>0</v>
      </c>
      <c r="O54" s="10">
        <f t="shared" si="2"/>
        <v>19.05</v>
      </c>
      <c r="P54" s="11">
        <f t="shared" si="3"/>
        <v>3.4992009698572774E-2</v>
      </c>
      <c r="Q54" s="10">
        <f t="shared" si="4"/>
        <v>544.41</v>
      </c>
      <c r="R54" s="10">
        <f t="shared" si="5"/>
        <v>3165.7519999999995</v>
      </c>
      <c r="S54" s="10">
        <f t="shared" si="6"/>
        <v>110.77602468727613</v>
      </c>
      <c r="T54" s="9" t="s">
        <v>76</v>
      </c>
      <c r="U54" s="10">
        <v>5599</v>
      </c>
      <c r="V54" s="10">
        <f t="shared" si="7"/>
        <v>3919.2999999999997</v>
      </c>
      <c r="W54" s="166">
        <v>490110</v>
      </c>
      <c r="X54" s="12" t="s">
        <v>25</v>
      </c>
      <c r="Y54" s="12">
        <f t="shared" si="8"/>
        <v>110.77602468727613</v>
      </c>
      <c r="Z54" s="13">
        <f t="shared" si="9"/>
        <v>110.77602468727613</v>
      </c>
      <c r="AA54" s="13">
        <f t="shared" si="10"/>
        <v>110.77602468727613</v>
      </c>
      <c r="AB54" s="13">
        <f t="shared" si="11"/>
        <v>19.05</v>
      </c>
      <c r="AC54" s="13">
        <f t="shared" si="12"/>
        <v>91.726024687276137</v>
      </c>
      <c r="AD54" s="14">
        <f t="shared" si="13"/>
        <v>0.82803138085358552</v>
      </c>
      <c r="AE54" s="14">
        <f t="shared" si="14"/>
        <v>4.8150144192795867</v>
      </c>
      <c r="AF54" s="13" t="str">
        <f>IF(AD54&gt;=Assumptions!$B$3,"OK","Review")</f>
        <v>OK</v>
      </c>
      <c r="AG54" s="13">
        <f>IFERROR(IF(Assumptions!$B$13="Cost Price",AB54,AA54)*SUMIF(Assumptions!$A$6:$A$10,X54,Assumptions!$B$6:$B$10),0)</f>
        <v>8.8620819749820914</v>
      </c>
      <c r="AH54" s="13">
        <f>IFERROR(IF(Assumptions!$B$13="Cost Price",AB54,AA54)*SUMIF(Assumptions!$A$6:$A$10,X54,Assumptions!$C$6:$C$10),0)</f>
        <v>5.5388012343638069</v>
      </c>
      <c r="AI54" s="13">
        <f>IFERROR(IF(Assumptions!$B$13="Cost Price",AB54,AA54)*SUMIF(Assumptions!$A$6:$A$10,X54,Assumptions!$D$6:$D$10),0)</f>
        <v>11.077602468727614</v>
      </c>
      <c r="AJ54" s="13">
        <v>16.955210337796885</v>
      </c>
      <c r="AK54" s="13">
        <f t="shared" si="15"/>
        <v>42.433696015870396</v>
      </c>
      <c r="AL54" s="14">
        <v>0.33</v>
      </c>
      <c r="AM54" s="13">
        <f t="shared" si="16"/>
        <v>49.292328671405741</v>
      </c>
      <c r="AN54" s="14">
        <f t="shared" si="17"/>
        <v>0.4449728974347959</v>
      </c>
      <c r="AO54" t="str">
        <f>IF(AN54&gt;=Assumptions!$B$3,"OK","Review")</f>
        <v>OK</v>
      </c>
    </row>
    <row r="55" spans="1:41" ht="15" customHeight="1">
      <c r="A55" s="9" t="s">
        <v>70</v>
      </c>
      <c r="B55" s="9" t="s">
        <v>38</v>
      </c>
      <c r="C55" s="9" t="s">
        <v>113</v>
      </c>
      <c r="D55" s="9" t="s">
        <v>137</v>
      </c>
      <c r="E55" s="9" t="s">
        <v>73</v>
      </c>
      <c r="F55" s="9" t="s">
        <v>81</v>
      </c>
      <c r="G55" s="9" t="s">
        <v>24</v>
      </c>
      <c r="H55" s="9" t="s">
        <v>84</v>
      </c>
      <c r="I55" s="9">
        <v>4000011803</v>
      </c>
      <c r="J55" s="10">
        <v>44.98</v>
      </c>
      <c r="K55" s="10"/>
      <c r="L55" s="10">
        <f t="shared" si="0"/>
        <v>44.98</v>
      </c>
      <c r="M55" s="11">
        <v>0</v>
      </c>
      <c r="N55" s="10">
        <f t="shared" si="1"/>
        <v>0</v>
      </c>
      <c r="O55" s="10">
        <f t="shared" si="2"/>
        <v>44.98</v>
      </c>
      <c r="P55" s="11">
        <f t="shared" si="3"/>
        <v>8.2621553608493603E-2</v>
      </c>
      <c r="Q55" s="10">
        <f t="shared" si="4"/>
        <v>544.41</v>
      </c>
      <c r="R55" s="10">
        <f t="shared" si="5"/>
        <v>3165.7519999999995</v>
      </c>
      <c r="S55" s="10">
        <f t="shared" si="6"/>
        <v>261.55934857919578</v>
      </c>
      <c r="T55" s="9" t="s">
        <v>76</v>
      </c>
      <c r="U55" s="10">
        <v>5599</v>
      </c>
      <c r="V55" s="10">
        <f t="shared" si="7"/>
        <v>3919.2999999999997</v>
      </c>
      <c r="W55" s="166">
        <v>490110</v>
      </c>
      <c r="X55" s="12" t="s">
        <v>25</v>
      </c>
      <c r="Y55" s="12">
        <f t="shared" si="8"/>
        <v>261.55934857919578</v>
      </c>
      <c r="Z55" s="13">
        <f t="shared" si="9"/>
        <v>261.55934857919578</v>
      </c>
      <c r="AA55" s="13">
        <f t="shared" si="10"/>
        <v>261.55934857919578</v>
      </c>
      <c r="AB55" s="13">
        <f t="shared" si="11"/>
        <v>44.98</v>
      </c>
      <c r="AC55" s="13">
        <f t="shared" si="12"/>
        <v>216.57934857919579</v>
      </c>
      <c r="AD55" s="14">
        <f t="shared" si="13"/>
        <v>0.82803138085358552</v>
      </c>
      <c r="AE55" s="14">
        <f t="shared" si="14"/>
        <v>4.8150144192795867</v>
      </c>
      <c r="AF55" s="13" t="str">
        <f>IF(AD55&gt;=Assumptions!$B$3,"OK","Review")</f>
        <v>OK</v>
      </c>
      <c r="AG55" s="13">
        <f>IFERROR(IF(Assumptions!$B$13="Cost Price",AB55,AA55)*SUMIF(Assumptions!$A$6:$A$10,X55,Assumptions!$B$6:$B$10),0)</f>
        <v>20.924747886335663</v>
      </c>
      <c r="AH55" s="13">
        <f>IFERROR(IF(Assumptions!$B$13="Cost Price",AB55,AA55)*SUMIF(Assumptions!$A$6:$A$10,X55,Assumptions!$C$6:$C$10),0)</f>
        <v>13.07796742895979</v>
      </c>
      <c r="AI55" s="13">
        <f>IFERROR(IF(Assumptions!$B$13="Cost Price",AB55,AA55)*SUMIF(Assumptions!$A$6:$A$10,X55,Assumptions!$D$6:$D$10),0)</f>
        <v>26.155934857919579</v>
      </c>
      <c r="AJ55" s="13">
        <v>40.033877217538262</v>
      </c>
      <c r="AK55" s="13">
        <f t="shared" si="15"/>
        <v>100.1925273907533</v>
      </c>
      <c r="AL55" s="14">
        <v>0.33</v>
      </c>
      <c r="AM55" s="13">
        <f t="shared" si="16"/>
        <v>116.3868211884425</v>
      </c>
      <c r="AN55" s="14">
        <f t="shared" si="17"/>
        <v>0.44497289743479584</v>
      </c>
      <c r="AO55" t="str">
        <f>IF(AN55&gt;=Assumptions!$B$3,"OK","Review")</f>
        <v>OK</v>
      </c>
    </row>
    <row r="56" spans="1:41" ht="15" customHeight="1">
      <c r="A56" s="9" t="s">
        <v>70</v>
      </c>
      <c r="B56" s="9" t="s">
        <v>38</v>
      </c>
      <c r="C56" s="9" t="s">
        <v>88</v>
      </c>
      <c r="D56" s="9" t="s">
        <v>138</v>
      </c>
      <c r="E56" s="9" t="s">
        <v>73</v>
      </c>
      <c r="F56" s="9" t="s">
        <v>90</v>
      </c>
      <c r="G56" s="9" t="s">
        <v>24</v>
      </c>
      <c r="H56" s="9" t="s">
        <v>75</v>
      </c>
      <c r="I56" s="9">
        <v>7000000225</v>
      </c>
      <c r="J56" s="10">
        <v>213.3</v>
      </c>
      <c r="K56" s="10">
        <v>10</v>
      </c>
      <c r="L56" s="10">
        <f t="shared" si="0"/>
        <v>223.3</v>
      </c>
      <c r="M56" s="11">
        <v>0.18</v>
      </c>
      <c r="N56" s="10">
        <f t="shared" si="1"/>
        <v>40.194000000000003</v>
      </c>
      <c r="O56" s="10">
        <f t="shared" si="2"/>
        <v>263.49400000000003</v>
      </c>
      <c r="P56" s="11">
        <f t="shared" si="3"/>
        <v>0.6993423113059819</v>
      </c>
      <c r="Q56" s="10">
        <f t="shared" si="4"/>
        <v>376.774</v>
      </c>
      <c r="R56" s="10">
        <f t="shared" si="5"/>
        <v>3165.7519999999995</v>
      </c>
      <c r="S56" s="10">
        <f t="shared" si="6"/>
        <v>263.49400000000003</v>
      </c>
      <c r="T56" s="9" t="s">
        <v>91</v>
      </c>
      <c r="U56" s="10">
        <v>5599</v>
      </c>
      <c r="V56" s="10">
        <f t="shared" si="7"/>
        <v>3919.2999999999997</v>
      </c>
      <c r="W56" s="166">
        <v>49119990</v>
      </c>
      <c r="X56" s="12" t="s">
        <v>25</v>
      </c>
      <c r="Y56" s="12">
        <f t="shared" si="8"/>
        <v>263.49400000000003</v>
      </c>
      <c r="Z56" s="13">
        <f t="shared" si="9"/>
        <v>263.49400000000003</v>
      </c>
      <c r="AA56" s="13">
        <f t="shared" si="10"/>
        <v>223.30000000000004</v>
      </c>
      <c r="AB56" s="13">
        <f t="shared" si="11"/>
        <v>213.3</v>
      </c>
      <c r="AC56" s="13">
        <f t="shared" si="12"/>
        <v>10.000000000000028</v>
      </c>
      <c r="AD56" s="14">
        <f t="shared" si="13"/>
        <v>4.4782803403493179E-2</v>
      </c>
      <c r="AE56" s="14">
        <f t="shared" si="14"/>
        <v>4.6882325363338154E-2</v>
      </c>
      <c r="AF56" s="13" t="str">
        <f>IF(AD56&gt;=Assumptions!$B$3,"OK","Review")</f>
        <v>Review</v>
      </c>
      <c r="AG56" s="13">
        <f>IFERROR(IF(Assumptions!$B$13="Cost Price",AB56,AA56)*SUMIF(Assumptions!$A$6:$A$10,X56,Assumptions!$B$6:$B$10),0)</f>
        <v>17.864000000000004</v>
      </c>
      <c r="AH56" s="13">
        <f>IFERROR(IF(Assumptions!$B$13="Cost Price",AB56,AA56)*SUMIF(Assumptions!$A$6:$A$10,X56,Assumptions!$C$6:$C$10),0)</f>
        <v>11.165000000000003</v>
      </c>
      <c r="AI56" s="13">
        <f>IFERROR(IF(Assumptions!$B$13="Cost Price",AB56,AA56)*SUMIF(Assumptions!$A$6:$A$10,X56,Assumptions!$D$6:$D$10),0)</f>
        <v>22.330000000000005</v>
      </c>
      <c r="AJ56" s="13">
        <v>22.330000000000005</v>
      </c>
      <c r="AK56" s="13">
        <f t="shared" si="15"/>
        <v>73.689000000000021</v>
      </c>
      <c r="AL56" s="14">
        <v>0.33</v>
      </c>
      <c r="AM56" s="13">
        <f t="shared" si="16"/>
        <v>-63.688999999999993</v>
      </c>
      <c r="AN56" s="14">
        <f t="shared" si="17"/>
        <v>-0.28521719659650685</v>
      </c>
      <c r="AO56" t="str">
        <f>IF(AN56&gt;=Assumptions!$B$3,"OK","Review")</f>
        <v>Review</v>
      </c>
    </row>
    <row r="57" spans="1:41" ht="15" customHeight="1">
      <c r="A57" s="9" t="s">
        <v>70</v>
      </c>
      <c r="B57" s="9" t="s">
        <v>38</v>
      </c>
      <c r="C57" s="9" t="s">
        <v>92</v>
      </c>
      <c r="D57" s="9" t="s">
        <v>93</v>
      </c>
      <c r="E57" s="9" t="s">
        <v>73</v>
      </c>
      <c r="F57" s="9" t="s">
        <v>94</v>
      </c>
      <c r="G57" s="9" t="s">
        <v>24</v>
      </c>
      <c r="H57" s="9" t="s">
        <v>75</v>
      </c>
      <c r="I57" s="9">
        <v>8400007</v>
      </c>
      <c r="J57" s="10">
        <v>96</v>
      </c>
      <c r="K57" s="10"/>
      <c r="L57" s="10">
        <f t="shared" si="0"/>
        <v>96</v>
      </c>
      <c r="M57" s="11">
        <v>0.18</v>
      </c>
      <c r="N57" s="10">
        <f t="shared" si="1"/>
        <v>17.28</v>
      </c>
      <c r="O57" s="10">
        <f t="shared" si="2"/>
        <v>113.28</v>
      </c>
      <c r="P57" s="11">
        <f t="shared" si="3"/>
        <v>0.30065768869401815</v>
      </c>
      <c r="Q57" s="10">
        <f t="shared" si="4"/>
        <v>376.774</v>
      </c>
      <c r="R57" s="10">
        <f t="shared" si="5"/>
        <v>3165.7519999999995</v>
      </c>
      <c r="S57" s="10">
        <f t="shared" si="6"/>
        <v>113.28</v>
      </c>
      <c r="T57" s="9" t="s">
        <v>91</v>
      </c>
      <c r="U57" s="10">
        <v>5599</v>
      </c>
      <c r="V57" s="10">
        <f t="shared" si="7"/>
        <v>3919.2999999999997</v>
      </c>
      <c r="W57" s="166">
        <v>999299</v>
      </c>
      <c r="X57" s="12" t="s">
        <v>25</v>
      </c>
      <c r="Y57" s="12">
        <f t="shared" si="8"/>
        <v>113.28</v>
      </c>
      <c r="Z57" s="13">
        <f t="shared" si="9"/>
        <v>113.28</v>
      </c>
      <c r="AA57" s="13">
        <f t="shared" si="10"/>
        <v>96</v>
      </c>
      <c r="AB57" s="13">
        <f t="shared" si="11"/>
        <v>96</v>
      </c>
      <c r="AC57" s="13">
        <f t="shared" si="12"/>
        <v>0</v>
      </c>
      <c r="AD57" s="14">
        <f t="shared" si="13"/>
        <v>0</v>
      </c>
      <c r="AE57" s="14">
        <f t="shared" si="14"/>
        <v>0</v>
      </c>
      <c r="AF57" s="13" t="str">
        <f>IF(AD57&gt;=Assumptions!$B$3,"OK","Review")</f>
        <v>Review</v>
      </c>
      <c r="AG57" s="13">
        <f>IFERROR(IF(Assumptions!$B$13="Cost Price",AB57,AA57)*SUMIF(Assumptions!$A$6:$A$10,X57,Assumptions!$B$6:$B$10),0)</f>
        <v>7.68</v>
      </c>
      <c r="AH57" s="13">
        <f>IFERROR(IF(Assumptions!$B$13="Cost Price",AB57,AA57)*SUMIF(Assumptions!$A$6:$A$10,X57,Assumptions!$C$6:$C$10),0)</f>
        <v>4.8000000000000007</v>
      </c>
      <c r="AI57" s="13">
        <f>IFERROR(IF(Assumptions!$B$13="Cost Price",AB57,AA57)*SUMIF(Assumptions!$A$6:$A$10,X57,Assumptions!$D$6:$D$10),0)</f>
        <v>9.6000000000000014</v>
      </c>
      <c r="AJ57" s="13">
        <v>9.6000000000000014</v>
      </c>
      <c r="AK57" s="13">
        <f t="shared" si="15"/>
        <v>31.680000000000003</v>
      </c>
      <c r="AL57" s="14">
        <v>0.33</v>
      </c>
      <c r="AM57" s="13">
        <f t="shared" si="16"/>
        <v>-31.680000000000003</v>
      </c>
      <c r="AN57" s="14">
        <f t="shared" si="17"/>
        <v>-0.33</v>
      </c>
      <c r="AO57" t="str">
        <f>IF(AN57&gt;=Assumptions!$B$3,"OK","Review")</f>
        <v>Review</v>
      </c>
    </row>
    <row r="58" spans="1:41" ht="15" customHeight="1">
      <c r="A58" s="9" t="s">
        <v>70</v>
      </c>
      <c r="B58" s="9" t="s">
        <v>39</v>
      </c>
      <c r="C58" s="9" t="s">
        <v>105</v>
      </c>
      <c r="D58" s="9" t="s">
        <v>139</v>
      </c>
      <c r="E58" s="9" t="s">
        <v>73</v>
      </c>
      <c r="F58" s="9" t="s">
        <v>74</v>
      </c>
      <c r="G58" s="9" t="s">
        <v>24</v>
      </c>
      <c r="H58" s="9" t="s">
        <v>75</v>
      </c>
      <c r="I58" s="9">
        <v>4000011804</v>
      </c>
      <c r="J58" s="10">
        <v>39.65</v>
      </c>
      <c r="K58" s="10"/>
      <c r="L58" s="10">
        <f t="shared" si="0"/>
        <v>39.65</v>
      </c>
      <c r="M58" s="11">
        <v>0</v>
      </c>
      <c r="N58" s="10">
        <f t="shared" si="1"/>
        <v>0</v>
      </c>
      <c r="O58" s="10">
        <f t="shared" si="2"/>
        <v>39.65</v>
      </c>
      <c r="P58" s="11">
        <f t="shared" si="3"/>
        <v>7.1625991292880747E-2</v>
      </c>
      <c r="Q58" s="10">
        <f t="shared" si="4"/>
        <v>553.57000000000005</v>
      </c>
      <c r="R58" s="10">
        <f t="shared" si="5"/>
        <v>3056.72</v>
      </c>
      <c r="S58" s="10">
        <f t="shared" si="6"/>
        <v>218.94060010477443</v>
      </c>
      <c r="T58" s="9" t="s">
        <v>76</v>
      </c>
      <c r="U58" s="10">
        <v>5599</v>
      </c>
      <c r="V58" s="10">
        <f t="shared" si="7"/>
        <v>3919.2999999999997</v>
      </c>
      <c r="W58" s="166">
        <v>490110</v>
      </c>
      <c r="X58" s="12" t="s">
        <v>25</v>
      </c>
      <c r="Y58" s="12">
        <f t="shared" si="8"/>
        <v>218.94060010477443</v>
      </c>
      <c r="Z58" s="13">
        <f t="shared" si="9"/>
        <v>218.94060010477443</v>
      </c>
      <c r="AA58" s="13">
        <f t="shared" si="10"/>
        <v>218.94060010477443</v>
      </c>
      <c r="AB58" s="13">
        <f t="shared" si="11"/>
        <v>39.65</v>
      </c>
      <c r="AC58" s="13">
        <f t="shared" si="12"/>
        <v>179.29060010477443</v>
      </c>
      <c r="AD58" s="14">
        <f t="shared" si="13"/>
        <v>0.81890065167892379</v>
      </c>
      <c r="AE58" s="14">
        <f t="shared" si="14"/>
        <v>4.5218310240800612</v>
      </c>
      <c r="AF58" s="13" t="str">
        <f>IF(AD58&gt;=Assumptions!$B$3,"OK","Review")</f>
        <v>OK</v>
      </c>
      <c r="AG58" s="13">
        <f>IFERROR(IF(Assumptions!$B$13="Cost Price",AB58,AA58)*SUMIF(Assumptions!$A$6:$A$10,X58,Assumptions!$B$6:$B$10),0)</f>
        <v>17.515248008381956</v>
      </c>
      <c r="AH58" s="13">
        <f>IFERROR(IF(Assumptions!$B$13="Cost Price",AB58,AA58)*SUMIF(Assumptions!$A$6:$A$10,X58,Assumptions!$C$6:$C$10),0)</f>
        <v>10.947030005238723</v>
      </c>
      <c r="AI58" s="13">
        <f>IFERROR(IF(Assumptions!$B$13="Cost Price",AB58,AA58)*SUMIF(Assumptions!$A$6:$A$10,X58,Assumptions!$D$6:$D$10),0)</f>
        <v>21.894060010477446</v>
      </c>
      <c r="AJ58" s="13">
        <v>33.925077767942625</v>
      </c>
      <c r="AK58" s="13">
        <f t="shared" si="15"/>
        <v>84.281415792040747</v>
      </c>
      <c r="AL58" s="14">
        <v>0.33</v>
      </c>
      <c r="AM58" s="13">
        <f t="shared" si="16"/>
        <v>95.00918431273368</v>
      </c>
      <c r="AN58" s="14">
        <f t="shared" si="17"/>
        <v>0.4339495930278206</v>
      </c>
      <c r="AO58" t="str">
        <f>IF(AN58&gt;=Assumptions!$B$3,"OK","Review")</f>
        <v>OK</v>
      </c>
    </row>
    <row r="59" spans="1:41" ht="15" customHeight="1">
      <c r="A59" s="9" t="s">
        <v>70</v>
      </c>
      <c r="B59" s="9" t="s">
        <v>39</v>
      </c>
      <c r="C59" s="9" t="s">
        <v>105</v>
      </c>
      <c r="D59" s="9" t="s">
        <v>140</v>
      </c>
      <c r="E59" s="9" t="s">
        <v>73</v>
      </c>
      <c r="F59" s="9" t="s">
        <v>74</v>
      </c>
      <c r="G59" s="9" t="s">
        <v>24</v>
      </c>
      <c r="H59" s="9" t="s">
        <v>75</v>
      </c>
      <c r="I59" s="9">
        <v>4000011806</v>
      </c>
      <c r="J59" s="10">
        <v>19.510000000000002</v>
      </c>
      <c r="K59" s="10"/>
      <c r="L59" s="10">
        <f t="shared" si="0"/>
        <v>19.510000000000002</v>
      </c>
      <c r="M59" s="11">
        <v>0</v>
      </c>
      <c r="N59" s="10">
        <f t="shared" si="1"/>
        <v>0</v>
      </c>
      <c r="O59" s="10">
        <f t="shared" si="2"/>
        <v>19.510000000000002</v>
      </c>
      <c r="P59" s="11">
        <f t="shared" si="3"/>
        <v>3.5243961919901728E-2</v>
      </c>
      <c r="Q59" s="10">
        <f t="shared" si="4"/>
        <v>553.57000000000005</v>
      </c>
      <c r="R59" s="10">
        <f t="shared" si="5"/>
        <v>3056.72</v>
      </c>
      <c r="S59" s="10">
        <f t="shared" si="6"/>
        <v>107.730923279802</v>
      </c>
      <c r="T59" s="9" t="s">
        <v>76</v>
      </c>
      <c r="U59" s="10">
        <v>5599</v>
      </c>
      <c r="V59" s="10">
        <f t="shared" si="7"/>
        <v>3919.2999999999997</v>
      </c>
      <c r="W59" s="166">
        <v>490110</v>
      </c>
      <c r="X59" s="12" t="s">
        <v>25</v>
      </c>
      <c r="Y59" s="12">
        <f t="shared" si="8"/>
        <v>107.730923279802</v>
      </c>
      <c r="Z59" s="13">
        <f t="shared" si="9"/>
        <v>107.730923279802</v>
      </c>
      <c r="AA59" s="13">
        <f t="shared" si="10"/>
        <v>107.730923279802</v>
      </c>
      <c r="AB59" s="13">
        <f t="shared" si="11"/>
        <v>19.510000000000002</v>
      </c>
      <c r="AC59" s="13">
        <f t="shared" si="12"/>
        <v>88.220923279801994</v>
      </c>
      <c r="AD59" s="14">
        <f t="shared" si="13"/>
        <v>0.81890065167892379</v>
      </c>
      <c r="AE59" s="14">
        <f t="shared" si="14"/>
        <v>4.5218310240800612</v>
      </c>
      <c r="AF59" s="13" t="str">
        <f>IF(AD59&gt;=Assumptions!$B$3,"OK","Review")</f>
        <v>OK</v>
      </c>
      <c r="AG59" s="13">
        <f>IFERROR(IF(Assumptions!$B$13="Cost Price",AB59,AA59)*SUMIF(Assumptions!$A$6:$A$10,X59,Assumptions!$B$6:$B$10),0)</f>
        <v>8.6184738623841604</v>
      </c>
      <c r="AH59" s="13">
        <f>IFERROR(IF(Assumptions!$B$13="Cost Price",AB59,AA59)*SUMIF(Assumptions!$A$6:$A$10,X59,Assumptions!$C$6:$C$10),0)</f>
        <v>5.3865461639901007</v>
      </c>
      <c r="AI59" s="13">
        <f>IFERROR(IF(Assumptions!$B$13="Cost Price",AB59,AA59)*SUMIF(Assumptions!$A$6:$A$10,X59,Assumptions!$D$6:$D$10),0)</f>
        <v>10.773092327980201</v>
      </c>
      <c r="AJ59" s="13">
        <v>16.693020611666096</v>
      </c>
      <c r="AK59" s="13">
        <f t="shared" si="15"/>
        <v>41.471132966020562</v>
      </c>
      <c r="AL59" s="14">
        <v>0.33</v>
      </c>
      <c r="AM59" s="13">
        <f t="shared" si="16"/>
        <v>46.749790313781432</v>
      </c>
      <c r="AN59" s="14">
        <f t="shared" si="17"/>
        <v>0.43394959302782049</v>
      </c>
      <c r="AO59" t="str">
        <f>IF(AN59&gt;=Assumptions!$B$3,"OK","Review")</f>
        <v>OK</v>
      </c>
    </row>
    <row r="60" spans="1:41" ht="15" customHeight="1">
      <c r="A60" s="9" t="s">
        <v>70</v>
      </c>
      <c r="B60" s="9" t="s">
        <v>39</v>
      </c>
      <c r="C60" s="9" t="s">
        <v>71</v>
      </c>
      <c r="D60" s="9" t="s">
        <v>141</v>
      </c>
      <c r="E60" s="9" t="s">
        <v>73</v>
      </c>
      <c r="F60" s="9" t="s">
        <v>74</v>
      </c>
      <c r="G60" s="9" t="s">
        <v>24</v>
      </c>
      <c r="H60" s="9" t="s">
        <v>75</v>
      </c>
      <c r="I60" s="9">
        <v>4000011807</v>
      </c>
      <c r="J60" s="10">
        <v>48.5</v>
      </c>
      <c r="K60" s="10"/>
      <c r="L60" s="10">
        <f t="shared" si="0"/>
        <v>48.5</v>
      </c>
      <c r="M60" s="11">
        <v>0</v>
      </c>
      <c r="N60" s="10">
        <f t="shared" si="1"/>
        <v>0</v>
      </c>
      <c r="O60" s="10">
        <f t="shared" si="2"/>
        <v>48.5</v>
      </c>
      <c r="P60" s="11">
        <f t="shared" si="3"/>
        <v>8.7613129324204703E-2</v>
      </c>
      <c r="Q60" s="10">
        <f t="shared" si="4"/>
        <v>553.57000000000005</v>
      </c>
      <c r="R60" s="10">
        <f t="shared" si="5"/>
        <v>3056.72</v>
      </c>
      <c r="S60" s="10">
        <f t="shared" si="6"/>
        <v>267.80880466788301</v>
      </c>
      <c r="T60" s="9" t="s">
        <v>76</v>
      </c>
      <c r="U60" s="10">
        <v>5599</v>
      </c>
      <c r="V60" s="10">
        <f t="shared" si="7"/>
        <v>3919.2999999999997</v>
      </c>
      <c r="W60" s="166">
        <v>490110</v>
      </c>
      <c r="X60" s="12" t="s">
        <v>25</v>
      </c>
      <c r="Y60" s="12">
        <f t="shared" si="8"/>
        <v>267.80880466788301</v>
      </c>
      <c r="Z60" s="13">
        <f t="shared" si="9"/>
        <v>267.80880466788301</v>
      </c>
      <c r="AA60" s="13">
        <f t="shared" si="10"/>
        <v>267.80880466788301</v>
      </c>
      <c r="AB60" s="13">
        <f t="shared" si="11"/>
        <v>48.5</v>
      </c>
      <c r="AC60" s="13">
        <f t="shared" si="12"/>
        <v>219.30880466788301</v>
      </c>
      <c r="AD60" s="14">
        <f t="shared" si="13"/>
        <v>0.81890065167892379</v>
      </c>
      <c r="AE60" s="14">
        <f t="shared" si="14"/>
        <v>4.5218310240800621</v>
      </c>
      <c r="AF60" s="13" t="str">
        <f>IF(AD60&gt;=Assumptions!$B$3,"OK","Review")</f>
        <v>OK</v>
      </c>
      <c r="AG60" s="13">
        <f>IFERROR(IF(Assumptions!$B$13="Cost Price",AB60,AA60)*SUMIF(Assumptions!$A$6:$A$10,X60,Assumptions!$B$6:$B$10),0)</f>
        <v>21.424704373430639</v>
      </c>
      <c r="AH60" s="13">
        <f>IFERROR(IF(Assumptions!$B$13="Cost Price",AB60,AA60)*SUMIF(Assumptions!$A$6:$A$10,X60,Assumptions!$C$6:$C$10),0)</f>
        <v>13.390440233394152</v>
      </c>
      <c r="AI60" s="13">
        <f>IFERROR(IF(Assumptions!$B$13="Cost Price",AB60,AA60)*SUMIF(Assumptions!$A$6:$A$10,X60,Assumptions!$D$6:$D$10),0)</f>
        <v>26.780880466788304</v>
      </c>
      <c r="AJ60" s="13">
        <v>41.497257799374971</v>
      </c>
      <c r="AK60" s="13">
        <f t="shared" si="15"/>
        <v>103.09328287298806</v>
      </c>
      <c r="AL60" s="14">
        <v>0.33</v>
      </c>
      <c r="AM60" s="13">
        <f t="shared" si="16"/>
        <v>116.21552179489495</v>
      </c>
      <c r="AN60" s="14">
        <f t="shared" si="17"/>
        <v>0.43394959302782066</v>
      </c>
      <c r="AO60" t="str">
        <f>IF(AN60&gt;=Assumptions!$B$3,"OK","Review")</f>
        <v>OK</v>
      </c>
    </row>
    <row r="61" spans="1:41" ht="15" customHeight="1">
      <c r="A61" s="9" t="s">
        <v>70</v>
      </c>
      <c r="B61" s="9" t="s">
        <v>39</v>
      </c>
      <c r="C61" s="9" t="s">
        <v>71</v>
      </c>
      <c r="D61" s="9" t="s">
        <v>142</v>
      </c>
      <c r="E61" s="9" t="s">
        <v>73</v>
      </c>
      <c r="F61" s="9" t="s">
        <v>74</v>
      </c>
      <c r="G61" s="9" t="s">
        <v>24</v>
      </c>
      <c r="H61" s="9" t="s">
        <v>75</v>
      </c>
      <c r="I61" s="9">
        <v>4000011808</v>
      </c>
      <c r="J61" s="10">
        <v>23.91</v>
      </c>
      <c r="K61" s="10"/>
      <c r="L61" s="10">
        <f t="shared" si="0"/>
        <v>23.91</v>
      </c>
      <c r="M61" s="11">
        <v>0</v>
      </c>
      <c r="N61" s="10">
        <f t="shared" si="1"/>
        <v>0</v>
      </c>
      <c r="O61" s="10">
        <f t="shared" si="2"/>
        <v>23.91</v>
      </c>
      <c r="P61" s="11">
        <f t="shared" si="3"/>
        <v>4.3192369528695554E-2</v>
      </c>
      <c r="Q61" s="10">
        <f t="shared" si="4"/>
        <v>553.57000000000005</v>
      </c>
      <c r="R61" s="10">
        <f t="shared" si="5"/>
        <v>3056.72</v>
      </c>
      <c r="S61" s="10">
        <f t="shared" si="6"/>
        <v>132.02697978575426</v>
      </c>
      <c r="T61" s="9" t="s">
        <v>76</v>
      </c>
      <c r="U61" s="10">
        <v>5599</v>
      </c>
      <c r="V61" s="10">
        <f t="shared" si="7"/>
        <v>3919.2999999999997</v>
      </c>
      <c r="W61" s="166">
        <v>490110</v>
      </c>
      <c r="X61" s="12" t="s">
        <v>25</v>
      </c>
      <c r="Y61" s="12">
        <f t="shared" si="8"/>
        <v>132.02697978575426</v>
      </c>
      <c r="Z61" s="13">
        <f t="shared" si="9"/>
        <v>132.02697978575426</v>
      </c>
      <c r="AA61" s="13">
        <f t="shared" si="10"/>
        <v>132.02697978575426</v>
      </c>
      <c r="AB61" s="13">
        <f t="shared" si="11"/>
        <v>23.91</v>
      </c>
      <c r="AC61" s="13">
        <f t="shared" si="12"/>
        <v>108.11697978575427</v>
      </c>
      <c r="AD61" s="14">
        <f t="shared" si="13"/>
        <v>0.81890065167892379</v>
      </c>
      <c r="AE61" s="14">
        <f t="shared" si="14"/>
        <v>4.5218310240800612</v>
      </c>
      <c r="AF61" s="13" t="str">
        <f>IF(AD61&gt;=Assumptions!$B$3,"OK","Review")</f>
        <v>OK</v>
      </c>
      <c r="AG61" s="13">
        <f>IFERROR(IF(Assumptions!$B$13="Cost Price",AB61,AA61)*SUMIF(Assumptions!$A$6:$A$10,X61,Assumptions!$B$6:$B$10),0)</f>
        <v>10.562158382860341</v>
      </c>
      <c r="AH61" s="13">
        <f>IFERROR(IF(Assumptions!$B$13="Cost Price",AB61,AA61)*SUMIF(Assumptions!$A$6:$A$10,X61,Assumptions!$C$6:$C$10),0)</f>
        <v>6.6013489892877137</v>
      </c>
      <c r="AI61" s="13">
        <f>IFERROR(IF(Assumptions!$B$13="Cost Price",AB61,AA61)*SUMIF(Assumptions!$A$6:$A$10,X61,Assumptions!$D$6:$D$10),0)</f>
        <v>13.202697978575427</v>
      </c>
      <c r="AJ61" s="13">
        <v>20.457720288310423</v>
      </c>
      <c r="AK61" s="13">
        <f t="shared" si="15"/>
        <v>50.823925639033902</v>
      </c>
      <c r="AL61" s="14">
        <v>0.33</v>
      </c>
      <c r="AM61" s="13">
        <f t="shared" si="16"/>
        <v>57.293054146720365</v>
      </c>
      <c r="AN61" s="14">
        <f t="shared" si="17"/>
        <v>0.43394959302782066</v>
      </c>
      <c r="AO61" t="str">
        <f>IF(AN61&gt;=Assumptions!$B$3,"OK","Review")</f>
        <v>OK</v>
      </c>
    </row>
    <row r="62" spans="1:41" ht="15" customHeight="1">
      <c r="A62" s="9" t="s">
        <v>70</v>
      </c>
      <c r="B62" s="9" t="s">
        <v>39</v>
      </c>
      <c r="C62" s="9" t="s">
        <v>78</v>
      </c>
      <c r="D62" s="9" t="s">
        <v>143</v>
      </c>
      <c r="E62" s="9" t="s">
        <v>73</v>
      </c>
      <c r="F62" s="9" t="s">
        <v>74</v>
      </c>
      <c r="G62" s="9" t="s">
        <v>24</v>
      </c>
      <c r="H62" s="9" t="s">
        <v>75</v>
      </c>
      <c r="I62" s="9">
        <v>4000011810</v>
      </c>
      <c r="J62" s="10">
        <v>40.619999999999997</v>
      </c>
      <c r="K62" s="10"/>
      <c r="L62" s="10">
        <f t="shared" si="0"/>
        <v>40.619999999999997</v>
      </c>
      <c r="M62" s="11">
        <v>0</v>
      </c>
      <c r="N62" s="10">
        <f t="shared" si="1"/>
        <v>0</v>
      </c>
      <c r="O62" s="10">
        <f t="shared" si="2"/>
        <v>40.619999999999997</v>
      </c>
      <c r="P62" s="11">
        <f t="shared" si="3"/>
        <v>7.3378253879364835E-2</v>
      </c>
      <c r="Q62" s="10">
        <f t="shared" si="4"/>
        <v>553.57000000000005</v>
      </c>
      <c r="R62" s="10">
        <f t="shared" si="5"/>
        <v>3056.72</v>
      </c>
      <c r="S62" s="10">
        <f t="shared" si="6"/>
        <v>224.29677619813205</v>
      </c>
      <c r="T62" s="9" t="s">
        <v>76</v>
      </c>
      <c r="U62" s="10">
        <v>5599</v>
      </c>
      <c r="V62" s="10">
        <f t="shared" si="7"/>
        <v>3919.2999999999997</v>
      </c>
      <c r="W62" s="166">
        <v>490110</v>
      </c>
      <c r="X62" s="12" t="s">
        <v>25</v>
      </c>
      <c r="Y62" s="12">
        <f t="shared" si="8"/>
        <v>224.29677619813205</v>
      </c>
      <c r="Z62" s="13">
        <f t="shared" si="9"/>
        <v>224.29677619813205</v>
      </c>
      <c r="AA62" s="13">
        <f t="shared" si="10"/>
        <v>224.29677619813205</v>
      </c>
      <c r="AB62" s="13">
        <f t="shared" si="11"/>
        <v>40.619999999999997</v>
      </c>
      <c r="AC62" s="13">
        <f t="shared" si="12"/>
        <v>183.67677619813205</v>
      </c>
      <c r="AD62" s="14">
        <f t="shared" si="13"/>
        <v>0.81890065167892379</v>
      </c>
      <c r="AE62" s="14">
        <f t="shared" si="14"/>
        <v>4.5218310240800603</v>
      </c>
      <c r="AF62" s="13" t="str">
        <f>IF(AD62&gt;=Assumptions!$B$3,"OK","Review")</f>
        <v>OK</v>
      </c>
      <c r="AG62" s="13">
        <f>IFERROR(IF(Assumptions!$B$13="Cost Price",AB62,AA62)*SUMIF(Assumptions!$A$6:$A$10,X62,Assumptions!$B$6:$B$10),0)</f>
        <v>17.943742095850563</v>
      </c>
      <c r="AH62" s="13">
        <f>IFERROR(IF(Assumptions!$B$13="Cost Price",AB62,AA62)*SUMIF(Assumptions!$A$6:$A$10,X62,Assumptions!$C$6:$C$10),0)</f>
        <v>11.214838809906603</v>
      </c>
      <c r="AI62" s="13">
        <f>IFERROR(IF(Assumptions!$B$13="Cost Price",AB62,AA62)*SUMIF(Assumptions!$A$6:$A$10,X62,Assumptions!$D$6:$D$10),0)</f>
        <v>22.429677619813205</v>
      </c>
      <c r="AJ62" s="13">
        <v>34.75502292393012</v>
      </c>
      <c r="AK62" s="13">
        <f t="shared" si="15"/>
        <v>86.343281449500495</v>
      </c>
      <c r="AL62" s="14">
        <v>0.33</v>
      </c>
      <c r="AM62" s="13">
        <f t="shared" si="16"/>
        <v>97.333494748631551</v>
      </c>
      <c r="AN62" s="14">
        <f t="shared" si="17"/>
        <v>0.43394959302782055</v>
      </c>
      <c r="AO62" t="str">
        <f>IF(AN62&gt;=Assumptions!$B$3,"OK","Review")</f>
        <v>OK</v>
      </c>
    </row>
    <row r="63" spans="1:41" ht="15" customHeight="1">
      <c r="A63" s="9" t="s">
        <v>70</v>
      </c>
      <c r="B63" s="9" t="s">
        <v>39</v>
      </c>
      <c r="C63" s="9" t="s">
        <v>78</v>
      </c>
      <c r="D63" s="9" t="s">
        <v>144</v>
      </c>
      <c r="E63" s="9" t="s">
        <v>73</v>
      </c>
      <c r="F63" s="9" t="s">
        <v>81</v>
      </c>
      <c r="G63" s="9" t="s">
        <v>24</v>
      </c>
      <c r="H63" s="9" t="s">
        <v>75</v>
      </c>
      <c r="I63" s="9">
        <v>4000011809</v>
      </c>
      <c r="J63" s="10">
        <v>55.07</v>
      </c>
      <c r="K63" s="10"/>
      <c r="L63" s="10">
        <f t="shared" si="0"/>
        <v>55.07</v>
      </c>
      <c r="M63" s="11">
        <v>0</v>
      </c>
      <c r="N63" s="10">
        <f t="shared" si="1"/>
        <v>0</v>
      </c>
      <c r="O63" s="10">
        <f t="shared" si="2"/>
        <v>55.07</v>
      </c>
      <c r="P63" s="11">
        <f t="shared" si="3"/>
        <v>9.9481547049153671E-2</v>
      </c>
      <c r="Q63" s="10">
        <f t="shared" si="4"/>
        <v>553.57000000000005</v>
      </c>
      <c r="R63" s="10">
        <f t="shared" si="5"/>
        <v>3056.72</v>
      </c>
      <c r="S63" s="10">
        <f t="shared" si="6"/>
        <v>304.08723449608897</v>
      </c>
      <c r="T63" s="9" t="s">
        <v>76</v>
      </c>
      <c r="U63" s="10">
        <v>5599</v>
      </c>
      <c r="V63" s="10">
        <f t="shared" si="7"/>
        <v>3919.2999999999997</v>
      </c>
      <c r="W63" s="166">
        <v>490110</v>
      </c>
      <c r="X63" s="12" t="s">
        <v>25</v>
      </c>
      <c r="Y63" s="12">
        <f t="shared" si="8"/>
        <v>304.08723449608897</v>
      </c>
      <c r="Z63" s="13">
        <f t="shared" si="9"/>
        <v>304.08723449608897</v>
      </c>
      <c r="AA63" s="13">
        <f t="shared" si="10"/>
        <v>304.08723449608897</v>
      </c>
      <c r="AB63" s="13">
        <f t="shared" si="11"/>
        <v>55.07</v>
      </c>
      <c r="AC63" s="13">
        <f t="shared" si="12"/>
        <v>249.01723449608897</v>
      </c>
      <c r="AD63" s="14">
        <f t="shared" si="13"/>
        <v>0.81890065167892379</v>
      </c>
      <c r="AE63" s="14">
        <f t="shared" si="14"/>
        <v>4.5218310240800612</v>
      </c>
      <c r="AF63" s="13" t="str">
        <f>IF(AD63&gt;=Assumptions!$B$3,"OK","Review")</f>
        <v>OK</v>
      </c>
      <c r="AG63" s="13">
        <f>IFERROR(IF(Assumptions!$B$13="Cost Price",AB63,AA63)*SUMIF(Assumptions!$A$6:$A$10,X63,Assumptions!$B$6:$B$10),0)</f>
        <v>24.326978759687119</v>
      </c>
      <c r="AH63" s="13">
        <f>IFERROR(IF(Assumptions!$B$13="Cost Price",AB63,AA63)*SUMIF(Assumptions!$A$6:$A$10,X63,Assumptions!$C$6:$C$10),0)</f>
        <v>15.20436172480445</v>
      </c>
      <c r="AI63" s="13">
        <f>IFERROR(IF(Assumptions!$B$13="Cost Price",AB63,AA63)*SUMIF(Assumptions!$A$6:$A$10,X63,Assumptions!$D$6:$D$10),0)</f>
        <v>30.4087234496089</v>
      </c>
      <c r="AJ63" s="13">
        <v>47.118638907455249</v>
      </c>
      <c r="AK63" s="13">
        <f t="shared" si="15"/>
        <v>117.05870284155571</v>
      </c>
      <c r="AL63" s="14">
        <v>0.33</v>
      </c>
      <c r="AM63" s="13">
        <f t="shared" si="16"/>
        <v>131.95853165453326</v>
      </c>
      <c r="AN63" s="14">
        <f t="shared" si="17"/>
        <v>0.4339495930278206</v>
      </c>
      <c r="AO63" t="str">
        <f>IF(AN63&gt;=Assumptions!$B$3,"OK","Review")</f>
        <v>OK</v>
      </c>
    </row>
    <row r="64" spans="1:41" ht="15" customHeight="1">
      <c r="A64" s="9" t="s">
        <v>70</v>
      </c>
      <c r="B64" s="9" t="s">
        <v>39</v>
      </c>
      <c r="C64" s="9" t="s">
        <v>78</v>
      </c>
      <c r="D64" s="9" t="s">
        <v>145</v>
      </c>
      <c r="E64" s="9" t="s">
        <v>73</v>
      </c>
      <c r="F64" s="9" t="s">
        <v>81</v>
      </c>
      <c r="G64" s="9" t="s">
        <v>24</v>
      </c>
      <c r="H64" s="9" t="s">
        <v>75</v>
      </c>
      <c r="I64" s="9">
        <v>4000011811</v>
      </c>
      <c r="J64" s="10">
        <v>19.510000000000002</v>
      </c>
      <c r="K64" s="10"/>
      <c r="L64" s="10">
        <f t="shared" si="0"/>
        <v>19.510000000000002</v>
      </c>
      <c r="M64" s="11">
        <v>0</v>
      </c>
      <c r="N64" s="10">
        <f t="shared" si="1"/>
        <v>0</v>
      </c>
      <c r="O64" s="10">
        <f t="shared" si="2"/>
        <v>19.510000000000002</v>
      </c>
      <c r="P64" s="11">
        <f t="shared" si="3"/>
        <v>3.5243961919901728E-2</v>
      </c>
      <c r="Q64" s="10">
        <f t="shared" si="4"/>
        <v>553.57000000000005</v>
      </c>
      <c r="R64" s="10">
        <f t="shared" si="5"/>
        <v>3056.72</v>
      </c>
      <c r="S64" s="10">
        <f t="shared" si="6"/>
        <v>107.730923279802</v>
      </c>
      <c r="T64" s="9" t="s">
        <v>76</v>
      </c>
      <c r="U64" s="10">
        <v>5599</v>
      </c>
      <c r="V64" s="10">
        <f t="shared" si="7"/>
        <v>3919.2999999999997</v>
      </c>
      <c r="W64" s="166">
        <v>490110</v>
      </c>
      <c r="X64" s="12" t="s">
        <v>25</v>
      </c>
      <c r="Y64" s="12">
        <f t="shared" si="8"/>
        <v>107.730923279802</v>
      </c>
      <c r="Z64" s="13">
        <f t="shared" si="9"/>
        <v>107.730923279802</v>
      </c>
      <c r="AA64" s="13">
        <f t="shared" si="10"/>
        <v>107.730923279802</v>
      </c>
      <c r="AB64" s="13">
        <f t="shared" si="11"/>
        <v>19.510000000000002</v>
      </c>
      <c r="AC64" s="13">
        <f t="shared" si="12"/>
        <v>88.220923279801994</v>
      </c>
      <c r="AD64" s="14">
        <f t="shared" si="13"/>
        <v>0.81890065167892379</v>
      </c>
      <c r="AE64" s="14">
        <f t="shared" si="14"/>
        <v>4.5218310240800612</v>
      </c>
      <c r="AF64" s="13" t="str">
        <f>IF(AD64&gt;=Assumptions!$B$3,"OK","Review")</f>
        <v>OK</v>
      </c>
      <c r="AG64" s="13">
        <f>IFERROR(IF(Assumptions!$B$13="Cost Price",AB64,AA64)*SUMIF(Assumptions!$A$6:$A$10,X64,Assumptions!$B$6:$B$10),0)</f>
        <v>8.6184738623841604</v>
      </c>
      <c r="AH64" s="13">
        <f>IFERROR(IF(Assumptions!$B$13="Cost Price",AB64,AA64)*SUMIF(Assumptions!$A$6:$A$10,X64,Assumptions!$C$6:$C$10),0)</f>
        <v>5.3865461639901007</v>
      </c>
      <c r="AI64" s="13">
        <f>IFERROR(IF(Assumptions!$B$13="Cost Price",AB64,AA64)*SUMIF(Assumptions!$A$6:$A$10,X64,Assumptions!$D$6:$D$10),0)</f>
        <v>10.773092327980201</v>
      </c>
      <c r="AJ64" s="13">
        <v>16.693020611666096</v>
      </c>
      <c r="AK64" s="13">
        <f t="shared" si="15"/>
        <v>41.471132966020562</v>
      </c>
      <c r="AL64" s="14">
        <v>0.33</v>
      </c>
      <c r="AM64" s="13">
        <f t="shared" si="16"/>
        <v>46.749790313781432</v>
      </c>
      <c r="AN64" s="14">
        <f t="shared" si="17"/>
        <v>0.43394959302782049</v>
      </c>
      <c r="AO64" t="str">
        <f>IF(AN64&gt;=Assumptions!$B$3,"OK","Review")</f>
        <v>OK</v>
      </c>
    </row>
    <row r="65" spans="1:41" ht="15" customHeight="1">
      <c r="A65" s="9" t="s">
        <v>70</v>
      </c>
      <c r="B65" s="9" t="s">
        <v>39</v>
      </c>
      <c r="C65" s="9" t="s">
        <v>113</v>
      </c>
      <c r="D65" s="9" t="s">
        <v>146</v>
      </c>
      <c r="E65" s="9" t="s">
        <v>73</v>
      </c>
      <c r="F65" s="9" t="s">
        <v>81</v>
      </c>
      <c r="G65" s="9" t="s">
        <v>24</v>
      </c>
      <c r="H65" s="9" t="s">
        <v>75</v>
      </c>
      <c r="I65" s="9">
        <v>4000011812</v>
      </c>
      <c r="J65" s="10">
        <v>39.94</v>
      </c>
      <c r="K65" s="10"/>
      <c r="L65" s="10">
        <f t="shared" si="0"/>
        <v>39.94</v>
      </c>
      <c r="M65" s="11">
        <v>0</v>
      </c>
      <c r="N65" s="10">
        <f t="shared" si="1"/>
        <v>0</v>
      </c>
      <c r="O65" s="10">
        <f t="shared" si="2"/>
        <v>39.94</v>
      </c>
      <c r="P65" s="11">
        <f t="shared" si="3"/>
        <v>7.2149863612551254E-2</v>
      </c>
      <c r="Q65" s="10">
        <f t="shared" si="4"/>
        <v>553.57000000000005</v>
      </c>
      <c r="R65" s="10">
        <f t="shared" si="5"/>
        <v>3056.72</v>
      </c>
      <c r="S65" s="10">
        <f t="shared" si="6"/>
        <v>220.54193110175765</v>
      </c>
      <c r="T65" s="9" t="s">
        <v>76</v>
      </c>
      <c r="U65" s="10">
        <v>5599</v>
      </c>
      <c r="V65" s="10">
        <f t="shared" si="7"/>
        <v>3919.2999999999997</v>
      </c>
      <c r="W65" s="166">
        <v>490110</v>
      </c>
      <c r="X65" s="12" t="s">
        <v>25</v>
      </c>
      <c r="Y65" s="12">
        <f t="shared" si="8"/>
        <v>220.54193110175765</v>
      </c>
      <c r="Z65" s="13">
        <f t="shared" si="9"/>
        <v>220.54193110175765</v>
      </c>
      <c r="AA65" s="13">
        <f t="shared" si="10"/>
        <v>220.54193110175765</v>
      </c>
      <c r="AB65" s="13">
        <f t="shared" si="11"/>
        <v>39.94</v>
      </c>
      <c r="AC65" s="13">
        <f t="shared" si="12"/>
        <v>180.60193110175766</v>
      </c>
      <c r="AD65" s="14">
        <f t="shared" si="13"/>
        <v>0.81890065167892379</v>
      </c>
      <c r="AE65" s="14">
        <f t="shared" si="14"/>
        <v>4.5218310240800621</v>
      </c>
      <c r="AF65" s="13" t="str">
        <f>IF(AD65&gt;=Assumptions!$B$3,"OK","Review")</f>
        <v>OK</v>
      </c>
      <c r="AG65" s="13">
        <f>IFERROR(IF(Assumptions!$B$13="Cost Price",AB65,AA65)*SUMIF(Assumptions!$A$6:$A$10,X65,Assumptions!$B$6:$B$10),0)</f>
        <v>17.643354488140613</v>
      </c>
      <c r="AH65" s="13">
        <f>IFERROR(IF(Assumptions!$B$13="Cost Price",AB65,AA65)*SUMIF(Assumptions!$A$6:$A$10,X65,Assumptions!$C$6:$C$10),0)</f>
        <v>11.027096555087883</v>
      </c>
      <c r="AI65" s="13">
        <f>IFERROR(IF(Assumptions!$B$13="Cost Price",AB65,AA65)*SUMIF(Assumptions!$A$6:$A$10,X65,Assumptions!$D$6:$D$10),0)</f>
        <v>22.054193110175767</v>
      </c>
      <c r="AJ65" s="13">
        <v>34.173205701176002</v>
      </c>
      <c r="AK65" s="13">
        <f t="shared" si="15"/>
        <v>84.897849854580272</v>
      </c>
      <c r="AL65" s="14">
        <v>0.33</v>
      </c>
      <c r="AM65" s="13">
        <f t="shared" si="16"/>
        <v>95.704081247177385</v>
      </c>
      <c r="AN65" s="14">
        <f t="shared" si="17"/>
        <v>0.4339495930278206</v>
      </c>
      <c r="AO65" t="str">
        <f>IF(AN65&gt;=Assumptions!$B$3,"OK","Review")</f>
        <v>OK</v>
      </c>
    </row>
    <row r="66" spans="1:41" ht="15" customHeight="1">
      <c r="A66" s="9" t="s">
        <v>70</v>
      </c>
      <c r="B66" s="9" t="s">
        <v>39</v>
      </c>
      <c r="C66" s="9" t="s">
        <v>105</v>
      </c>
      <c r="D66" s="9" t="s">
        <v>147</v>
      </c>
      <c r="E66" s="9" t="s">
        <v>73</v>
      </c>
      <c r="F66" s="9" t="s">
        <v>74</v>
      </c>
      <c r="G66" s="9" t="s">
        <v>24</v>
      </c>
      <c r="H66" s="9" t="s">
        <v>84</v>
      </c>
      <c r="I66" s="9">
        <v>4000011813</v>
      </c>
      <c r="J66" s="10">
        <v>41.81</v>
      </c>
      <c r="K66" s="10"/>
      <c r="L66" s="10">
        <f t="shared" ref="L66:L129" si="18">J66+K66</f>
        <v>41.81</v>
      </c>
      <c r="M66" s="11">
        <v>0</v>
      </c>
      <c r="N66" s="10">
        <f t="shared" ref="N66:N129" si="19">M66*L66</f>
        <v>0</v>
      </c>
      <c r="O66" s="10">
        <f t="shared" ref="O66:O129" si="20">L66+N66</f>
        <v>41.81</v>
      </c>
      <c r="P66" s="11">
        <f t="shared" ref="P66:P129" si="21">IFERROR(O66/Q66,"")</f>
        <v>7.5527936846288626E-2</v>
      </c>
      <c r="Q66" s="10">
        <f t="shared" ref="Q66:Q129" si="22">SUMIFS(O:O,T:T,T66,B:B,B66,A:A,A66,G:G,G66,E:E,E66)</f>
        <v>553.57000000000005</v>
      </c>
      <c r="R66" s="10">
        <f t="shared" ref="R66:R129" si="23">V66-SUMIFS(Q:Q,A:A,A66,B:B,B66,G:G,G66,E:E,E66,T:T,"Fixed Price ( Base Price with GST)")</f>
        <v>3056.72</v>
      </c>
      <c r="S66" s="10">
        <f t="shared" ref="S66:S129" si="24">IF(T66="Fixed Price ( Base Price with GST)",O66,P66*R66)</f>
        <v>230.86775511678735</v>
      </c>
      <c r="T66" s="9" t="s">
        <v>76</v>
      </c>
      <c r="U66" s="10">
        <v>5599</v>
      </c>
      <c r="V66" s="10">
        <f t="shared" ref="V66:V129" si="25">IFERROR(U66*(1-30%),0)</f>
        <v>3919.2999999999997</v>
      </c>
      <c r="W66" s="166">
        <v>490110</v>
      </c>
      <c r="X66" s="12" t="s">
        <v>25</v>
      </c>
      <c r="Y66" s="12">
        <f t="shared" ref="Y66:Y129" si="26">IFERROR(S66,0)</f>
        <v>230.86775511678735</v>
      </c>
      <c r="Z66" s="13">
        <f t="shared" ref="Z66:Z129" si="27">IF(ISNUMBER(S66),S66,0)</f>
        <v>230.86775511678735</v>
      </c>
      <c r="AA66" s="13">
        <f t="shared" ref="AA66:AA129" si="28">IFERROR(Z66/(1+M66),Z66)</f>
        <v>230.86775511678735</v>
      </c>
      <c r="AB66" s="13">
        <f t="shared" ref="AB66:AB129" si="29">IF(ISNUMBER(J66),J66,0)</f>
        <v>41.81</v>
      </c>
      <c r="AC66" s="13">
        <f t="shared" ref="AC66:AC129" si="30">AA66-AB66</f>
        <v>189.05775511678735</v>
      </c>
      <c r="AD66" s="14">
        <f t="shared" ref="AD66:AD129" si="31">IFERROR(AC66/AA66,0)</f>
        <v>0.81890065167892379</v>
      </c>
      <c r="AE66" s="14">
        <f t="shared" ref="AE66:AE129" si="32">IFERROR(AC66/AB66,0)</f>
        <v>4.5218310240800603</v>
      </c>
      <c r="AF66" s="13" t="str">
        <f>IF(AD66&gt;=Assumptions!$B$3,"OK","Review")</f>
        <v>OK</v>
      </c>
      <c r="AG66" s="13">
        <f>IFERROR(IF(Assumptions!$B$13="Cost Price",AB66,AA66)*SUMIF(Assumptions!$A$6:$A$10,X66,Assumptions!$B$6:$B$10),0)</f>
        <v>18.469420409342987</v>
      </c>
      <c r="AH66" s="13">
        <f>IFERROR(IF(Assumptions!$B$13="Cost Price",AB66,AA66)*SUMIF(Assumptions!$A$6:$A$10,X66,Assumptions!$C$6:$C$10),0)</f>
        <v>11.543387755839369</v>
      </c>
      <c r="AI66" s="13">
        <f>IFERROR(IF(Assumptions!$B$13="Cost Price",AB66,AA66)*SUMIF(Assumptions!$A$6:$A$10,X66,Assumptions!$D$6:$D$10),0)</f>
        <v>23.086775511678738</v>
      </c>
      <c r="AJ66" s="13">
        <v>23.086775511678738</v>
      </c>
      <c r="AK66" s="13">
        <f t="shared" ref="AK66:AK129" si="33">SUM(AG66:AJ66)</f>
        <v>76.186359188539825</v>
      </c>
      <c r="AL66" s="14">
        <v>0.33</v>
      </c>
      <c r="AM66" s="13">
        <f t="shared" ref="AM66:AM129" si="34">AC66-AK66</f>
        <v>112.87139592824752</v>
      </c>
      <c r="AN66" s="14">
        <f t="shared" ref="AN66:AN129" si="35">IFERROR(AM66/AA66,0)</f>
        <v>0.48890065167892377</v>
      </c>
      <c r="AO66" t="str">
        <f>IF(AN66&gt;=Assumptions!$B$3,"OK","Review")</f>
        <v>OK</v>
      </c>
    </row>
    <row r="67" spans="1:41" ht="15" customHeight="1">
      <c r="A67" s="9" t="s">
        <v>70</v>
      </c>
      <c r="B67" s="9" t="s">
        <v>39</v>
      </c>
      <c r="C67" s="9" t="s">
        <v>105</v>
      </c>
      <c r="D67" s="9" t="s">
        <v>148</v>
      </c>
      <c r="E67" s="9" t="s">
        <v>73</v>
      </c>
      <c r="F67" s="9" t="s">
        <v>74</v>
      </c>
      <c r="G67" s="9" t="s">
        <v>24</v>
      </c>
      <c r="H67" s="9" t="s">
        <v>84</v>
      </c>
      <c r="I67" s="9">
        <v>4000011814</v>
      </c>
      <c r="J67" s="10">
        <v>17.95</v>
      </c>
      <c r="K67" s="10"/>
      <c r="L67" s="10">
        <f t="shared" si="18"/>
        <v>17.95</v>
      </c>
      <c r="M67" s="11">
        <v>0</v>
      </c>
      <c r="N67" s="10">
        <f t="shared" si="19"/>
        <v>0</v>
      </c>
      <c r="O67" s="10">
        <f t="shared" si="20"/>
        <v>17.95</v>
      </c>
      <c r="P67" s="11">
        <f t="shared" si="21"/>
        <v>3.242589013132937E-2</v>
      </c>
      <c r="Q67" s="10">
        <f t="shared" si="22"/>
        <v>553.57000000000005</v>
      </c>
      <c r="R67" s="10">
        <f t="shared" si="23"/>
        <v>3056.72</v>
      </c>
      <c r="S67" s="10">
        <f t="shared" si="24"/>
        <v>99.116866882237105</v>
      </c>
      <c r="T67" s="9" t="s">
        <v>76</v>
      </c>
      <c r="U67" s="10">
        <v>5599</v>
      </c>
      <c r="V67" s="10">
        <f t="shared" si="25"/>
        <v>3919.2999999999997</v>
      </c>
      <c r="W67" s="166">
        <v>490110</v>
      </c>
      <c r="X67" s="12" t="s">
        <v>25</v>
      </c>
      <c r="Y67" s="12">
        <f t="shared" si="26"/>
        <v>99.116866882237105</v>
      </c>
      <c r="Z67" s="13">
        <f t="shared" si="27"/>
        <v>99.116866882237105</v>
      </c>
      <c r="AA67" s="13">
        <f t="shared" si="28"/>
        <v>99.116866882237105</v>
      </c>
      <c r="AB67" s="13">
        <f t="shared" si="29"/>
        <v>17.95</v>
      </c>
      <c r="AC67" s="13">
        <f t="shared" si="30"/>
        <v>81.166866882237102</v>
      </c>
      <c r="AD67" s="14">
        <f t="shared" si="31"/>
        <v>0.81890065167892379</v>
      </c>
      <c r="AE67" s="14">
        <f t="shared" si="32"/>
        <v>4.5218310240800612</v>
      </c>
      <c r="AF67" s="13" t="str">
        <f>IF(AD67&gt;=Assumptions!$B$3,"OK","Review")</f>
        <v>OK</v>
      </c>
      <c r="AG67" s="13">
        <f>IFERROR(IF(Assumptions!$B$13="Cost Price",AB67,AA67)*SUMIF(Assumptions!$A$6:$A$10,X67,Assumptions!$B$6:$B$10),0)</f>
        <v>7.9293493505789687</v>
      </c>
      <c r="AH67" s="13">
        <f>IFERROR(IF(Assumptions!$B$13="Cost Price",AB67,AA67)*SUMIF(Assumptions!$A$6:$A$10,X67,Assumptions!$C$6:$C$10),0)</f>
        <v>4.9558433441118552</v>
      </c>
      <c r="AI67" s="13">
        <f>IFERROR(IF(Assumptions!$B$13="Cost Price",AB67,AA67)*SUMIF(Assumptions!$A$6:$A$10,X67,Assumptions!$D$6:$D$10),0)</f>
        <v>9.9116866882237105</v>
      </c>
      <c r="AJ67" s="13">
        <v>15.358263453583106</v>
      </c>
      <c r="AK67" s="13">
        <f t="shared" si="33"/>
        <v>38.155142836497639</v>
      </c>
      <c r="AL67" s="14">
        <v>0.33</v>
      </c>
      <c r="AM67" s="13">
        <f t="shared" si="34"/>
        <v>43.011724045739463</v>
      </c>
      <c r="AN67" s="14">
        <f t="shared" si="35"/>
        <v>0.4339495930278206</v>
      </c>
      <c r="AO67" t="str">
        <f>IF(AN67&gt;=Assumptions!$B$3,"OK","Review")</f>
        <v>OK</v>
      </c>
    </row>
    <row r="68" spans="1:41" ht="15" customHeight="1">
      <c r="A68" s="9" t="s">
        <v>70</v>
      </c>
      <c r="B68" s="9" t="s">
        <v>39</v>
      </c>
      <c r="C68" s="9" t="s">
        <v>71</v>
      </c>
      <c r="D68" s="9" t="s">
        <v>149</v>
      </c>
      <c r="E68" s="9" t="s">
        <v>73</v>
      </c>
      <c r="F68" s="9" t="s">
        <v>74</v>
      </c>
      <c r="G68" s="9" t="s">
        <v>24</v>
      </c>
      <c r="H68" s="9" t="s">
        <v>84</v>
      </c>
      <c r="I68" s="9">
        <v>4000011815</v>
      </c>
      <c r="J68" s="10">
        <v>46.24</v>
      </c>
      <c r="K68" s="10"/>
      <c r="L68" s="10">
        <f t="shared" si="18"/>
        <v>46.24</v>
      </c>
      <c r="M68" s="11">
        <v>0</v>
      </c>
      <c r="N68" s="10">
        <f t="shared" si="19"/>
        <v>0</v>
      </c>
      <c r="O68" s="10">
        <f t="shared" si="20"/>
        <v>46.24</v>
      </c>
      <c r="P68" s="11">
        <f t="shared" si="21"/>
        <v>8.3530538143324243E-2</v>
      </c>
      <c r="Q68" s="10">
        <f t="shared" si="22"/>
        <v>553.57000000000005</v>
      </c>
      <c r="R68" s="10">
        <f t="shared" si="23"/>
        <v>3056.72</v>
      </c>
      <c r="S68" s="10">
        <f t="shared" si="24"/>
        <v>255.32946655346205</v>
      </c>
      <c r="T68" s="9" t="s">
        <v>76</v>
      </c>
      <c r="U68" s="10">
        <v>5599</v>
      </c>
      <c r="V68" s="10">
        <f t="shared" si="25"/>
        <v>3919.2999999999997</v>
      </c>
      <c r="W68" s="166">
        <v>490110</v>
      </c>
      <c r="X68" s="12" t="s">
        <v>25</v>
      </c>
      <c r="Y68" s="12">
        <f t="shared" si="26"/>
        <v>255.32946655346205</v>
      </c>
      <c r="Z68" s="13">
        <f t="shared" si="27"/>
        <v>255.32946655346205</v>
      </c>
      <c r="AA68" s="13">
        <f t="shared" si="28"/>
        <v>255.32946655346205</v>
      </c>
      <c r="AB68" s="13">
        <f t="shared" si="29"/>
        <v>46.24</v>
      </c>
      <c r="AC68" s="13">
        <f t="shared" si="30"/>
        <v>209.08946655346205</v>
      </c>
      <c r="AD68" s="14">
        <f t="shared" si="31"/>
        <v>0.81890065167892379</v>
      </c>
      <c r="AE68" s="14">
        <f t="shared" si="32"/>
        <v>4.5218310240800612</v>
      </c>
      <c r="AF68" s="13" t="str">
        <f>IF(AD68&gt;=Assumptions!$B$3,"OK","Review")</f>
        <v>OK</v>
      </c>
      <c r="AG68" s="13">
        <f>IFERROR(IF(Assumptions!$B$13="Cost Price",AB68,AA68)*SUMIF(Assumptions!$A$6:$A$10,X68,Assumptions!$B$6:$B$10),0)</f>
        <v>20.426357324276964</v>
      </c>
      <c r="AH68" s="13">
        <f>IFERROR(IF(Assumptions!$B$13="Cost Price",AB68,AA68)*SUMIF(Assumptions!$A$6:$A$10,X68,Assumptions!$C$6:$C$10),0)</f>
        <v>12.766473327673104</v>
      </c>
      <c r="AI68" s="13">
        <f>IFERROR(IF(Assumptions!$B$13="Cost Price",AB68,AA68)*SUMIF(Assumptions!$A$6:$A$10,X68,Assumptions!$D$6:$D$10),0)</f>
        <v>25.532946655346208</v>
      </c>
      <c r="AJ68" s="13">
        <v>39.563571147280385</v>
      </c>
      <c r="AK68" s="13">
        <f t="shared" si="33"/>
        <v>98.289348454576668</v>
      </c>
      <c r="AL68" s="14">
        <v>0.33</v>
      </c>
      <c r="AM68" s="13">
        <f t="shared" si="34"/>
        <v>110.80011809888538</v>
      </c>
      <c r="AN68" s="14">
        <f t="shared" si="35"/>
        <v>0.43394959302782055</v>
      </c>
      <c r="AO68" t="str">
        <f>IF(AN68&gt;=Assumptions!$B$3,"OK","Review")</f>
        <v>OK</v>
      </c>
    </row>
    <row r="69" spans="1:41" ht="15" customHeight="1">
      <c r="A69" s="9" t="s">
        <v>70</v>
      </c>
      <c r="B69" s="9" t="s">
        <v>39</v>
      </c>
      <c r="C69" s="9" t="s">
        <v>71</v>
      </c>
      <c r="D69" s="9" t="s">
        <v>150</v>
      </c>
      <c r="E69" s="9" t="s">
        <v>73</v>
      </c>
      <c r="F69" s="9" t="s">
        <v>74</v>
      </c>
      <c r="G69" s="9" t="s">
        <v>24</v>
      </c>
      <c r="H69" s="9" t="s">
        <v>84</v>
      </c>
      <c r="I69" s="9">
        <v>4000011817</v>
      </c>
      <c r="J69" s="10">
        <v>22.48</v>
      </c>
      <c r="K69" s="10"/>
      <c r="L69" s="10">
        <f t="shared" si="18"/>
        <v>22.48</v>
      </c>
      <c r="M69" s="11">
        <v>0</v>
      </c>
      <c r="N69" s="10">
        <f t="shared" si="19"/>
        <v>0</v>
      </c>
      <c r="O69" s="10">
        <f t="shared" si="20"/>
        <v>22.48</v>
      </c>
      <c r="P69" s="11">
        <f t="shared" si="21"/>
        <v>4.060913705583756E-2</v>
      </c>
      <c r="Q69" s="10">
        <f t="shared" si="22"/>
        <v>553.57000000000005</v>
      </c>
      <c r="R69" s="10">
        <f t="shared" si="23"/>
        <v>3056.72</v>
      </c>
      <c r="S69" s="10">
        <f t="shared" si="24"/>
        <v>124.13076142131978</v>
      </c>
      <c r="T69" s="9" t="s">
        <v>76</v>
      </c>
      <c r="U69" s="10">
        <v>5599</v>
      </c>
      <c r="V69" s="10">
        <f t="shared" si="25"/>
        <v>3919.2999999999997</v>
      </c>
      <c r="W69" s="166">
        <v>490110</v>
      </c>
      <c r="X69" s="12" t="s">
        <v>25</v>
      </c>
      <c r="Y69" s="12">
        <f t="shared" si="26"/>
        <v>124.13076142131978</v>
      </c>
      <c r="Z69" s="13">
        <f t="shared" si="27"/>
        <v>124.13076142131978</v>
      </c>
      <c r="AA69" s="13">
        <f t="shared" si="28"/>
        <v>124.13076142131978</v>
      </c>
      <c r="AB69" s="13">
        <f t="shared" si="29"/>
        <v>22.48</v>
      </c>
      <c r="AC69" s="13">
        <f t="shared" si="30"/>
        <v>101.65076142131977</v>
      </c>
      <c r="AD69" s="14">
        <f t="shared" si="31"/>
        <v>0.81890065167892379</v>
      </c>
      <c r="AE69" s="14">
        <f t="shared" si="32"/>
        <v>4.5218310240800612</v>
      </c>
      <c r="AF69" s="13" t="str">
        <f>IF(AD69&gt;=Assumptions!$B$3,"OK","Review")</f>
        <v>OK</v>
      </c>
      <c r="AG69" s="13">
        <f>IFERROR(IF(Assumptions!$B$13="Cost Price",AB69,AA69)*SUMIF(Assumptions!$A$6:$A$10,X69,Assumptions!$B$6:$B$10),0)</f>
        <v>9.9304609137055824</v>
      </c>
      <c r="AH69" s="13">
        <f>IFERROR(IF(Assumptions!$B$13="Cost Price",AB69,AA69)*SUMIF(Assumptions!$A$6:$A$10,X69,Assumptions!$C$6:$C$10),0)</f>
        <v>6.2065380710659888</v>
      </c>
      <c r="AI69" s="13">
        <f>IFERROR(IF(Assumptions!$B$13="Cost Price",AB69,AA69)*SUMIF(Assumptions!$A$6:$A$10,X69,Assumptions!$D$6:$D$10),0)</f>
        <v>12.413076142131978</v>
      </c>
      <c r="AJ69" s="13">
        <v>19.234192893401016</v>
      </c>
      <c r="AK69" s="13">
        <f t="shared" si="33"/>
        <v>47.784268020304566</v>
      </c>
      <c r="AL69" s="14">
        <v>0.33</v>
      </c>
      <c r="AM69" s="13">
        <f t="shared" si="34"/>
        <v>53.866493401015205</v>
      </c>
      <c r="AN69" s="14">
        <f t="shared" si="35"/>
        <v>0.43394959302782055</v>
      </c>
      <c r="AO69" t="str">
        <f>IF(AN69&gt;=Assumptions!$B$3,"OK","Review")</f>
        <v>OK</v>
      </c>
    </row>
    <row r="70" spans="1:41" ht="15" customHeight="1">
      <c r="A70" s="9" t="s">
        <v>70</v>
      </c>
      <c r="B70" s="9" t="s">
        <v>39</v>
      </c>
      <c r="C70" s="9" t="s">
        <v>78</v>
      </c>
      <c r="D70" s="9" t="s">
        <v>151</v>
      </c>
      <c r="E70" s="9" t="s">
        <v>73</v>
      </c>
      <c r="F70" s="9" t="s">
        <v>81</v>
      </c>
      <c r="G70" s="9" t="s">
        <v>24</v>
      </c>
      <c r="H70" s="9" t="s">
        <v>84</v>
      </c>
      <c r="I70" s="9">
        <v>4000011818</v>
      </c>
      <c r="J70" s="10">
        <v>75.930000000000007</v>
      </c>
      <c r="K70" s="10"/>
      <c r="L70" s="10">
        <f t="shared" si="18"/>
        <v>75.930000000000007</v>
      </c>
      <c r="M70" s="11">
        <v>0</v>
      </c>
      <c r="N70" s="10">
        <f t="shared" si="19"/>
        <v>0</v>
      </c>
      <c r="O70" s="10">
        <f t="shared" si="20"/>
        <v>75.930000000000007</v>
      </c>
      <c r="P70" s="11">
        <f t="shared" si="21"/>
        <v>0.13716422493993533</v>
      </c>
      <c r="Q70" s="10">
        <f t="shared" si="22"/>
        <v>553.57000000000005</v>
      </c>
      <c r="R70" s="10">
        <f t="shared" si="23"/>
        <v>3056.72</v>
      </c>
      <c r="S70" s="10">
        <f t="shared" si="24"/>
        <v>419.27262965839907</v>
      </c>
      <c r="T70" s="9" t="s">
        <v>76</v>
      </c>
      <c r="U70" s="10">
        <v>5599</v>
      </c>
      <c r="V70" s="10">
        <f t="shared" si="25"/>
        <v>3919.2999999999997</v>
      </c>
      <c r="W70" s="166">
        <v>490110</v>
      </c>
      <c r="X70" s="12" t="s">
        <v>25</v>
      </c>
      <c r="Y70" s="12">
        <f t="shared" si="26"/>
        <v>419.27262965839907</v>
      </c>
      <c r="Z70" s="13">
        <f t="shared" si="27"/>
        <v>419.27262965839907</v>
      </c>
      <c r="AA70" s="13">
        <f t="shared" si="28"/>
        <v>419.27262965839907</v>
      </c>
      <c r="AB70" s="13">
        <f t="shared" si="29"/>
        <v>75.930000000000007</v>
      </c>
      <c r="AC70" s="13">
        <f t="shared" si="30"/>
        <v>343.34262965839906</v>
      </c>
      <c r="AD70" s="14">
        <f t="shared" si="31"/>
        <v>0.81890065167892379</v>
      </c>
      <c r="AE70" s="14">
        <f t="shared" si="32"/>
        <v>4.5218310240800612</v>
      </c>
      <c r="AF70" s="13" t="str">
        <f>IF(AD70&gt;=Assumptions!$B$3,"OK","Review")</f>
        <v>OK</v>
      </c>
      <c r="AG70" s="13">
        <f>IFERROR(IF(Assumptions!$B$13="Cost Price",AB70,AA70)*SUMIF(Assumptions!$A$6:$A$10,X70,Assumptions!$B$6:$B$10),0)</f>
        <v>33.541810372671925</v>
      </c>
      <c r="AH70" s="13">
        <f>IFERROR(IF(Assumptions!$B$13="Cost Price",AB70,AA70)*SUMIF(Assumptions!$A$6:$A$10,X70,Assumptions!$C$6:$C$10),0)</f>
        <v>20.963631482919954</v>
      </c>
      <c r="AI70" s="13">
        <f>IFERROR(IF(Assumptions!$B$13="Cost Price",AB70,AA70)*SUMIF(Assumptions!$A$6:$A$10,X70,Assumptions!$D$6:$D$10),0)</f>
        <v>41.927262965839908</v>
      </c>
      <c r="AJ70" s="13">
        <v>64.966737829000849</v>
      </c>
      <c r="AK70" s="13">
        <f t="shared" si="33"/>
        <v>161.39944265043266</v>
      </c>
      <c r="AL70" s="14">
        <v>0.33</v>
      </c>
      <c r="AM70" s="13">
        <f t="shared" si="34"/>
        <v>181.9431870079664</v>
      </c>
      <c r="AN70" s="14">
        <f t="shared" si="35"/>
        <v>0.43394959302782055</v>
      </c>
      <c r="AO70" t="str">
        <f>IF(AN70&gt;=Assumptions!$B$3,"OK","Review")</f>
        <v>OK</v>
      </c>
    </row>
    <row r="71" spans="1:41" ht="15" customHeight="1">
      <c r="A71" s="9" t="s">
        <v>70</v>
      </c>
      <c r="B71" s="9" t="s">
        <v>39</v>
      </c>
      <c r="C71" s="9" t="s">
        <v>78</v>
      </c>
      <c r="D71" s="9" t="s">
        <v>152</v>
      </c>
      <c r="E71" s="9" t="s">
        <v>73</v>
      </c>
      <c r="F71" s="9" t="s">
        <v>81</v>
      </c>
      <c r="G71" s="9" t="s">
        <v>24</v>
      </c>
      <c r="H71" s="9" t="s">
        <v>84</v>
      </c>
      <c r="I71" s="9">
        <v>4000011819</v>
      </c>
      <c r="J71" s="10">
        <v>19.16</v>
      </c>
      <c r="K71" s="10"/>
      <c r="L71" s="10">
        <f t="shared" si="18"/>
        <v>19.16</v>
      </c>
      <c r="M71" s="11">
        <v>0</v>
      </c>
      <c r="N71" s="10">
        <f t="shared" si="19"/>
        <v>0</v>
      </c>
      <c r="O71" s="10">
        <f t="shared" si="20"/>
        <v>19.16</v>
      </c>
      <c r="P71" s="11">
        <f t="shared" si="21"/>
        <v>3.4611702223747674E-2</v>
      </c>
      <c r="Q71" s="10">
        <f t="shared" si="22"/>
        <v>553.57000000000005</v>
      </c>
      <c r="R71" s="10">
        <f t="shared" si="23"/>
        <v>3056.72</v>
      </c>
      <c r="S71" s="10">
        <f t="shared" si="24"/>
        <v>105.79828242137398</v>
      </c>
      <c r="T71" s="9" t="s">
        <v>76</v>
      </c>
      <c r="U71" s="10">
        <v>5599</v>
      </c>
      <c r="V71" s="10">
        <f t="shared" si="25"/>
        <v>3919.2999999999997</v>
      </c>
      <c r="W71" s="166">
        <v>490110</v>
      </c>
      <c r="X71" s="12" t="s">
        <v>25</v>
      </c>
      <c r="Y71" s="12">
        <f t="shared" si="26"/>
        <v>105.79828242137398</v>
      </c>
      <c r="Z71" s="13">
        <f t="shared" si="27"/>
        <v>105.79828242137398</v>
      </c>
      <c r="AA71" s="13">
        <f t="shared" si="28"/>
        <v>105.79828242137398</v>
      </c>
      <c r="AB71" s="13">
        <f t="shared" si="29"/>
        <v>19.16</v>
      </c>
      <c r="AC71" s="13">
        <f t="shared" si="30"/>
        <v>86.638282421373987</v>
      </c>
      <c r="AD71" s="14">
        <f t="shared" si="31"/>
        <v>0.81890065167892379</v>
      </c>
      <c r="AE71" s="14">
        <f t="shared" si="32"/>
        <v>4.5218310240800621</v>
      </c>
      <c r="AF71" s="13" t="str">
        <f>IF(AD71&gt;=Assumptions!$B$3,"OK","Review")</f>
        <v>OK</v>
      </c>
      <c r="AG71" s="13">
        <f>IFERROR(IF(Assumptions!$B$13="Cost Price",AB71,AA71)*SUMIF(Assumptions!$A$6:$A$10,X71,Assumptions!$B$6:$B$10),0)</f>
        <v>8.4638625937099192</v>
      </c>
      <c r="AH71" s="13">
        <f>IFERROR(IF(Assumptions!$B$13="Cost Price",AB71,AA71)*SUMIF(Assumptions!$A$6:$A$10,X71,Assumptions!$C$6:$C$10),0)</f>
        <v>5.2899141210686995</v>
      </c>
      <c r="AI71" s="13">
        <f>IFERROR(IF(Assumptions!$B$13="Cost Price",AB71,AA71)*SUMIF(Assumptions!$A$6:$A$10,X71,Assumptions!$D$6:$D$10),0)</f>
        <v>10.579828242137399</v>
      </c>
      <c r="AJ71" s="13">
        <v>16.393555864660296</v>
      </c>
      <c r="AK71" s="13">
        <f t="shared" si="33"/>
        <v>40.727160821576319</v>
      </c>
      <c r="AL71" s="14">
        <v>0.33</v>
      </c>
      <c r="AM71" s="13">
        <f t="shared" si="34"/>
        <v>45.911121599797667</v>
      </c>
      <c r="AN71" s="14">
        <f t="shared" si="35"/>
        <v>0.4339495930278206</v>
      </c>
      <c r="AO71" t="str">
        <f>IF(AN71&gt;=Assumptions!$B$3,"OK","Review")</f>
        <v>OK</v>
      </c>
    </row>
    <row r="72" spans="1:41" ht="15" customHeight="1">
      <c r="A72" s="9" t="s">
        <v>70</v>
      </c>
      <c r="B72" s="9" t="s">
        <v>39</v>
      </c>
      <c r="C72" s="9" t="s">
        <v>113</v>
      </c>
      <c r="D72" s="9" t="s">
        <v>153</v>
      </c>
      <c r="E72" s="9" t="s">
        <v>73</v>
      </c>
      <c r="F72" s="9" t="s">
        <v>74</v>
      </c>
      <c r="G72" s="9" t="s">
        <v>24</v>
      </c>
      <c r="H72" s="9" t="s">
        <v>84</v>
      </c>
      <c r="I72" s="9">
        <v>4000011740</v>
      </c>
      <c r="J72" s="10">
        <v>43.29</v>
      </c>
      <c r="K72" s="10"/>
      <c r="L72" s="10">
        <f t="shared" si="18"/>
        <v>43.29</v>
      </c>
      <c r="M72" s="11">
        <v>0</v>
      </c>
      <c r="N72" s="10">
        <f t="shared" si="19"/>
        <v>0</v>
      </c>
      <c r="O72" s="10">
        <f t="shared" si="20"/>
        <v>43.29</v>
      </c>
      <c r="P72" s="11">
        <f t="shared" si="21"/>
        <v>7.820149213288291E-2</v>
      </c>
      <c r="Q72" s="10">
        <f t="shared" si="22"/>
        <v>553.57000000000005</v>
      </c>
      <c r="R72" s="10">
        <f t="shared" si="23"/>
        <v>3056.72</v>
      </c>
      <c r="S72" s="10">
        <f t="shared" si="24"/>
        <v>239.04006503242584</v>
      </c>
      <c r="T72" s="9" t="s">
        <v>76</v>
      </c>
      <c r="U72" s="10">
        <v>5599</v>
      </c>
      <c r="V72" s="10">
        <f t="shared" si="25"/>
        <v>3919.2999999999997</v>
      </c>
      <c r="W72" s="166">
        <v>490110</v>
      </c>
      <c r="X72" s="12" t="s">
        <v>25</v>
      </c>
      <c r="Y72" s="12">
        <f t="shared" si="26"/>
        <v>239.04006503242584</v>
      </c>
      <c r="Z72" s="13">
        <f t="shared" si="27"/>
        <v>239.04006503242584</v>
      </c>
      <c r="AA72" s="13">
        <f t="shared" si="28"/>
        <v>239.04006503242584</v>
      </c>
      <c r="AB72" s="13">
        <f t="shared" si="29"/>
        <v>43.29</v>
      </c>
      <c r="AC72" s="13">
        <f t="shared" si="30"/>
        <v>195.75006503242585</v>
      </c>
      <c r="AD72" s="14">
        <f t="shared" si="31"/>
        <v>0.81890065167892379</v>
      </c>
      <c r="AE72" s="14">
        <f t="shared" si="32"/>
        <v>4.5218310240800612</v>
      </c>
      <c r="AF72" s="13" t="str">
        <f>IF(AD72&gt;=Assumptions!$B$3,"OK","Review")</f>
        <v>OK</v>
      </c>
      <c r="AG72" s="13">
        <f>IFERROR(IF(Assumptions!$B$13="Cost Price",AB72,AA72)*SUMIF(Assumptions!$A$6:$A$10,X72,Assumptions!$B$6:$B$10),0)</f>
        <v>19.123205202594068</v>
      </c>
      <c r="AH72" s="13">
        <f>IFERROR(IF(Assumptions!$B$13="Cost Price",AB72,AA72)*SUMIF(Assumptions!$A$6:$A$10,X72,Assumptions!$C$6:$C$10),0)</f>
        <v>11.952003251621292</v>
      </c>
      <c r="AI72" s="13">
        <f>IFERROR(IF(Assumptions!$B$13="Cost Price",AB72,AA72)*SUMIF(Assumptions!$A$6:$A$10,X72,Assumptions!$D$6:$D$10),0)</f>
        <v>23.904006503242584</v>
      </c>
      <c r="AJ72" s="13">
        <v>37.039511136802929</v>
      </c>
      <c r="AK72" s="13">
        <f t="shared" si="33"/>
        <v>92.01872609426087</v>
      </c>
      <c r="AL72" s="14">
        <v>0.33</v>
      </c>
      <c r="AM72" s="13">
        <f t="shared" si="34"/>
        <v>103.73133893816498</v>
      </c>
      <c r="AN72" s="14">
        <f t="shared" si="35"/>
        <v>0.43394959302782066</v>
      </c>
      <c r="AO72" t="str">
        <f>IF(AN72&gt;=Assumptions!$B$3,"OK","Review")</f>
        <v>OK</v>
      </c>
    </row>
    <row r="73" spans="1:41" ht="15" customHeight="1">
      <c r="A73" s="9" t="s">
        <v>70</v>
      </c>
      <c r="B73" s="9" t="s">
        <v>39</v>
      </c>
      <c r="C73" s="9" t="s">
        <v>88</v>
      </c>
      <c r="D73" s="9" t="s">
        <v>154</v>
      </c>
      <c r="E73" s="9" t="s">
        <v>73</v>
      </c>
      <c r="F73" s="9" t="s">
        <v>90</v>
      </c>
      <c r="G73" s="9" t="s">
        <v>24</v>
      </c>
      <c r="H73" s="9" t="s">
        <v>75</v>
      </c>
      <c r="I73" s="9">
        <v>7000000226</v>
      </c>
      <c r="J73" s="10">
        <v>259.5</v>
      </c>
      <c r="K73" s="10">
        <v>10</v>
      </c>
      <c r="L73" s="10">
        <f t="shared" si="18"/>
        <v>269.5</v>
      </c>
      <c r="M73" s="11">
        <v>0.18</v>
      </c>
      <c r="N73" s="10">
        <f t="shared" si="19"/>
        <v>48.51</v>
      </c>
      <c r="O73" s="10">
        <f t="shared" si="20"/>
        <v>318.01</v>
      </c>
      <c r="P73" s="11">
        <f t="shared" si="21"/>
        <v>0.73734610123119015</v>
      </c>
      <c r="Q73" s="10">
        <f t="shared" si="22"/>
        <v>431.28999999999996</v>
      </c>
      <c r="R73" s="10">
        <f t="shared" si="23"/>
        <v>3056.72</v>
      </c>
      <c r="S73" s="10">
        <f t="shared" si="24"/>
        <v>318.01</v>
      </c>
      <c r="T73" s="9" t="s">
        <v>91</v>
      </c>
      <c r="U73" s="10">
        <v>5599</v>
      </c>
      <c r="V73" s="10">
        <f t="shared" si="25"/>
        <v>3919.2999999999997</v>
      </c>
      <c r="W73" s="166">
        <v>49119990</v>
      </c>
      <c r="X73" s="12" t="s">
        <v>25</v>
      </c>
      <c r="Y73" s="12">
        <f t="shared" si="26"/>
        <v>318.01</v>
      </c>
      <c r="Z73" s="13">
        <f t="shared" si="27"/>
        <v>318.01</v>
      </c>
      <c r="AA73" s="13">
        <f t="shared" si="28"/>
        <v>269.5</v>
      </c>
      <c r="AB73" s="13">
        <f t="shared" si="29"/>
        <v>259.5</v>
      </c>
      <c r="AC73" s="13">
        <f t="shared" si="30"/>
        <v>10</v>
      </c>
      <c r="AD73" s="14">
        <f t="shared" si="31"/>
        <v>3.7105751391465679E-2</v>
      </c>
      <c r="AE73" s="14">
        <f t="shared" si="32"/>
        <v>3.8535645472061654E-2</v>
      </c>
      <c r="AF73" s="13" t="str">
        <f>IF(AD73&gt;=Assumptions!$B$3,"OK","Review")</f>
        <v>Review</v>
      </c>
      <c r="AG73" s="13">
        <f>IFERROR(IF(Assumptions!$B$13="Cost Price",AB73,AA73)*SUMIF(Assumptions!$A$6:$A$10,X73,Assumptions!$B$6:$B$10),0)</f>
        <v>21.56</v>
      </c>
      <c r="AH73" s="13">
        <f>IFERROR(IF(Assumptions!$B$13="Cost Price",AB73,AA73)*SUMIF(Assumptions!$A$6:$A$10,X73,Assumptions!$C$6:$C$10),0)</f>
        <v>13.475000000000001</v>
      </c>
      <c r="AI73" s="13">
        <f>IFERROR(IF(Assumptions!$B$13="Cost Price",AB73,AA73)*SUMIF(Assumptions!$A$6:$A$10,X73,Assumptions!$D$6:$D$10),0)</f>
        <v>26.950000000000003</v>
      </c>
      <c r="AJ73" s="13">
        <v>26.950000000000003</v>
      </c>
      <c r="AK73" s="13">
        <f t="shared" si="33"/>
        <v>88.935000000000002</v>
      </c>
      <c r="AL73" s="14">
        <v>0.33</v>
      </c>
      <c r="AM73" s="13">
        <f t="shared" si="34"/>
        <v>-78.935000000000002</v>
      </c>
      <c r="AN73" s="14">
        <f t="shared" si="35"/>
        <v>-0.29289424860853436</v>
      </c>
      <c r="AO73" t="str">
        <f>IF(AN73&gt;=Assumptions!$B$3,"OK","Review")</f>
        <v>Review</v>
      </c>
    </row>
    <row r="74" spans="1:41" ht="15" customHeight="1">
      <c r="A74" s="9" t="s">
        <v>70</v>
      </c>
      <c r="B74" s="9" t="s">
        <v>39</v>
      </c>
      <c r="C74" s="9" t="s">
        <v>92</v>
      </c>
      <c r="D74" s="9" t="s">
        <v>93</v>
      </c>
      <c r="E74" s="9" t="s">
        <v>73</v>
      </c>
      <c r="F74" s="9" t="s">
        <v>94</v>
      </c>
      <c r="G74" s="9" t="s">
        <v>24</v>
      </c>
      <c r="H74" s="9" t="s">
        <v>75</v>
      </c>
      <c r="I74" s="9">
        <v>8400007</v>
      </c>
      <c r="J74" s="10">
        <v>96</v>
      </c>
      <c r="K74" s="10"/>
      <c r="L74" s="10">
        <f t="shared" si="18"/>
        <v>96</v>
      </c>
      <c r="M74" s="11">
        <v>0.18</v>
      </c>
      <c r="N74" s="10">
        <f t="shared" si="19"/>
        <v>17.28</v>
      </c>
      <c r="O74" s="10">
        <f t="shared" si="20"/>
        <v>113.28</v>
      </c>
      <c r="P74" s="11">
        <f t="shared" si="21"/>
        <v>0.2626538987688099</v>
      </c>
      <c r="Q74" s="10">
        <f t="shared" si="22"/>
        <v>431.28999999999996</v>
      </c>
      <c r="R74" s="10">
        <f t="shared" si="23"/>
        <v>3056.72</v>
      </c>
      <c r="S74" s="10">
        <f t="shared" si="24"/>
        <v>113.28</v>
      </c>
      <c r="T74" s="9" t="s">
        <v>91</v>
      </c>
      <c r="U74" s="10">
        <v>5599</v>
      </c>
      <c r="V74" s="10">
        <f t="shared" si="25"/>
        <v>3919.2999999999997</v>
      </c>
      <c r="W74" s="166">
        <v>999299</v>
      </c>
      <c r="X74" s="12" t="s">
        <v>25</v>
      </c>
      <c r="Y74" s="12">
        <f t="shared" si="26"/>
        <v>113.28</v>
      </c>
      <c r="Z74" s="13">
        <f t="shared" si="27"/>
        <v>113.28</v>
      </c>
      <c r="AA74" s="13">
        <f t="shared" si="28"/>
        <v>96</v>
      </c>
      <c r="AB74" s="13">
        <f t="shared" si="29"/>
        <v>96</v>
      </c>
      <c r="AC74" s="13">
        <f t="shared" si="30"/>
        <v>0</v>
      </c>
      <c r="AD74" s="14">
        <f t="shared" si="31"/>
        <v>0</v>
      </c>
      <c r="AE74" s="14">
        <f t="shared" si="32"/>
        <v>0</v>
      </c>
      <c r="AF74" s="13" t="str">
        <f>IF(AD74&gt;=Assumptions!$B$3,"OK","Review")</f>
        <v>Review</v>
      </c>
      <c r="AG74" s="13">
        <f>IFERROR(IF(Assumptions!$B$13="Cost Price",AB74,AA74)*SUMIF(Assumptions!$A$6:$A$10,X74,Assumptions!$B$6:$B$10),0)</f>
        <v>7.68</v>
      </c>
      <c r="AH74" s="13">
        <f>IFERROR(IF(Assumptions!$B$13="Cost Price",AB74,AA74)*SUMIF(Assumptions!$A$6:$A$10,X74,Assumptions!$C$6:$C$10),0)</f>
        <v>4.8000000000000007</v>
      </c>
      <c r="AI74" s="13">
        <f>IFERROR(IF(Assumptions!$B$13="Cost Price",AB74,AA74)*SUMIF(Assumptions!$A$6:$A$10,X74,Assumptions!$D$6:$D$10),0)</f>
        <v>9.6000000000000014</v>
      </c>
      <c r="AJ74" s="13">
        <v>9.6000000000000014</v>
      </c>
      <c r="AK74" s="13">
        <f t="shared" si="33"/>
        <v>31.680000000000003</v>
      </c>
      <c r="AL74" s="14">
        <v>0.33</v>
      </c>
      <c r="AM74" s="13">
        <f t="shared" si="34"/>
        <v>-31.680000000000003</v>
      </c>
      <c r="AN74" s="14">
        <f t="shared" si="35"/>
        <v>-0.33</v>
      </c>
      <c r="AO74" t="str">
        <f>IF(AN74&gt;=Assumptions!$B$3,"OK","Review")</f>
        <v>Review</v>
      </c>
    </row>
    <row r="75" spans="1:41" ht="15" customHeight="1">
      <c r="A75" s="9" t="s">
        <v>70</v>
      </c>
      <c r="B75" s="9" t="s">
        <v>40</v>
      </c>
      <c r="C75" s="9" t="s">
        <v>105</v>
      </c>
      <c r="D75" s="9" t="s">
        <v>155</v>
      </c>
      <c r="E75" s="9" t="s">
        <v>73</v>
      </c>
      <c r="F75" s="9" t="s">
        <v>81</v>
      </c>
      <c r="G75" s="9" t="s">
        <v>24</v>
      </c>
      <c r="H75" s="9" t="s">
        <v>75</v>
      </c>
      <c r="I75" s="9">
        <v>4000011741</v>
      </c>
      <c r="J75" s="10">
        <v>52.4</v>
      </c>
      <c r="K75" s="10"/>
      <c r="L75" s="10">
        <f t="shared" si="18"/>
        <v>52.4</v>
      </c>
      <c r="M75" s="11">
        <v>0</v>
      </c>
      <c r="N75" s="10">
        <f t="shared" si="19"/>
        <v>0</v>
      </c>
      <c r="O75" s="10">
        <f t="shared" si="20"/>
        <v>52.4</v>
      </c>
      <c r="P75" s="11">
        <f t="shared" si="21"/>
        <v>9.349963420944632E-2</v>
      </c>
      <c r="Q75" s="10">
        <f t="shared" si="22"/>
        <v>560.42999999999995</v>
      </c>
      <c r="R75" s="10">
        <f t="shared" si="23"/>
        <v>3063</v>
      </c>
      <c r="S75" s="10">
        <f t="shared" si="24"/>
        <v>286.38937958353409</v>
      </c>
      <c r="T75" s="9" t="s">
        <v>76</v>
      </c>
      <c r="U75" s="10">
        <v>5699</v>
      </c>
      <c r="V75" s="10">
        <f t="shared" si="25"/>
        <v>3989.2999999999997</v>
      </c>
      <c r="W75" s="166">
        <v>490110</v>
      </c>
      <c r="X75" s="12" t="s">
        <v>25</v>
      </c>
      <c r="Y75" s="12">
        <f t="shared" si="26"/>
        <v>286.38937958353409</v>
      </c>
      <c r="Z75" s="13">
        <f t="shared" si="27"/>
        <v>286.38937958353409</v>
      </c>
      <c r="AA75" s="13">
        <f t="shared" si="28"/>
        <v>286.38937958353409</v>
      </c>
      <c r="AB75" s="13">
        <f t="shared" si="29"/>
        <v>52.4</v>
      </c>
      <c r="AC75" s="13">
        <f t="shared" si="30"/>
        <v>233.98937958353409</v>
      </c>
      <c r="AD75" s="14">
        <f t="shared" si="31"/>
        <v>0.81703232125367287</v>
      </c>
      <c r="AE75" s="14">
        <f t="shared" si="32"/>
        <v>4.4654461752582844</v>
      </c>
      <c r="AF75" s="13" t="str">
        <f>IF(AD75&gt;=Assumptions!$B$3,"OK","Review")</f>
        <v>OK</v>
      </c>
      <c r="AG75" s="13">
        <f>IFERROR(IF(Assumptions!$B$13="Cost Price",AB75,AA75)*SUMIF(Assumptions!$A$6:$A$10,X75,Assumptions!$B$6:$B$10),0)</f>
        <v>22.91115036668273</v>
      </c>
      <c r="AH75" s="13">
        <f>IFERROR(IF(Assumptions!$B$13="Cost Price",AB75,AA75)*SUMIF(Assumptions!$A$6:$A$10,X75,Assumptions!$C$6:$C$10),0)</f>
        <v>14.319468979176705</v>
      </c>
      <c r="AI75" s="13">
        <f>IFERROR(IF(Assumptions!$B$13="Cost Price",AB75,AA75)*SUMIF(Assumptions!$A$6:$A$10,X75,Assumptions!$D$6:$D$10),0)</f>
        <v>28.638937958353409</v>
      </c>
      <c r="AJ75" s="13">
        <v>44.624570419142444</v>
      </c>
      <c r="AK75" s="13">
        <f t="shared" si="33"/>
        <v>110.49412772335529</v>
      </c>
      <c r="AL75" s="14">
        <v>0.33</v>
      </c>
      <c r="AM75" s="13">
        <f t="shared" si="34"/>
        <v>123.4952518601788</v>
      </c>
      <c r="AN75" s="14">
        <f t="shared" si="35"/>
        <v>0.43121449559255631</v>
      </c>
      <c r="AO75" t="str">
        <f>IF(AN75&gt;=Assumptions!$B$3,"OK","Review")</f>
        <v>OK</v>
      </c>
    </row>
    <row r="76" spans="1:41" ht="15" customHeight="1">
      <c r="A76" s="9" t="s">
        <v>70</v>
      </c>
      <c r="B76" s="9" t="s">
        <v>40</v>
      </c>
      <c r="C76" s="9" t="s">
        <v>105</v>
      </c>
      <c r="D76" s="9" t="s">
        <v>156</v>
      </c>
      <c r="E76" s="9" t="s">
        <v>73</v>
      </c>
      <c r="F76" s="9" t="s">
        <v>81</v>
      </c>
      <c r="G76" s="9" t="s">
        <v>24</v>
      </c>
      <c r="H76" s="9" t="s">
        <v>75</v>
      </c>
      <c r="I76" s="9">
        <v>4000011742</v>
      </c>
      <c r="J76" s="10">
        <v>21.96</v>
      </c>
      <c r="K76" s="10"/>
      <c r="L76" s="10">
        <f t="shared" si="18"/>
        <v>21.96</v>
      </c>
      <c r="M76" s="11">
        <v>0</v>
      </c>
      <c r="N76" s="10">
        <f t="shared" si="19"/>
        <v>0</v>
      </c>
      <c r="O76" s="10">
        <f t="shared" si="20"/>
        <v>21.96</v>
      </c>
      <c r="P76" s="11">
        <f t="shared" si="21"/>
        <v>3.9184197848080943E-2</v>
      </c>
      <c r="Q76" s="10">
        <f t="shared" si="22"/>
        <v>560.42999999999995</v>
      </c>
      <c r="R76" s="10">
        <f t="shared" si="23"/>
        <v>3063</v>
      </c>
      <c r="S76" s="10">
        <f t="shared" si="24"/>
        <v>120.02119800867193</v>
      </c>
      <c r="T76" s="9" t="s">
        <v>76</v>
      </c>
      <c r="U76" s="10">
        <v>5699</v>
      </c>
      <c r="V76" s="10">
        <f t="shared" si="25"/>
        <v>3989.2999999999997</v>
      </c>
      <c r="W76" s="166">
        <v>490110</v>
      </c>
      <c r="X76" s="12" t="s">
        <v>25</v>
      </c>
      <c r="Y76" s="12">
        <f t="shared" si="26"/>
        <v>120.02119800867193</v>
      </c>
      <c r="Z76" s="13">
        <f t="shared" si="27"/>
        <v>120.02119800867193</v>
      </c>
      <c r="AA76" s="13">
        <f t="shared" si="28"/>
        <v>120.02119800867193</v>
      </c>
      <c r="AB76" s="13">
        <f t="shared" si="29"/>
        <v>21.96</v>
      </c>
      <c r="AC76" s="13">
        <f t="shared" si="30"/>
        <v>98.061198008671937</v>
      </c>
      <c r="AD76" s="14">
        <f t="shared" si="31"/>
        <v>0.81703232125367298</v>
      </c>
      <c r="AE76" s="14">
        <f t="shared" si="32"/>
        <v>4.4654461752582844</v>
      </c>
      <c r="AF76" s="13" t="str">
        <f>IF(AD76&gt;=Assumptions!$B$3,"OK","Review")</f>
        <v>OK</v>
      </c>
      <c r="AG76" s="13">
        <f>IFERROR(IF(Assumptions!$B$13="Cost Price",AB76,AA76)*SUMIF(Assumptions!$A$6:$A$10,X76,Assumptions!$B$6:$B$10),0)</f>
        <v>9.601695840693754</v>
      </c>
      <c r="AH76" s="13">
        <f>IFERROR(IF(Assumptions!$B$13="Cost Price",AB76,AA76)*SUMIF(Assumptions!$A$6:$A$10,X76,Assumptions!$C$6:$C$10),0)</f>
        <v>6.0010599004335967</v>
      </c>
      <c r="AI76" s="13">
        <f>IFERROR(IF(Assumptions!$B$13="Cost Price",AB76,AA76)*SUMIF(Assumptions!$A$6:$A$10,X76,Assumptions!$D$6:$D$10),0)</f>
        <v>12.002119800867193</v>
      </c>
      <c r="AJ76" s="13">
        <v>18.701442106953589</v>
      </c>
      <c r="AK76" s="13">
        <f t="shared" si="33"/>
        <v>46.306317648948138</v>
      </c>
      <c r="AL76" s="14">
        <v>0.33</v>
      </c>
      <c r="AM76" s="13">
        <f t="shared" si="34"/>
        <v>51.754880359723799</v>
      </c>
      <c r="AN76" s="14">
        <f t="shared" si="35"/>
        <v>0.43121449559255637</v>
      </c>
      <c r="AO76" t="str">
        <f>IF(AN76&gt;=Assumptions!$B$3,"OK","Review")</f>
        <v>OK</v>
      </c>
    </row>
    <row r="77" spans="1:41" ht="15" customHeight="1">
      <c r="A77" s="9" t="s">
        <v>70</v>
      </c>
      <c r="B77" s="9" t="s">
        <v>40</v>
      </c>
      <c r="C77" s="9" t="s">
        <v>71</v>
      </c>
      <c r="D77" s="9" t="s">
        <v>157</v>
      </c>
      <c r="E77" s="9" t="s">
        <v>73</v>
      </c>
      <c r="F77" s="9" t="s">
        <v>74</v>
      </c>
      <c r="G77" s="9" t="s">
        <v>24</v>
      </c>
      <c r="H77" s="9" t="s">
        <v>75</v>
      </c>
      <c r="I77" s="9">
        <v>4000011743</v>
      </c>
      <c r="J77" s="10">
        <v>54.96</v>
      </c>
      <c r="K77" s="10"/>
      <c r="L77" s="10">
        <f t="shared" si="18"/>
        <v>54.96</v>
      </c>
      <c r="M77" s="11">
        <v>0</v>
      </c>
      <c r="N77" s="10">
        <f t="shared" si="19"/>
        <v>0</v>
      </c>
      <c r="O77" s="10">
        <f t="shared" si="20"/>
        <v>54.96</v>
      </c>
      <c r="P77" s="11">
        <f t="shared" si="21"/>
        <v>9.8067555270060502E-2</v>
      </c>
      <c r="Q77" s="10">
        <f t="shared" si="22"/>
        <v>560.42999999999995</v>
      </c>
      <c r="R77" s="10">
        <f t="shared" si="23"/>
        <v>3063</v>
      </c>
      <c r="S77" s="10">
        <f t="shared" si="24"/>
        <v>300.38092179219529</v>
      </c>
      <c r="T77" s="9" t="s">
        <v>76</v>
      </c>
      <c r="U77" s="10">
        <v>5699</v>
      </c>
      <c r="V77" s="10">
        <f t="shared" si="25"/>
        <v>3989.2999999999997</v>
      </c>
      <c r="W77" s="166">
        <v>490110</v>
      </c>
      <c r="X77" s="12" t="s">
        <v>25</v>
      </c>
      <c r="Y77" s="12">
        <f t="shared" si="26"/>
        <v>300.38092179219529</v>
      </c>
      <c r="Z77" s="13">
        <f t="shared" si="27"/>
        <v>300.38092179219529</v>
      </c>
      <c r="AA77" s="13">
        <f t="shared" si="28"/>
        <v>300.38092179219529</v>
      </c>
      <c r="AB77" s="13">
        <f t="shared" si="29"/>
        <v>54.96</v>
      </c>
      <c r="AC77" s="13">
        <f t="shared" si="30"/>
        <v>245.42092179219529</v>
      </c>
      <c r="AD77" s="14">
        <f t="shared" si="31"/>
        <v>0.81703232125367287</v>
      </c>
      <c r="AE77" s="14">
        <f t="shared" si="32"/>
        <v>4.4654461752582835</v>
      </c>
      <c r="AF77" s="13" t="str">
        <f>IF(AD77&gt;=Assumptions!$B$3,"OK","Review")</f>
        <v>OK</v>
      </c>
      <c r="AG77" s="13">
        <f>IFERROR(IF(Assumptions!$B$13="Cost Price",AB77,AA77)*SUMIF(Assumptions!$A$6:$A$10,X77,Assumptions!$B$6:$B$10),0)</f>
        <v>24.030473743375623</v>
      </c>
      <c r="AH77" s="13">
        <f>IFERROR(IF(Assumptions!$B$13="Cost Price",AB77,AA77)*SUMIF(Assumptions!$A$6:$A$10,X77,Assumptions!$C$6:$C$10),0)</f>
        <v>15.019046089609766</v>
      </c>
      <c r="AI77" s="13">
        <f>IFERROR(IF(Assumptions!$B$13="Cost Price",AB77,AA77)*SUMIF(Assumptions!$A$6:$A$10,X77,Assumptions!$D$6:$D$10),0)</f>
        <v>30.038092179219532</v>
      </c>
      <c r="AJ77" s="13">
        <v>46.804702103741775</v>
      </c>
      <c r="AK77" s="13">
        <f t="shared" si="33"/>
        <v>115.89231411594669</v>
      </c>
      <c r="AL77" s="14">
        <v>0.33</v>
      </c>
      <c r="AM77" s="13">
        <f t="shared" si="34"/>
        <v>129.52860767624861</v>
      </c>
      <c r="AN77" s="14">
        <f t="shared" si="35"/>
        <v>0.43121449559255637</v>
      </c>
      <c r="AO77" t="str">
        <f>IF(AN77&gt;=Assumptions!$B$3,"OK","Review")</f>
        <v>OK</v>
      </c>
    </row>
    <row r="78" spans="1:41" ht="15" customHeight="1">
      <c r="A78" s="9" t="s">
        <v>70</v>
      </c>
      <c r="B78" s="9" t="s">
        <v>40</v>
      </c>
      <c r="C78" s="9" t="s">
        <v>78</v>
      </c>
      <c r="D78" s="9" t="s">
        <v>158</v>
      </c>
      <c r="E78" s="9" t="s">
        <v>73</v>
      </c>
      <c r="F78" s="9" t="s">
        <v>74</v>
      </c>
      <c r="G78" s="9" t="s">
        <v>24</v>
      </c>
      <c r="H78" s="9" t="s">
        <v>75</v>
      </c>
      <c r="I78" s="9">
        <v>4000011745</v>
      </c>
      <c r="J78" s="10">
        <v>19.91</v>
      </c>
      <c r="K78" s="10"/>
      <c r="L78" s="10">
        <f t="shared" si="18"/>
        <v>19.91</v>
      </c>
      <c r="M78" s="11">
        <v>0</v>
      </c>
      <c r="N78" s="10">
        <f t="shared" si="19"/>
        <v>0</v>
      </c>
      <c r="O78" s="10">
        <f t="shared" si="20"/>
        <v>19.91</v>
      </c>
      <c r="P78" s="11">
        <f t="shared" si="21"/>
        <v>3.5526292311260997E-2</v>
      </c>
      <c r="Q78" s="10">
        <f t="shared" si="22"/>
        <v>560.42999999999995</v>
      </c>
      <c r="R78" s="10">
        <f t="shared" si="23"/>
        <v>3063</v>
      </c>
      <c r="S78" s="10">
        <f t="shared" si="24"/>
        <v>108.81703334939243</v>
      </c>
      <c r="T78" s="9" t="s">
        <v>76</v>
      </c>
      <c r="U78" s="10">
        <v>5699</v>
      </c>
      <c r="V78" s="10">
        <f t="shared" si="25"/>
        <v>3989.2999999999997</v>
      </c>
      <c r="W78" s="166">
        <v>490110</v>
      </c>
      <c r="X78" s="12" t="s">
        <v>25</v>
      </c>
      <c r="Y78" s="12">
        <f t="shared" si="26"/>
        <v>108.81703334939243</v>
      </c>
      <c r="Z78" s="13">
        <f t="shared" si="27"/>
        <v>108.81703334939243</v>
      </c>
      <c r="AA78" s="13">
        <f t="shared" si="28"/>
        <v>108.81703334939243</v>
      </c>
      <c r="AB78" s="13">
        <f t="shared" si="29"/>
        <v>19.91</v>
      </c>
      <c r="AC78" s="13">
        <f t="shared" si="30"/>
        <v>88.907033349392435</v>
      </c>
      <c r="AD78" s="14">
        <f t="shared" si="31"/>
        <v>0.81703232125367287</v>
      </c>
      <c r="AE78" s="14">
        <f t="shared" si="32"/>
        <v>4.4654461752582844</v>
      </c>
      <c r="AF78" s="13" t="str">
        <f>IF(AD78&gt;=Assumptions!$B$3,"OK","Review")</f>
        <v>OK</v>
      </c>
      <c r="AG78" s="13">
        <f>IFERROR(IF(Assumptions!$B$13="Cost Price",AB78,AA78)*SUMIF(Assumptions!$A$6:$A$10,X78,Assumptions!$B$6:$B$10),0)</f>
        <v>8.7053626679513947</v>
      </c>
      <c r="AH78" s="13">
        <f>IFERROR(IF(Assumptions!$B$13="Cost Price",AB78,AA78)*SUMIF(Assumptions!$A$6:$A$10,X78,Assumptions!$C$6:$C$10),0)</f>
        <v>5.4408516674696221</v>
      </c>
      <c r="AI78" s="13">
        <f>IFERROR(IF(Assumptions!$B$13="Cost Price",AB78,AA78)*SUMIF(Assumptions!$A$6:$A$10,X78,Assumptions!$D$6:$D$10),0)</f>
        <v>10.881703334939244</v>
      </c>
      <c r="AJ78" s="13">
        <v>16.955633531395534</v>
      </c>
      <c r="AK78" s="13">
        <f t="shared" si="33"/>
        <v>41.983551201755795</v>
      </c>
      <c r="AL78" s="14">
        <v>0.33</v>
      </c>
      <c r="AM78" s="13">
        <f t="shared" si="34"/>
        <v>46.923482147636641</v>
      </c>
      <c r="AN78" s="14">
        <f t="shared" si="35"/>
        <v>0.43121449559255637</v>
      </c>
      <c r="AO78" t="str">
        <f>IF(AN78&gt;=Assumptions!$B$3,"OK","Review")</f>
        <v>OK</v>
      </c>
    </row>
    <row r="79" spans="1:41" ht="15" customHeight="1">
      <c r="A79" s="9" t="s">
        <v>70</v>
      </c>
      <c r="B79" s="9" t="s">
        <v>40</v>
      </c>
      <c r="C79" s="9" t="s">
        <v>78</v>
      </c>
      <c r="D79" s="9" t="s">
        <v>159</v>
      </c>
      <c r="E79" s="9" t="s">
        <v>73</v>
      </c>
      <c r="F79" s="9" t="s">
        <v>74</v>
      </c>
      <c r="G79" s="9" t="s">
        <v>24</v>
      </c>
      <c r="H79" s="9" t="s">
        <v>75</v>
      </c>
      <c r="I79" s="9">
        <v>4000011744</v>
      </c>
      <c r="J79" s="10">
        <v>57.51</v>
      </c>
      <c r="K79" s="10"/>
      <c r="L79" s="10">
        <f t="shared" si="18"/>
        <v>57.51</v>
      </c>
      <c r="M79" s="11">
        <v>0</v>
      </c>
      <c r="N79" s="10">
        <f t="shared" si="19"/>
        <v>0</v>
      </c>
      <c r="O79" s="10">
        <f t="shared" si="20"/>
        <v>57.51</v>
      </c>
      <c r="P79" s="11">
        <f t="shared" si="21"/>
        <v>0.10261763288903164</v>
      </c>
      <c r="Q79" s="10">
        <f t="shared" si="22"/>
        <v>560.42999999999995</v>
      </c>
      <c r="R79" s="10">
        <f t="shared" si="23"/>
        <v>3063</v>
      </c>
      <c r="S79" s="10">
        <f t="shared" si="24"/>
        <v>314.31780953910391</v>
      </c>
      <c r="T79" s="9" t="s">
        <v>76</v>
      </c>
      <c r="U79" s="10">
        <v>5699</v>
      </c>
      <c r="V79" s="10">
        <f t="shared" si="25"/>
        <v>3989.2999999999997</v>
      </c>
      <c r="W79" s="166">
        <v>490110</v>
      </c>
      <c r="X79" s="12" t="s">
        <v>25</v>
      </c>
      <c r="Y79" s="12">
        <f t="shared" si="26"/>
        <v>314.31780953910391</v>
      </c>
      <c r="Z79" s="13">
        <f t="shared" si="27"/>
        <v>314.31780953910391</v>
      </c>
      <c r="AA79" s="13">
        <f t="shared" si="28"/>
        <v>314.31780953910391</v>
      </c>
      <c r="AB79" s="13">
        <f t="shared" si="29"/>
        <v>57.51</v>
      </c>
      <c r="AC79" s="13">
        <f t="shared" si="30"/>
        <v>256.80780953910391</v>
      </c>
      <c r="AD79" s="14">
        <f t="shared" si="31"/>
        <v>0.81703232125367287</v>
      </c>
      <c r="AE79" s="14">
        <f t="shared" si="32"/>
        <v>4.4654461752582844</v>
      </c>
      <c r="AF79" s="13" t="str">
        <f>IF(AD79&gt;=Assumptions!$B$3,"OK","Review")</f>
        <v>OK</v>
      </c>
      <c r="AG79" s="13">
        <f>IFERROR(IF(Assumptions!$B$13="Cost Price",AB79,AA79)*SUMIF(Assumptions!$A$6:$A$10,X79,Assumptions!$B$6:$B$10),0)</f>
        <v>25.145424763128315</v>
      </c>
      <c r="AH79" s="13">
        <f>IFERROR(IF(Assumptions!$B$13="Cost Price",AB79,AA79)*SUMIF(Assumptions!$A$6:$A$10,X79,Assumptions!$C$6:$C$10),0)</f>
        <v>15.715890476955195</v>
      </c>
      <c r="AI79" s="13">
        <f>IFERROR(IF(Assumptions!$B$13="Cost Price",AB79,AA79)*SUMIF(Assumptions!$A$6:$A$10,X79,Assumptions!$D$6:$D$10),0)</f>
        <v>31.431780953910391</v>
      </c>
      <c r="AJ79" s="13">
        <v>48.976317648948132</v>
      </c>
      <c r="AK79" s="13">
        <f t="shared" si="33"/>
        <v>121.26941384294204</v>
      </c>
      <c r="AL79" s="14">
        <v>0.33</v>
      </c>
      <c r="AM79" s="13">
        <f t="shared" si="34"/>
        <v>135.53839569616187</v>
      </c>
      <c r="AN79" s="14">
        <f t="shared" si="35"/>
        <v>0.43121449559255631</v>
      </c>
      <c r="AO79" t="str">
        <f>IF(AN79&gt;=Assumptions!$B$3,"OK","Review")</f>
        <v>OK</v>
      </c>
    </row>
    <row r="80" spans="1:41" ht="15" customHeight="1">
      <c r="A80" s="9" t="s">
        <v>70</v>
      </c>
      <c r="B80" s="9" t="s">
        <v>40</v>
      </c>
      <c r="C80" s="9" t="s">
        <v>78</v>
      </c>
      <c r="D80" s="9" t="s">
        <v>160</v>
      </c>
      <c r="E80" s="9" t="s">
        <v>73</v>
      </c>
      <c r="F80" s="9" t="s">
        <v>74</v>
      </c>
      <c r="G80" s="9" t="s">
        <v>24</v>
      </c>
      <c r="H80" s="9" t="s">
        <v>75</v>
      </c>
      <c r="I80" s="9">
        <v>4000011746</v>
      </c>
      <c r="J80" s="10">
        <v>15.85</v>
      </c>
      <c r="K80" s="10"/>
      <c r="L80" s="10">
        <f t="shared" si="18"/>
        <v>15.85</v>
      </c>
      <c r="M80" s="11">
        <v>0</v>
      </c>
      <c r="N80" s="10">
        <f t="shared" si="19"/>
        <v>0</v>
      </c>
      <c r="O80" s="10">
        <f t="shared" si="20"/>
        <v>15.85</v>
      </c>
      <c r="P80" s="11">
        <f t="shared" si="21"/>
        <v>2.828185500419321E-2</v>
      </c>
      <c r="Q80" s="10">
        <f t="shared" si="22"/>
        <v>560.42999999999995</v>
      </c>
      <c r="R80" s="10">
        <f t="shared" si="23"/>
        <v>3063</v>
      </c>
      <c r="S80" s="10">
        <f t="shared" si="24"/>
        <v>86.627321877843798</v>
      </c>
      <c r="T80" s="9" t="s">
        <v>76</v>
      </c>
      <c r="U80" s="10">
        <v>5699</v>
      </c>
      <c r="V80" s="10">
        <f t="shared" si="25"/>
        <v>3989.2999999999997</v>
      </c>
      <c r="W80" s="166">
        <v>490110</v>
      </c>
      <c r="X80" s="12" t="s">
        <v>25</v>
      </c>
      <c r="Y80" s="12">
        <f t="shared" si="26"/>
        <v>86.627321877843798</v>
      </c>
      <c r="Z80" s="13">
        <f t="shared" si="27"/>
        <v>86.627321877843798</v>
      </c>
      <c r="AA80" s="13">
        <f t="shared" si="28"/>
        <v>86.627321877843798</v>
      </c>
      <c r="AB80" s="13">
        <f t="shared" si="29"/>
        <v>15.85</v>
      </c>
      <c r="AC80" s="13">
        <f t="shared" si="30"/>
        <v>70.777321877843804</v>
      </c>
      <c r="AD80" s="14">
        <f t="shared" si="31"/>
        <v>0.81703232125367298</v>
      </c>
      <c r="AE80" s="14">
        <f t="shared" si="32"/>
        <v>4.4654461752582844</v>
      </c>
      <c r="AF80" s="13" t="str">
        <f>IF(AD80&gt;=Assumptions!$B$3,"OK","Review")</f>
        <v>OK</v>
      </c>
      <c r="AG80" s="13">
        <f>IFERROR(IF(Assumptions!$B$13="Cost Price",AB80,AA80)*SUMIF(Assumptions!$A$6:$A$10,X80,Assumptions!$B$6:$B$10),0)</f>
        <v>6.9301857502275039</v>
      </c>
      <c r="AH80" s="13">
        <f>IFERROR(IF(Assumptions!$B$13="Cost Price",AB80,AA80)*SUMIF(Assumptions!$A$6:$A$10,X80,Assumptions!$C$6:$C$10),0)</f>
        <v>4.3313660938921901</v>
      </c>
      <c r="AI80" s="13">
        <f>IFERROR(IF(Assumptions!$B$13="Cost Price",AB80,AA80)*SUMIF(Assumptions!$A$6:$A$10,X80,Assumptions!$D$6:$D$10),0)</f>
        <v>8.6627321877843801</v>
      </c>
      <c r="AJ80" s="13">
        <v>13.498080937851293</v>
      </c>
      <c r="AK80" s="13">
        <f t="shared" si="33"/>
        <v>33.422364969755364</v>
      </c>
      <c r="AL80" s="14">
        <v>0.33</v>
      </c>
      <c r="AM80" s="13">
        <f t="shared" si="34"/>
        <v>37.35495690808844</v>
      </c>
      <c r="AN80" s="14">
        <f t="shared" si="35"/>
        <v>0.43121449559255642</v>
      </c>
      <c r="AO80" t="str">
        <f>IF(AN80&gt;=Assumptions!$B$3,"OK","Review")</f>
        <v>OK</v>
      </c>
    </row>
    <row r="81" spans="1:41" ht="15" customHeight="1">
      <c r="A81" s="9" t="s">
        <v>70</v>
      </c>
      <c r="B81" s="9" t="s">
        <v>40</v>
      </c>
      <c r="C81" s="9" t="s">
        <v>161</v>
      </c>
      <c r="D81" s="9" t="s">
        <v>162</v>
      </c>
      <c r="E81" s="9" t="s">
        <v>73</v>
      </c>
      <c r="F81" s="9" t="s">
        <v>74</v>
      </c>
      <c r="G81" s="9" t="s">
        <v>24</v>
      </c>
      <c r="H81" s="9" t="s">
        <v>75</v>
      </c>
      <c r="I81" s="9">
        <v>4000011748</v>
      </c>
      <c r="J81" s="10">
        <v>70.11</v>
      </c>
      <c r="K81" s="10"/>
      <c r="L81" s="10">
        <f t="shared" si="18"/>
        <v>70.11</v>
      </c>
      <c r="M81" s="11">
        <v>0</v>
      </c>
      <c r="N81" s="10">
        <f t="shared" si="19"/>
        <v>0</v>
      </c>
      <c r="O81" s="10">
        <f t="shared" si="20"/>
        <v>70.11</v>
      </c>
      <c r="P81" s="11">
        <f t="shared" si="21"/>
        <v>0.12510036935924201</v>
      </c>
      <c r="Q81" s="10">
        <f t="shared" si="22"/>
        <v>560.42999999999995</v>
      </c>
      <c r="R81" s="10">
        <f t="shared" si="23"/>
        <v>3063</v>
      </c>
      <c r="S81" s="10">
        <f t="shared" si="24"/>
        <v>383.18243134735832</v>
      </c>
      <c r="T81" s="9" t="s">
        <v>76</v>
      </c>
      <c r="U81" s="10">
        <v>5699</v>
      </c>
      <c r="V81" s="10">
        <f t="shared" si="25"/>
        <v>3989.2999999999997</v>
      </c>
      <c r="W81" s="166">
        <v>490110</v>
      </c>
      <c r="X81" s="12" t="s">
        <v>25</v>
      </c>
      <c r="Y81" s="12">
        <f t="shared" si="26"/>
        <v>383.18243134735832</v>
      </c>
      <c r="Z81" s="13">
        <f t="shared" si="27"/>
        <v>383.18243134735832</v>
      </c>
      <c r="AA81" s="13">
        <f t="shared" si="28"/>
        <v>383.18243134735832</v>
      </c>
      <c r="AB81" s="13">
        <f t="shared" si="29"/>
        <v>70.11</v>
      </c>
      <c r="AC81" s="13">
        <f t="shared" si="30"/>
        <v>313.0724313473583</v>
      </c>
      <c r="AD81" s="14">
        <f t="shared" si="31"/>
        <v>0.81703232125367287</v>
      </c>
      <c r="AE81" s="14">
        <f t="shared" si="32"/>
        <v>4.4654461752582844</v>
      </c>
      <c r="AF81" s="13" t="str">
        <f>IF(AD81&gt;=Assumptions!$B$3,"OK","Review")</f>
        <v>OK</v>
      </c>
      <c r="AG81" s="13">
        <f>IFERROR(IF(Assumptions!$B$13="Cost Price",AB81,AA81)*SUMIF(Assumptions!$A$6:$A$10,X81,Assumptions!$B$6:$B$10),0)</f>
        <v>30.654594507788666</v>
      </c>
      <c r="AH81" s="13">
        <f>IFERROR(IF(Assumptions!$B$13="Cost Price",AB81,AA81)*SUMIF(Assumptions!$A$6:$A$10,X81,Assumptions!$C$6:$C$10),0)</f>
        <v>19.159121567367915</v>
      </c>
      <c r="AI81" s="13">
        <f>IFERROR(IF(Assumptions!$B$13="Cost Price",AB81,AA81)*SUMIF(Assumptions!$A$6:$A$10,X81,Assumptions!$D$6:$D$10),0)</f>
        <v>38.31824313473583</v>
      </c>
      <c r="AJ81" s="13">
        <v>59.706653284085441</v>
      </c>
      <c r="AK81" s="13">
        <f t="shared" si="33"/>
        <v>147.83861249397785</v>
      </c>
      <c r="AL81" s="14">
        <v>0.33</v>
      </c>
      <c r="AM81" s="13">
        <f t="shared" si="34"/>
        <v>165.23381885338046</v>
      </c>
      <c r="AN81" s="14">
        <f t="shared" si="35"/>
        <v>0.43121449559255631</v>
      </c>
      <c r="AO81" t="str">
        <f>IF(AN81&gt;=Assumptions!$B$3,"OK","Review")</f>
        <v>OK</v>
      </c>
    </row>
    <row r="82" spans="1:41" ht="15" customHeight="1">
      <c r="A82" s="9" t="s">
        <v>70</v>
      </c>
      <c r="B82" s="9" t="s">
        <v>40</v>
      </c>
      <c r="C82" s="9" t="s">
        <v>105</v>
      </c>
      <c r="D82" s="9" t="s">
        <v>163</v>
      </c>
      <c r="E82" s="9" t="s">
        <v>73</v>
      </c>
      <c r="F82" s="9" t="s">
        <v>81</v>
      </c>
      <c r="G82" s="9" t="s">
        <v>24</v>
      </c>
      <c r="H82" s="9" t="s">
        <v>84</v>
      </c>
      <c r="I82" s="9">
        <v>4000011749</v>
      </c>
      <c r="J82" s="10">
        <v>54.96</v>
      </c>
      <c r="K82" s="10"/>
      <c r="L82" s="10">
        <f t="shared" si="18"/>
        <v>54.96</v>
      </c>
      <c r="M82" s="11">
        <v>0</v>
      </c>
      <c r="N82" s="10">
        <f t="shared" si="19"/>
        <v>0</v>
      </c>
      <c r="O82" s="10">
        <f t="shared" si="20"/>
        <v>54.96</v>
      </c>
      <c r="P82" s="11">
        <f t="shared" si="21"/>
        <v>9.8067555270060502E-2</v>
      </c>
      <c r="Q82" s="10">
        <f t="shared" si="22"/>
        <v>560.42999999999995</v>
      </c>
      <c r="R82" s="10">
        <f t="shared" si="23"/>
        <v>3063</v>
      </c>
      <c r="S82" s="10">
        <f t="shared" si="24"/>
        <v>300.38092179219529</v>
      </c>
      <c r="T82" s="9" t="s">
        <v>76</v>
      </c>
      <c r="U82" s="10">
        <v>5699</v>
      </c>
      <c r="V82" s="10">
        <f t="shared" si="25"/>
        <v>3989.2999999999997</v>
      </c>
      <c r="W82" s="166">
        <v>490110</v>
      </c>
      <c r="X82" s="12" t="s">
        <v>25</v>
      </c>
      <c r="Y82" s="12">
        <f t="shared" si="26"/>
        <v>300.38092179219529</v>
      </c>
      <c r="Z82" s="13">
        <f t="shared" si="27"/>
        <v>300.38092179219529</v>
      </c>
      <c r="AA82" s="13">
        <f t="shared" si="28"/>
        <v>300.38092179219529</v>
      </c>
      <c r="AB82" s="13">
        <f t="shared" si="29"/>
        <v>54.96</v>
      </c>
      <c r="AC82" s="13">
        <f t="shared" si="30"/>
        <v>245.42092179219529</v>
      </c>
      <c r="AD82" s="14">
        <f t="shared" si="31"/>
        <v>0.81703232125367287</v>
      </c>
      <c r="AE82" s="14">
        <f t="shared" si="32"/>
        <v>4.4654461752582835</v>
      </c>
      <c r="AF82" s="13" t="str">
        <f>IF(AD82&gt;=Assumptions!$B$3,"OK","Review")</f>
        <v>OK</v>
      </c>
      <c r="AG82" s="13">
        <f>IFERROR(IF(Assumptions!$B$13="Cost Price",AB82,AA82)*SUMIF(Assumptions!$A$6:$A$10,X82,Assumptions!$B$6:$B$10),0)</f>
        <v>24.030473743375623</v>
      </c>
      <c r="AH82" s="13">
        <f>IFERROR(IF(Assumptions!$B$13="Cost Price",AB82,AA82)*SUMIF(Assumptions!$A$6:$A$10,X82,Assumptions!$C$6:$C$10),0)</f>
        <v>15.019046089609766</v>
      </c>
      <c r="AI82" s="13">
        <f>IFERROR(IF(Assumptions!$B$13="Cost Price",AB82,AA82)*SUMIF(Assumptions!$A$6:$A$10,X82,Assumptions!$D$6:$D$10),0)</f>
        <v>30.038092179219532</v>
      </c>
      <c r="AJ82" s="13">
        <v>46.804702103741775</v>
      </c>
      <c r="AK82" s="13">
        <f t="shared" si="33"/>
        <v>115.89231411594669</v>
      </c>
      <c r="AL82" s="14">
        <v>0.33</v>
      </c>
      <c r="AM82" s="13">
        <f t="shared" si="34"/>
        <v>129.52860767624861</v>
      </c>
      <c r="AN82" s="14">
        <f t="shared" si="35"/>
        <v>0.43121449559255637</v>
      </c>
      <c r="AO82" t="str">
        <f>IF(AN82&gt;=Assumptions!$B$3,"OK","Review")</f>
        <v>OK</v>
      </c>
    </row>
    <row r="83" spans="1:41" ht="15" customHeight="1">
      <c r="A83" s="9" t="s">
        <v>70</v>
      </c>
      <c r="B83" s="9" t="s">
        <v>40</v>
      </c>
      <c r="C83" s="9" t="s">
        <v>105</v>
      </c>
      <c r="D83" s="9" t="s">
        <v>164</v>
      </c>
      <c r="E83" s="9" t="s">
        <v>73</v>
      </c>
      <c r="F83" s="9" t="s">
        <v>81</v>
      </c>
      <c r="G83" s="9" t="s">
        <v>24</v>
      </c>
      <c r="H83" s="9" t="s">
        <v>84</v>
      </c>
      <c r="I83" s="9">
        <v>4000011750</v>
      </c>
      <c r="J83" s="10">
        <v>20.59</v>
      </c>
      <c r="K83" s="10"/>
      <c r="L83" s="10">
        <f t="shared" si="18"/>
        <v>20.59</v>
      </c>
      <c r="M83" s="11">
        <v>0</v>
      </c>
      <c r="N83" s="10">
        <f t="shared" si="19"/>
        <v>0</v>
      </c>
      <c r="O83" s="10">
        <f t="shared" si="20"/>
        <v>20.59</v>
      </c>
      <c r="P83" s="11">
        <f t="shared" si="21"/>
        <v>3.673964634298664E-2</v>
      </c>
      <c r="Q83" s="10">
        <f t="shared" si="22"/>
        <v>560.42999999999995</v>
      </c>
      <c r="R83" s="10">
        <f t="shared" si="23"/>
        <v>3063</v>
      </c>
      <c r="S83" s="10">
        <f t="shared" si="24"/>
        <v>112.53353674856808</v>
      </c>
      <c r="T83" s="9" t="s">
        <v>76</v>
      </c>
      <c r="U83" s="10">
        <v>5699</v>
      </c>
      <c r="V83" s="10">
        <f t="shared" si="25"/>
        <v>3989.2999999999997</v>
      </c>
      <c r="W83" s="166">
        <v>490110</v>
      </c>
      <c r="X83" s="12" t="s">
        <v>25</v>
      </c>
      <c r="Y83" s="12">
        <f t="shared" si="26"/>
        <v>112.53353674856808</v>
      </c>
      <c r="Z83" s="13">
        <f t="shared" si="27"/>
        <v>112.53353674856808</v>
      </c>
      <c r="AA83" s="13">
        <f t="shared" si="28"/>
        <v>112.53353674856808</v>
      </c>
      <c r="AB83" s="13">
        <f t="shared" si="29"/>
        <v>20.59</v>
      </c>
      <c r="AC83" s="13">
        <f t="shared" si="30"/>
        <v>91.943536748568079</v>
      </c>
      <c r="AD83" s="14">
        <f t="shared" si="31"/>
        <v>0.81703232125367287</v>
      </c>
      <c r="AE83" s="14">
        <f t="shared" si="32"/>
        <v>4.4654461752582844</v>
      </c>
      <c r="AF83" s="13" t="str">
        <f>IF(AD83&gt;=Assumptions!$B$3,"OK","Review")</f>
        <v>OK</v>
      </c>
      <c r="AG83" s="13">
        <f>IFERROR(IF(Assumptions!$B$13="Cost Price",AB83,AA83)*SUMIF(Assumptions!$A$6:$A$10,X83,Assumptions!$B$6:$B$10),0)</f>
        <v>9.002682939885446</v>
      </c>
      <c r="AH83" s="13">
        <f>IFERROR(IF(Assumptions!$B$13="Cost Price",AB83,AA83)*SUMIF(Assumptions!$A$6:$A$10,X83,Assumptions!$C$6:$C$10),0)</f>
        <v>5.6266768374284046</v>
      </c>
      <c r="AI83" s="13">
        <f>IFERROR(IF(Assumptions!$B$13="Cost Price",AB83,AA83)*SUMIF(Assumptions!$A$6:$A$10,X83,Assumptions!$D$6:$D$10),0)</f>
        <v>11.253353674856809</v>
      </c>
      <c r="AJ83" s="13">
        <v>17.534731010117234</v>
      </c>
      <c r="AK83" s="13">
        <f t="shared" si="33"/>
        <v>43.417444462287897</v>
      </c>
      <c r="AL83" s="14">
        <v>0.33</v>
      </c>
      <c r="AM83" s="13">
        <f t="shared" si="34"/>
        <v>48.526092286280182</v>
      </c>
      <c r="AN83" s="14">
        <f t="shared" si="35"/>
        <v>0.43121449559255631</v>
      </c>
      <c r="AO83" t="str">
        <f>IF(AN83&gt;=Assumptions!$B$3,"OK","Review")</f>
        <v>OK</v>
      </c>
    </row>
    <row r="84" spans="1:41" ht="15" customHeight="1">
      <c r="A84" s="9" t="s">
        <v>70</v>
      </c>
      <c r="B84" s="9" t="s">
        <v>40</v>
      </c>
      <c r="C84" s="9" t="s">
        <v>71</v>
      </c>
      <c r="D84" s="9" t="s">
        <v>165</v>
      </c>
      <c r="E84" s="9" t="s">
        <v>73</v>
      </c>
      <c r="F84" s="9" t="s">
        <v>74</v>
      </c>
      <c r="G84" s="9" t="s">
        <v>24</v>
      </c>
      <c r="H84" s="9" t="s">
        <v>84</v>
      </c>
      <c r="I84" s="9">
        <v>4000011751</v>
      </c>
      <c r="J84" s="10">
        <v>60.05</v>
      </c>
      <c r="K84" s="10"/>
      <c r="L84" s="10">
        <f t="shared" si="18"/>
        <v>60.05</v>
      </c>
      <c r="M84" s="11">
        <v>0</v>
      </c>
      <c r="N84" s="10">
        <f t="shared" si="19"/>
        <v>0</v>
      </c>
      <c r="O84" s="10">
        <f t="shared" si="20"/>
        <v>60.05</v>
      </c>
      <c r="P84" s="11">
        <f t="shared" si="21"/>
        <v>0.10714986706635976</v>
      </c>
      <c r="Q84" s="10">
        <f t="shared" si="22"/>
        <v>560.42999999999995</v>
      </c>
      <c r="R84" s="10">
        <f t="shared" si="23"/>
        <v>3063</v>
      </c>
      <c r="S84" s="10">
        <f t="shared" si="24"/>
        <v>328.20004282425992</v>
      </c>
      <c r="T84" s="9" t="s">
        <v>76</v>
      </c>
      <c r="U84" s="10">
        <v>5699</v>
      </c>
      <c r="V84" s="10">
        <f t="shared" si="25"/>
        <v>3989.2999999999997</v>
      </c>
      <c r="W84" s="166">
        <v>490110</v>
      </c>
      <c r="X84" s="12" t="s">
        <v>25</v>
      </c>
      <c r="Y84" s="12">
        <f t="shared" si="26"/>
        <v>328.20004282425992</v>
      </c>
      <c r="Z84" s="13">
        <f t="shared" si="27"/>
        <v>328.20004282425992</v>
      </c>
      <c r="AA84" s="13">
        <f t="shared" si="28"/>
        <v>328.20004282425992</v>
      </c>
      <c r="AB84" s="13">
        <f t="shared" si="29"/>
        <v>60.05</v>
      </c>
      <c r="AC84" s="13">
        <f t="shared" si="30"/>
        <v>268.15004282425991</v>
      </c>
      <c r="AD84" s="14">
        <f t="shared" si="31"/>
        <v>0.81703232125367287</v>
      </c>
      <c r="AE84" s="14">
        <f t="shared" si="32"/>
        <v>4.4654461752582835</v>
      </c>
      <c r="AF84" s="13" t="str">
        <f>IF(AD84&gt;=Assumptions!$B$3,"OK","Review")</f>
        <v>OK</v>
      </c>
      <c r="AG84" s="13">
        <f>IFERROR(IF(Assumptions!$B$13="Cost Price",AB84,AA84)*SUMIF(Assumptions!$A$6:$A$10,X84,Assumptions!$B$6:$B$10),0)</f>
        <v>26.256003425940794</v>
      </c>
      <c r="AH84" s="13">
        <f>IFERROR(IF(Assumptions!$B$13="Cost Price",AB84,AA84)*SUMIF(Assumptions!$A$6:$A$10,X84,Assumptions!$C$6:$C$10),0)</f>
        <v>16.410002141212995</v>
      </c>
      <c r="AI84" s="13">
        <f>IFERROR(IF(Assumptions!$B$13="Cost Price",AB84,AA84)*SUMIF(Assumptions!$A$6:$A$10,X84,Assumptions!$D$6:$D$10),0)</f>
        <v>32.820004282425991</v>
      </c>
      <c r="AJ84" s="13">
        <v>51.139417054761523</v>
      </c>
      <c r="AK84" s="13">
        <f t="shared" si="33"/>
        <v>126.6254269043413</v>
      </c>
      <c r="AL84" s="14">
        <v>0.33</v>
      </c>
      <c r="AM84" s="13">
        <f t="shared" si="34"/>
        <v>141.52461591991863</v>
      </c>
      <c r="AN84" s="14">
        <f t="shared" si="35"/>
        <v>0.43121449559255631</v>
      </c>
      <c r="AO84" t="str">
        <f>IF(AN84&gt;=Assumptions!$B$3,"OK","Review")</f>
        <v>OK</v>
      </c>
    </row>
    <row r="85" spans="1:41" ht="15" customHeight="1">
      <c r="A85" s="9" t="s">
        <v>70</v>
      </c>
      <c r="B85" s="9" t="s">
        <v>40</v>
      </c>
      <c r="C85" s="9" t="s">
        <v>78</v>
      </c>
      <c r="D85" s="9" t="s">
        <v>166</v>
      </c>
      <c r="E85" s="9" t="s">
        <v>73</v>
      </c>
      <c r="F85" s="9" t="s">
        <v>74</v>
      </c>
      <c r="G85" s="9" t="s">
        <v>24</v>
      </c>
      <c r="H85" s="9" t="s">
        <v>84</v>
      </c>
      <c r="I85" s="9">
        <v>4000011752</v>
      </c>
      <c r="J85" s="10">
        <v>53.42</v>
      </c>
      <c r="K85" s="10"/>
      <c r="L85" s="10">
        <f t="shared" si="18"/>
        <v>53.42</v>
      </c>
      <c r="M85" s="11">
        <v>0</v>
      </c>
      <c r="N85" s="10">
        <f t="shared" si="19"/>
        <v>0</v>
      </c>
      <c r="O85" s="10">
        <f t="shared" si="20"/>
        <v>53.42</v>
      </c>
      <c r="P85" s="11">
        <f t="shared" si="21"/>
        <v>9.5319665257034794E-2</v>
      </c>
      <c r="Q85" s="10">
        <f t="shared" si="22"/>
        <v>560.42999999999995</v>
      </c>
      <c r="R85" s="10">
        <f t="shared" si="23"/>
        <v>3063</v>
      </c>
      <c r="S85" s="10">
        <f t="shared" si="24"/>
        <v>291.96413468229758</v>
      </c>
      <c r="T85" s="9" t="s">
        <v>76</v>
      </c>
      <c r="U85" s="10">
        <v>5699</v>
      </c>
      <c r="V85" s="10">
        <f t="shared" si="25"/>
        <v>3989.2999999999997</v>
      </c>
      <c r="W85" s="166">
        <v>490110</v>
      </c>
      <c r="X85" s="12" t="s">
        <v>25</v>
      </c>
      <c r="Y85" s="12">
        <f t="shared" si="26"/>
        <v>291.96413468229758</v>
      </c>
      <c r="Z85" s="13">
        <f t="shared" si="27"/>
        <v>291.96413468229758</v>
      </c>
      <c r="AA85" s="13">
        <f t="shared" si="28"/>
        <v>291.96413468229758</v>
      </c>
      <c r="AB85" s="13">
        <f t="shared" si="29"/>
        <v>53.42</v>
      </c>
      <c r="AC85" s="13">
        <f t="shared" si="30"/>
        <v>238.54413468229757</v>
      </c>
      <c r="AD85" s="14">
        <f t="shared" si="31"/>
        <v>0.81703232125367287</v>
      </c>
      <c r="AE85" s="14">
        <f t="shared" si="32"/>
        <v>4.4654461752582844</v>
      </c>
      <c r="AF85" s="13" t="str">
        <f>IF(AD85&gt;=Assumptions!$B$3,"OK","Review")</f>
        <v>OK</v>
      </c>
      <c r="AG85" s="13">
        <f>IFERROR(IF(Assumptions!$B$13="Cost Price",AB85,AA85)*SUMIF(Assumptions!$A$6:$A$10,X85,Assumptions!$B$6:$B$10),0)</f>
        <v>23.357130774583808</v>
      </c>
      <c r="AH85" s="13">
        <f>IFERROR(IF(Assumptions!$B$13="Cost Price",AB85,AA85)*SUMIF(Assumptions!$A$6:$A$10,X85,Assumptions!$C$6:$C$10),0)</f>
        <v>14.59820673411488</v>
      </c>
      <c r="AI85" s="13">
        <f>IFERROR(IF(Assumptions!$B$13="Cost Price",AB85,AA85)*SUMIF(Assumptions!$A$6:$A$10,X85,Assumptions!$D$6:$D$10),0)</f>
        <v>29.19641346822976</v>
      </c>
      <c r="AJ85" s="13">
        <v>45.493216637224997</v>
      </c>
      <c r="AK85" s="13">
        <f t="shared" si="33"/>
        <v>112.64496761415344</v>
      </c>
      <c r="AL85" s="14">
        <v>0.33</v>
      </c>
      <c r="AM85" s="13">
        <f t="shared" si="34"/>
        <v>125.89916706814412</v>
      </c>
      <c r="AN85" s="14">
        <f t="shared" si="35"/>
        <v>0.43121449559255631</v>
      </c>
      <c r="AO85" t="str">
        <f>IF(AN85&gt;=Assumptions!$B$3,"OK","Review")</f>
        <v>OK</v>
      </c>
    </row>
    <row r="86" spans="1:41" ht="15" customHeight="1">
      <c r="A86" s="9" t="s">
        <v>70</v>
      </c>
      <c r="B86" s="9" t="s">
        <v>40</v>
      </c>
      <c r="C86" s="9" t="s">
        <v>78</v>
      </c>
      <c r="D86" s="9" t="s">
        <v>167</v>
      </c>
      <c r="E86" s="9" t="s">
        <v>73</v>
      </c>
      <c r="F86" s="9" t="s">
        <v>74</v>
      </c>
      <c r="G86" s="9" t="s">
        <v>24</v>
      </c>
      <c r="H86" s="9" t="s">
        <v>84</v>
      </c>
      <c r="I86" s="9">
        <v>4000011753</v>
      </c>
      <c r="J86" s="10">
        <v>18.66</v>
      </c>
      <c r="K86" s="10"/>
      <c r="L86" s="10">
        <f t="shared" si="18"/>
        <v>18.66</v>
      </c>
      <c r="M86" s="11">
        <v>0</v>
      </c>
      <c r="N86" s="10">
        <f t="shared" si="19"/>
        <v>0</v>
      </c>
      <c r="O86" s="10">
        <f t="shared" si="20"/>
        <v>18.66</v>
      </c>
      <c r="P86" s="11">
        <f t="shared" si="21"/>
        <v>3.3295862105882985E-2</v>
      </c>
      <c r="Q86" s="10">
        <f t="shared" si="22"/>
        <v>560.42999999999995</v>
      </c>
      <c r="R86" s="10">
        <f t="shared" si="23"/>
        <v>3063</v>
      </c>
      <c r="S86" s="10">
        <f t="shared" si="24"/>
        <v>101.98522563031959</v>
      </c>
      <c r="T86" s="9" t="s">
        <v>76</v>
      </c>
      <c r="U86" s="10">
        <v>5699</v>
      </c>
      <c r="V86" s="10">
        <f t="shared" si="25"/>
        <v>3989.2999999999997</v>
      </c>
      <c r="W86" s="166">
        <v>490110</v>
      </c>
      <c r="X86" s="12" t="s">
        <v>25</v>
      </c>
      <c r="Y86" s="12">
        <f t="shared" si="26"/>
        <v>101.98522563031959</v>
      </c>
      <c r="Z86" s="13">
        <f t="shared" si="27"/>
        <v>101.98522563031959</v>
      </c>
      <c r="AA86" s="13">
        <f t="shared" si="28"/>
        <v>101.98522563031959</v>
      </c>
      <c r="AB86" s="13">
        <f t="shared" si="29"/>
        <v>18.66</v>
      </c>
      <c r="AC86" s="13">
        <f t="shared" si="30"/>
        <v>83.325225630319594</v>
      </c>
      <c r="AD86" s="14">
        <f t="shared" si="31"/>
        <v>0.81703232125367298</v>
      </c>
      <c r="AE86" s="14">
        <f t="shared" si="32"/>
        <v>4.4654461752582844</v>
      </c>
      <c r="AF86" s="13" t="str">
        <f>IF(AD86&gt;=Assumptions!$B$3,"OK","Review")</f>
        <v>OK</v>
      </c>
      <c r="AG86" s="13">
        <f>IFERROR(IF(Assumptions!$B$13="Cost Price",AB86,AA86)*SUMIF(Assumptions!$A$6:$A$10,X86,Assumptions!$B$6:$B$10),0)</f>
        <v>8.1588180504255678</v>
      </c>
      <c r="AH86" s="13">
        <f>IFERROR(IF(Assumptions!$B$13="Cost Price",AB86,AA86)*SUMIF(Assumptions!$A$6:$A$10,X86,Assumptions!$C$6:$C$10),0)</f>
        <v>5.0992612815159797</v>
      </c>
      <c r="AI86" s="13">
        <f>IFERROR(IF(Assumptions!$B$13="Cost Price",AB86,AA86)*SUMIF(Assumptions!$A$6:$A$10,X86,Assumptions!$D$6:$D$10),0)</f>
        <v>10.198522563031959</v>
      </c>
      <c r="AJ86" s="13">
        <v>15.891116107274772</v>
      </c>
      <c r="AK86" s="13">
        <f t="shared" si="33"/>
        <v>39.347718002248286</v>
      </c>
      <c r="AL86" s="14">
        <v>0.33</v>
      </c>
      <c r="AM86" s="13">
        <f t="shared" si="34"/>
        <v>43.977507628071308</v>
      </c>
      <c r="AN86" s="14">
        <f t="shared" si="35"/>
        <v>0.43121449559255631</v>
      </c>
      <c r="AO86" t="str">
        <f>IF(AN86&gt;=Assumptions!$B$3,"OK","Review")</f>
        <v>OK</v>
      </c>
    </row>
    <row r="87" spans="1:41" ht="15" customHeight="1">
      <c r="A87" s="9" t="s">
        <v>70</v>
      </c>
      <c r="B87" s="9" t="s">
        <v>40</v>
      </c>
      <c r="C87" s="9" t="s">
        <v>161</v>
      </c>
      <c r="D87" s="9" t="s">
        <v>168</v>
      </c>
      <c r="E87" s="9" t="s">
        <v>73</v>
      </c>
      <c r="F87" s="9" t="s">
        <v>74</v>
      </c>
      <c r="G87" s="9" t="s">
        <v>24</v>
      </c>
      <c r="H87" s="9" t="s">
        <v>84</v>
      </c>
      <c r="I87" s="9">
        <v>4000011754</v>
      </c>
      <c r="J87" s="10">
        <v>60.05</v>
      </c>
      <c r="K87" s="10"/>
      <c r="L87" s="10">
        <f t="shared" si="18"/>
        <v>60.05</v>
      </c>
      <c r="M87" s="11">
        <v>0</v>
      </c>
      <c r="N87" s="10">
        <f t="shared" si="19"/>
        <v>0</v>
      </c>
      <c r="O87" s="10">
        <f t="shared" si="20"/>
        <v>60.05</v>
      </c>
      <c r="P87" s="11">
        <f t="shared" si="21"/>
        <v>0.10714986706635976</v>
      </c>
      <c r="Q87" s="10">
        <f t="shared" si="22"/>
        <v>560.42999999999995</v>
      </c>
      <c r="R87" s="10">
        <f t="shared" si="23"/>
        <v>3063</v>
      </c>
      <c r="S87" s="10">
        <f t="shared" si="24"/>
        <v>328.20004282425992</v>
      </c>
      <c r="T87" s="9" t="s">
        <v>76</v>
      </c>
      <c r="U87" s="10">
        <v>5699</v>
      </c>
      <c r="V87" s="10">
        <f t="shared" si="25"/>
        <v>3989.2999999999997</v>
      </c>
      <c r="W87" s="166">
        <v>490110</v>
      </c>
      <c r="X87" s="12" t="s">
        <v>25</v>
      </c>
      <c r="Y87" s="12">
        <f t="shared" si="26"/>
        <v>328.20004282425992</v>
      </c>
      <c r="Z87" s="13">
        <f t="shared" si="27"/>
        <v>328.20004282425992</v>
      </c>
      <c r="AA87" s="13">
        <f t="shared" si="28"/>
        <v>328.20004282425992</v>
      </c>
      <c r="AB87" s="13">
        <f t="shared" si="29"/>
        <v>60.05</v>
      </c>
      <c r="AC87" s="13">
        <f t="shared" si="30"/>
        <v>268.15004282425991</v>
      </c>
      <c r="AD87" s="14">
        <f t="shared" si="31"/>
        <v>0.81703232125367287</v>
      </c>
      <c r="AE87" s="14">
        <f t="shared" si="32"/>
        <v>4.4654461752582835</v>
      </c>
      <c r="AF87" s="13" t="str">
        <f>IF(AD87&gt;=Assumptions!$B$3,"OK","Review")</f>
        <v>OK</v>
      </c>
      <c r="AG87" s="13">
        <f>IFERROR(IF(Assumptions!$B$13="Cost Price",AB87,AA87)*SUMIF(Assumptions!$A$6:$A$10,X87,Assumptions!$B$6:$B$10),0)</f>
        <v>26.256003425940794</v>
      </c>
      <c r="AH87" s="13">
        <f>IFERROR(IF(Assumptions!$B$13="Cost Price",AB87,AA87)*SUMIF(Assumptions!$A$6:$A$10,X87,Assumptions!$C$6:$C$10),0)</f>
        <v>16.410002141212995</v>
      </c>
      <c r="AI87" s="13">
        <f>IFERROR(IF(Assumptions!$B$13="Cost Price",AB87,AA87)*SUMIF(Assumptions!$A$6:$A$10,X87,Assumptions!$D$6:$D$10),0)</f>
        <v>32.820004282425991</v>
      </c>
      <c r="AJ87" s="13">
        <v>51.139417054761523</v>
      </c>
      <c r="AK87" s="13">
        <f t="shared" si="33"/>
        <v>126.6254269043413</v>
      </c>
      <c r="AL87" s="14">
        <v>0.33</v>
      </c>
      <c r="AM87" s="13">
        <f t="shared" si="34"/>
        <v>141.52461591991863</v>
      </c>
      <c r="AN87" s="14">
        <f t="shared" si="35"/>
        <v>0.43121449559255631</v>
      </c>
      <c r="AO87" t="str">
        <f>IF(AN87&gt;=Assumptions!$B$3,"OK","Review")</f>
        <v>OK</v>
      </c>
    </row>
    <row r="88" spans="1:41" ht="15" customHeight="1">
      <c r="A88" s="9" t="s">
        <v>70</v>
      </c>
      <c r="B88" s="9" t="s">
        <v>40</v>
      </c>
      <c r="C88" s="9" t="s">
        <v>88</v>
      </c>
      <c r="D88" s="9" t="s">
        <v>169</v>
      </c>
      <c r="E88" s="9" t="s">
        <v>73</v>
      </c>
      <c r="F88" s="9" t="s">
        <v>90</v>
      </c>
      <c r="G88" s="9" t="s">
        <v>24</v>
      </c>
      <c r="H88" s="9" t="s">
        <v>75</v>
      </c>
      <c r="I88" s="9">
        <v>7000000218</v>
      </c>
      <c r="J88" s="10">
        <v>286.5</v>
      </c>
      <c r="K88" s="10">
        <v>10</v>
      </c>
      <c r="L88" s="10">
        <f t="shared" si="18"/>
        <v>296.5</v>
      </c>
      <c r="M88" s="11">
        <v>0.18</v>
      </c>
      <c r="N88" s="10">
        <f t="shared" si="19"/>
        <v>53.37</v>
      </c>
      <c r="O88" s="10">
        <f t="shared" si="20"/>
        <v>349.87</v>
      </c>
      <c r="P88" s="11">
        <f t="shared" si="21"/>
        <v>0.75541401273885356</v>
      </c>
      <c r="Q88" s="10">
        <f t="shared" si="22"/>
        <v>463.15</v>
      </c>
      <c r="R88" s="10">
        <f t="shared" si="23"/>
        <v>3063</v>
      </c>
      <c r="S88" s="10">
        <f t="shared" si="24"/>
        <v>349.87</v>
      </c>
      <c r="T88" s="9" t="s">
        <v>91</v>
      </c>
      <c r="U88" s="10">
        <v>5699</v>
      </c>
      <c r="V88" s="10">
        <f t="shared" si="25"/>
        <v>3989.2999999999997</v>
      </c>
      <c r="W88" s="166">
        <v>49119990</v>
      </c>
      <c r="X88" s="12" t="s">
        <v>25</v>
      </c>
      <c r="Y88" s="12">
        <f t="shared" si="26"/>
        <v>349.87</v>
      </c>
      <c r="Z88" s="13">
        <f t="shared" si="27"/>
        <v>349.87</v>
      </c>
      <c r="AA88" s="13">
        <f t="shared" si="28"/>
        <v>296.5</v>
      </c>
      <c r="AB88" s="13">
        <f t="shared" si="29"/>
        <v>286.5</v>
      </c>
      <c r="AC88" s="13">
        <f t="shared" si="30"/>
        <v>10</v>
      </c>
      <c r="AD88" s="14">
        <f t="shared" si="31"/>
        <v>3.3726812816188868E-2</v>
      </c>
      <c r="AE88" s="14">
        <f t="shared" si="32"/>
        <v>3.4904013961605584E-2</v>
      </c>
      <c r="AF88" s="13" t="str">
        <f>IF(AD88&gt;=Assumptions!$B$3,"OK","Review")</f>
        <v>Review</v>
      </c>
      <c r="AG88" s="13">
        <f>IFERROR(IF(Assumptions!$B$13="Cost Price",AB88,AA88)*SUMIF(Assumptions!$A$6:$A$10,X88,Assumptions!$B$6:$B$10),0)</f>
        <v>23.72</v>
      </c>
      <c r="AH88" s="13">
        <f>IFERROR(IF(Assumptions!$B$13="Cost Price",AB88,AA88)*SUMIF(Assumptions!$A$6:$A$10,X88,Assumptions!$C$6:$C$10),0)</f>
        <v>14.825000000000001</v>
      </c>
      <c r="AI88" s="13">
        <f>IFERROR(IF(Assumptions!$B$13="Cost Price",AB88,AA88)*SUMIF(Assumptions!$A$6:$A$10,X88,Assumptions!$D$6:$D$10),0)</f>
        <v>29.650000000000002</v>
      </c>
      <c r="AJ88" s="13">
        <v>29.650000000000002</v>
      </c>
      <c r="AK88" s="13">
        <f t="shared" si="33"/>
        <v>97.845000000000013</v>
      </c>
      <c r="AL88" s="14">
        <v>0.33</v>
      </c>
      <c r="AM88" s="13">
        <f t="shared" si="34"/>
        <v>-87.845000000000013</v>
      </c>
      <c r="AN88" s="14">
        <f t="shared" si="35"/>
        <v>-0.29627318718381118</v>
      </c>
      <c r="AO88" t="str">
        <f>IF(AN88&gt;=Assumptions!$B$3,"OK","Review")</f>
        <v>Review</v>
      </c>
    </row>
    <row r="89" spans="1:41" ht="15" customHeight="1">
      <c r="A89" s="9" t="s">
        <v>70</v>
      </c>
      <c r="B89" s="9" t="s">
        <v>40</v>
      </c>
      <c r="C89" s="9" t="s">
        <v>92</v>
      </c>
      <c r="D89" s="9" t="s">
        <v>93</v>
      </c>
      <c r="E89" s="9" t="s">
        <v>73</v>
      </c>
      <c r="F89" s="9" t="s">
        <v>94</v>
      </c>
      <c r="G89" s="9" t="s">
        <v>24</v>
      </c>
      <c r="H89" s="9" t="s">
        <v>75</v>
      </c>
      <c r="I89" s="9">
        <v>8400007</v>
      </c>
      <c r="J89" s="10">
        <v>96</v>
      </c>
      <c r="K89" s="10"/>
      <c r="L89" s="10">
        <f t="shared" si="18"/>
        <v>96</v>
      </c>
      <c r="M89" s="11">
        <v>0.18</v>
      </c>
      <c r="N89" s="10">
        <f t="shared" si="19"/>
        <v>17.28</v>
      </c>
      <c r="O89" s="10">
        <f t="shared" si="20"/>
        <v>113.28</v>
      </c>
      <c r="P89" s="11">
        <f t="shared" si="21"/>
        <v>0.2445859872611465</v>
      </c>
      <c r="Q89" s="10">
        <f t="shared" si="22"/>
        <v>463.15</v>
      </c>
      <c r="R89" s="10">
        <f t="shared" si="23"/>
        <v>3063</v>
      </c>
      <c r="S89" s="10">
        <f t="shared" si="24"/>
        <v>113.28</v>
      </c>
      <c r="T89" s="9" t="s">
        <v>91</v>
      </c>
      <c r="U89" s="10">
        <v>5699</v>
      </c>
      <c r="V89" s="10">
        <f t="shared" si="25"/>
        <v>3989.2999999999997</v>
      </c>
      <c r="W89" s="166">
        <v>999299</v>
      </c>
      <c r="X89" s="12" t="s">
        <v>25</v>
      </c>
      <c r="Y89" s="12">
        <f t="shared" si="26"/>
        <v>113.28</v>
      </c>
      <c r="Z89" s="13">
        <f t="shared" si="27"/>
        <v>113.28</v>
      </c>
      <c r="AA89" s="13">
        <f t="shared" si="28"/>
        <v>96</v>
      </c>
      <c r="AB89" s="13">
        <f t="shared" si="29"/>
        <v>96</v>
      </c>
      <c r="AC89" s="13">
        <f t="shared" si="30"/>
        <v>0</v>
      </c>
      <c r="AD89" s="14">
        <f t="shared" si="31"/>
        <v>0</v>
      </c>
      <c r="AE89" s="14">
        <f t="shared" si="32"/>
        <v>0</v>
      </c>
      <c r="AF89" s="13" t="str">
        <f>IF(AD89&gt;=Assumptions!$B$3,"OK","Review")</f>
        <v>Review</v>
      </c>
      <c r="AG89" s="13">
        <f>IFERROR(IF(Assumptions!$B$13="Cost Price",AB89,AA89)*SUMIF(Assumptions!$A$6:$A$10,X89,Assumptions!$B$6:$B$10),0)</f>
        <v>7.68</v>
      </c>
      <c r="AH89" s="13">
        <f>IFERROR(IF(Assumptions!$B$13="Cost Price",AB89,AA89)*SUMIF(Assumptions!$A$6:$A$10,X89,Assumptions!$C$6:$C$10),0)</f>
        <v>4.8000000000000007</v>
      </c>
      <c r="AI89" s="13">
        <f>IFERROR(IF(Assumptions!$B$13="Cost Price",AB89,AA89)*SUMIF(Assumptions!$A$6:$A$10,X89,Assumptions!$D$6:$D$10),0)</f>
        <v>9.6000000000000014</v>
      </c>
      <c r="AJ89" s="13">
        <v>9.6000000000000014</v>
      </c>
      <c r="AK89" s="13">
        <f t="shared" si="33"/>
        <v>31.680000000000003</v>
      </c>
      <c r="AL89" s="14">
        <v>0.33</v>
      </c>
      <c r="AM89" s="13">
        <f t="shared" si="34"/>
        <v>-31.680000000000003</v>
      </c>
      <c r="AN89" s="14">
        <f t="shared" si="35"/>
        <v>-0.33</v>
      </c>
      <c r="AO89" t="str">
        <f>IF(AN89&gt;=Assumptions!$B$3,"OK","Review")</f>
        <v>Review</v>
      </c>
    </row>
    <row r="90" spans="1:41" ht="15" customHeight="1">
      <c r="A90" s="9" t="s">
        <v>70</v>
      </c>
      <c r="B90" s="9" t="s">
        <v>41</v>
      </c>
      <c r="C90" s="9" t="s">
        <v>105</v>
      </c>
      <c r="D90" s="9" t="s">
        <v>170</v>
      </c>
      <c r="E90" s="9" t="s">
        <v>73</v>
      </c>
      <c r="F90" s="9" t="s">
        <v>81</v>
      </c>
      <c r="G90" s="9" t="s">
        <v>24</v>
      </c>
      <c r="H90" s="9" t="s">
        <v>75</v>
      </c>
      <c r="I90" s="9">
        <v>4000011755</v>
      </c>
      <c r="J90" s="10">
        <v>51.85</v>
      </c>
      <c r="K90" s="10"/>
      <c r="L90" s="10">
        <f t="shared" si="18"/>
        <v>51.85</v>
      </c>
      <c r="M90" s="11">
        <v>0</v>
      </c>
      <c r="N90" s="10">
        <f t="shared" si="19"/>
        <v>0</v>
      </c>
      <c r="O90" s="10">
        <f t="shared" si="20"/>
        <v>51.85</v>
      </c>
      <c r="P90" s="11">
        <f t="shared" si="21"/>
        <v>7.736958338307269E-2</v>
      </c>
      <c r="Q90" s="10">
        <f t="shared" si="22"/>
        <v>670.16000000000008</v>
      </c>
      <c r="R90" s="10">
        <f t="shared" si="23"/>
        <v>3057.5719999999997</v>
      </c>
      <c r="S90" s="10">
        <f t="shared" si="24"/>
        <v>236.5630718037483</v>
      </c>
      <c r="T90" s="9" t="s">
        <v>76</v>
      </c>
      <c r="U90" s="10">
        <v>5699</v>
      </c>
      <c r="V90" s="10">
        <f t="shared" si="25"/>
        <v>3989.2999999999997</v>
      </c>
      <c r="W90" s="166">
        <v>490110</v>
      </c>
      <c r="X90" s="12" t="s">
        <v>25</v>
      </c>
      <c r="Y90" s="12">
        <f t="shared" si="26"/>
        <v>236.5630718037483</v>
      </c>
      <c r="Z90" s="13">
        <f t="shared" si="27"/>
        <v>236.5630718037483</v>
      </c>
      <c r="AA90" s="13">
        <f t="shared" si="28"/>
        <v>236.5630718037483</v>
      </c>
      <c r="AB90" s="13">
        <f t="shared" si="29"/>
        <v>51.85</v>
      </c>
      <c r="AC90" s="13">
        <f t="shared" si="30"/>
        <v>184.71307180374831</v>
      </c>
      <c r="AD90" s="14">
        <f t="shared" si="31"/>
        <v>0.7808195522460305</v>
      </c>
      <c r="AE90" s="14">
        <f t="shared" si="32"/>
        <v>3.5624507580279325</v>
      </c>
      <c r="AF90" s="13" t="str">
        <f>IF(AD90&gt;=Assumptions!$B$3,"OK","Review")</f>
        <v>OK</v>
      </c>
      <c r="AG90" s="13">
        <f>IFERROR(IF(Assumptions!$B$13="Cost Price",AB90,AA90)*SUMIF(Assumptions!$A$6:$A$10,X90,Assumptions!$B$6:$B$10),0)</f>
        <v>18.925045744299865</v>
      </c>
      <c r="AH90" s="13">
        <f>IFERROR(IF(Assumptions!$B$13="Cost Price",AB90,AA90)*SUMIF(Assumptions!$A$6:$A$10,X90,Assumptions!$C$6:$C$10),0)</f>
        <v>11.828153590187416</v>
      </c>
      <c r="AI90" s="13">
        <f>IFERROR(IF(Assumptions!$B$13="Cost Price",AB90,AA90)*SUMIF(Assumptions!$A$6:$A$10,X90,Assumptions!$D$6:$D$10),0)</f>
        <v>23.656307180374831</v>
      </c>
      <c r="AJ90" s="13">
        <v>36.88418485137877</v>
      </c>
      <c r="AK90" s="13">
        <f t="shared" si="33"/>
        <v>91.293691366240893</v>
      </c>
      <c r="AL90" s="14">
        <v>0.33</v>
      </c>
      <c r="AM90" s="13">
        <f t="shared" si="34"/>
        <v>93.419380437507414</v>
      </c>
      <c r="AN90" s="14">
        <f t="shared" si="35"/>
        <v>0.39490263516280227</v>
      </c>
      <c r="AO90" t="str">
        <f>IF(AN90&gt;=Assumptions!$B$3,"OK","Review")</f>
        <v>OK</v>
      </c>
    </row>
    <row r="91" spans="1:41" ht="15" customHeight="1">
      <c r="A91" s="9" t="s">
        <v>70</v>
      </c>
      <c r="B91" s="9" t="s">
        <v>41</v>
      </c>
      <c r="C91" s="9" t="s">
        <v>105</v>
      </c>
      <c r="D91" s="9" t="s">
        <v>171</v>
      </c>
      <c r="E91" s="9" t="s">
        <v>73</v>
      </c>
      <c r="F91" s="9" t="s">
        <v>81</v>
      </c>
      <c r="G91" s="9" t="s">
        <v>24</v>
      </c>
      <c r="H91" s="9" t="s">
        <v>75</v>
      </c>
      <c r="I91" s="9">
        <v>4000011756</v>
      </c>
      <c r="J91" s="10">
        <v>22.42</v>
      </c>
      <c r="K91" s="10"/>
      <c r="L91" s="10">
        <f t="shared" si="18"/>
        <v>22.42</v>
      </c>
      <c r="M91" s="11">
        <v>0</v>
      </c>
      <c r="N91" s="10">
        <f t="shared" si="19"/>
        <v>0</v>
      </c>
      <c r="O91" s="10">
        <f t="shared" si="20"/>
        <v>22.42</v>
      </c>
      <c r="P91" s="11">
        <f t="shared" si="21"/>
        <v>3.3454697385698937E-2</v>
      </c>
      <c r="Q91" s="10">
        <f t="shared" si="22"/>
        <v>670.16000000000008</v>
      </c>
      <c r="R91" s="10">
        <f t="shared" si="23"/>
        <v>3057.5719999999997</v>
      </c>
      <c r="S91" s="10">
        <f t="shared" si="24"/>
        <v>102.29014599498626</v>
      </c>
      <c r="T91" s="9" t="s">
        <v>76</v>
      </c>
      <c r="U91" s="10">
        <v>5699</v>
      </c>
      <c r="V91" s="10">
        <f t="shared" si="25"/>
        <v>3989.2999999999997</v>
      </c>
      <c r="W91" s="166">
        <v>490110</v>
      </c>
      <c r="X91" s="12" t="s">
        <v>25</v>
      </c>
      <c r="Y91" s="12">
        <f t="shared" si="26"/>
        <v>102.29014599498626</v>
      </c>
      <c r="Z91" s="13">
        <f t="shared" si="27"/>
        <v>102.29014599498626</v>
      </c>
      <c r="AA91" s="13">
        <f t="shared" si="28"/>
        <v>102.29014599498626</v>
      </c>
      <c r="AB91" s="13">
        <f t="shared" si="29"/>
        <v>22.42</v>
      </c>
      <c r="AC91" s="13">
        <f t="shared" si="30"/>
        <v>79.87014599498626</v>
      </c>
      <c r="AD91" s="14">
        <f t="shared" si="31"/>
        <v>0.7808195522460305</v>
      </c>
      <c r="AE91" s="14">
        <f t="shared" si="32"/>
        <v>3.562450758027933</v>
      </c>
      <c r="AF91" s="13" t="str">
        <f>IF(AD91&gt;=Assumptions!$B$3,"OK","Review")</f>
        <v>OK</v>
      </c>
      <c r="AG91" s="13">
        <f>IFERROR(IF(Assumptions!$B$13="Cost Price",AB91,AA91)*SUMIF(Assumptions!$A$6:$A$10,X91,Assumptions!$B$6:$B$10),0)</f>
        <v>8.1832116795989016</v>
      </c>
      <c r="AH91" s="13">
        <f>IFERROR(IF(Assumptions!$B$13="Cost Price",AB91,AA91)*SUMIF(Assumptions!$A$6:$A$10,X91,Assumptions!$C$6:$C$10),0)</f>
        <v>5.1145072997493131</v>
      </c>
      <c r="AI91" s="13">
        <f>IFERROR(IF(Assumptions!$B$13="Cost Price",AB91,AA91)*SUMIF(Assumptions!$A$6:$A$10,X91,Assumptions!$D$6:$D$10),0)</f>
        <v>10.229014599498626</v>
      </c>
      <c r="AJ91" s="13">
        <v>15.948764211531575</v>
      </c>
      <c r="AK91" s="13">
        <f t="shared" si="33"/>
        <v>39.475497790378412</v>
      </c>
      <c r="AL91" s="14">
        <v>0.33</v>
      </c>
      <c r="AM91" s="13">
        <f t="shared" si="34"/>
        <v>40.394648204607847</v>
      </c>
      <c r="AN91" s="14">
        <f t="shared" si="35"/>
        <v>0.39490263516280233</v>
      </c>
      <c r="AO91" t="str">
        <f>IF(AN91&gt;=Assumptions!$B$3,"OK","Review")</f>
        <v>OK</v>
      </c>
    </row>
    <row r="92" spans="1:41" ht="15" customHeight="1">
      <c r="A92" s="9" t="s">
        <v>70</v>
      </c>
      <c r="B92" s="9" t="s">
        <v>41</v>
      </c>
      <c r="C92" s="9" t="s">
        <v>71</v>
      </c>
      <c r="D92" s="9" t="s">
        <v>172</v>
      </c>
      <c r="E92" s="9" t="s">
        <v>73</v>
      </c>
      <c r="F92" s="9" t="s">
        <v>74</v>
      </c>
      <c r="G92" s="9" t="s">
        <v>24</v>
      </c>
      <c r="H92" s="9" t="s">
        <v>75</v>
      </c>
      <c r="I92" s="9">
        <v>4000011757</v>
      </c>
      <c r="J92" s="10">
        <v>72.88</v>
      </c>
      <c r="K92" s="10"/>
      <c r="L92" s="10">
        <f t="shared" si="18"/>
        <v>72.88</v>
      </c>
      <c r="M92" s="11">
        <v>0</v>
      </c>
      <c r="N92" s="10">
        <f t="shared" si="19"/>
        <v>0</v>
      </c>
      <c r="O92" s="10">
        <f t="shared" si="20"/>
        <v>72.88</v>
      </c>
      <c r="P92" s="11">
        <f t="shared" si="21"/>
        <v>0.10875014921809716</v>
      </c>
      <c r="Q92" s="10">
        <f t="shared" si="22"/>
        <v>670.16000000000008</v>
      </c>
      <c r="R92" s="10">
        <f t="shared" si="23"/>
        <v>3057.5719999999997</v>
      </c>
      <c r="S92" s="10">
        <f t="shared" si="24"/>
        <v>332.51141124507569</v>
      </c>
      <c r="T92" s="9" t="s">
        <v>76</v>
      </c>
      <c r="U92" s="10">
        <v>5699</v>
      </c>
      <c r="V92" s="10">
        <f t="shared" si="25"/>
        <v>3989.2999999999997</v>
      </c>
      <c r="W92" s="166">
        <v>490110</v>
      </c>
      <c r="X92" s="12" t="s">
        <v>25</v>
      </c>
      <c r="Y92" s="12">
        <f t="shared" si="26"/>
        <v>332.51141124507569</v>
      </c>
      <c r="Z92" s="13">
        <f t="shared" si="27"/>
        <v>332.51141124507569</v>
      </c>
      <c r="AA92" s="13">
        <f t="shared" si="28"/>
        <v>332.51141124507569</v>
      </c>
      <c r="AB92" s="13">
        <f t="shared" si="29"/>
        <v>72.88</v>
      </c>
      <c r="AC92" s="13">
        <f t="shared" si="30"/>
        <v>259.6314112450757</v>
      </c>
      <c r="AD92" s="14">
        <f t="shared" si="31"/>
        <v>0.7808195522460305</v>
      </c>
      <c r="AE92" s="14">
        <f t="shared" si="32"/>
        <v>3.5624507580279325</v>
      </c>
      <c r="AF92" s="13" t="str">
        <f>IF(AD92&gt;=Assumptions!$B$3,"OK","Review")</f>
        <v>OK</v>
      </c>
      <c r="AG92" s="13">
        <f>IFERROR(IF(Assumptions!$B$13="Cost Price",AB92,AA92)*SUMIF(Assumptions!$A$6:$A$10,X92,Assumptions!$B$6:$B$10),0)</f>
        <v>26.600912899606055</v>
      </c>
      <c r="AH92" s="13">
        <f>IFERROR(IF(Assumptions!$B$13="Cost Price",AB92,AA92)*SUMIF(Assumptions!$A$6:$A$10,X92,Assumptions!$C$6:$C$10),0)</f>
        <v>16.625570562253785</v>
      </c>
      <c r="AI92" s="13">
        <f>IFERROR(IF(Assumptions!$B$13="Cost Price",AB92,AA92)*SUMIF(Assumptions!$A$6:$A$10,X92,Assumptions!$D$6:$D$10),0)</f>
        <v>33.251141124507569</v>
      </c>
      <c r="AJ92" s="13">
        <v>51.844154136325642</v>
      </c>
      <c r="AK92" s="13">
        <f t="shared" si="33"/>
        <v>128.32177872269307</v>
      </c>
      <c r="AL92" s="14">
        <v>0.33</v>
      </c>
      <c r="AM92" s="13">
        <f t="shared" si="34"/>
        <v>131.30963252238263</v>
      </c>
      <c r="AN92" s="14">
        <f t="shared" si="35"/>
        <v>0.39490263516280227</v>
      </c>
      <c r="AO92" t="str">
        <f>IF(AN92&gt;=Assumptions!$B$3,"OK","Review")</f>
        <v>OK</v>
      </c>
    </row>
    <row r="93" spans="1:41" ht="15" customHeight="1">
      <c r="A93" s="9" t="s">
        <v>70</v>
      </c>
      <c r="B93" s="9" t="s">
        <v>41</v>
      </c>
      <c r="C93" s="9" t="s">
        <v>78</v>
      </c>
      <c r="D93" s="9" t="s">
        <v>173</v>
      </c>
      <c r="E93" s="9" t="s">
        <v>73</v>
      </c>
      <c r="F93" s="9" t="s">
        <v>74</v>
      </c>
      <c r="G93" s="9" t="s">
        <v>24</v>
      </c>
      <c r="H93" s="9" t="s">
        <v>75</v>
      </c>
      <c r="I93" s="9">
        <v>4000011760</v>
      </c>
      <c r="J93" s="10">
        <v>18.559999999999999</v>
      </c>
      <c r="K93" s="10"/>
      <c r="L93" s="10">
        <f t="shared" si="18"/>
        <v>18.559999999999999</v>
      </c>
      <c r="M93" s="11">
        <v>0</v>
      </c>
      <c r="N93" s="10">
        <f t="shared" si="19"/>
        <v>0</v>
      </c>
      <c r="O93" s="10">
        <f t="shared" si="20"/>
        <v>18.559999999999999</v>
      </c>
      <c r="P93" s="11">
        <f t="shared" si="21"/>
        <v>2.7694878834905092E-2</v>
      </c>
      <c r="Q93" s="10">
        <f t="shared" si="22"/>
        <v>670.16000000000008</v>
      </c>
      <c r="R93" s="10">
        <f t="shared" si="23"/>
        <v>3057.5719999999997</v>
      </c>
      <c r="S93" s="10">
        <f t="shared" si="24"/>
        <v>84.67908606899843</v>
      </c>
      <c r="T93" s="9" t="s">
        <v>76</v>
      </c>
      <c r="U93" s="10">
        <v>5699</v>
      </c>
      <c r="V93" s="10">
        <f t="shared" si="25"/>
        <v>3989.2999999999997</v>
      </c>
      <c r="W93" s="166">
        <v>490110</v>
      </c>
      <c r="X93" s="12" t="s">
        <v>25</v>
      </c>
      <c r="Y93" s="12">
        <f t="shared" si="26"/>
        <v>84.67908606899843</v>
      </c>
      <c r="Z93" s="13">
        <f t="shared" si="27"/>
        <v>84.67908606899843</v>
      </c>
      <c r="AA93" s="13">
        <f t="shared" si="28"/>
        <v>84.67908606899843</v>
      </c>
      <c r="AB93" s="13">
        <f t="shared" si="29"/>
        <v>18.559999999999999</v>
      </c>
      <c r="AC93" s="13">
        <f t="shared" si="30"/>
        <v>66.119086068998428</v>
      </c>
      <c r="AD93" s="14">
        <f t="shared" si="31"/>
        <v>0.78081955224603039</v>
      </c>
      <c r="AE93" s="14">
        <f t="shared" si="32"/>
        <v>3.562450758027933</v>
      </c>
      <c r="AF93" s="13" t="str">
        <f>IF(AD93&gt;=Assumptions!$B$3,"OK","Review")</f>
        <v>OK</v>
      </c>
      <c r="AG93" s="13">
        <f>IFERROR(IF(Assumptions!$B$13="Cost Price",AB93,AA93)*SUMIF(Assumptions!$A$6:$A$10,X93,Assumptions!$B$6:$B$10),0)</f>
        <v>6.7743268855198746</v>
      </c>
      <c r="AH93" s="13">
        <f>IFERROR(IF(Assumptions!$B$13="Cost Price",AB93,AA93)*SUMIF(Assumptions!$A$6:$A$10,X93,Assumptions!$C$6:$C$10),0)</f>
        <v>4.2339543034499219</v>
      </c>
      <c r="AI93" s="13">
        <f>IFERROR(IF(Assumptions!$B$13="Cost Price",AB93,AA93)*SUMIF(Assumptions!$A$6:$A$10,X93,Assumptions!$D$6:$D$10),0)</f>
        <v>8.4679086068998437</v>
      </c>
      <c r="AJ93" s="13">
        <v>13.202902041303567</v>
      </c>
      <c r="AK93" s="13">
        <f t="shared" si="33"/>
        <v>32.679091837173203</v>
      </c>
      <c r="AL93" s="14">
        <v>0.33</v>
      </c>
      <c r="AM93" s="13">
        <f t="shared" si="34"/>
        <v>33.439994231825224</v>
      </c>
      <c r="AN93" s="14">
        <f t="shared" si="35"/>
        <v>0.39490263516280233</v>
      </c>
      <c r="AO93" t="str">
        <f>IF(AN93&gt;=Assumptions!$B$3,"OK","Review")</f>
        <v>OK</v>
      </c>
    </row>
    <row r="94" spans="1:41" ht="15" customHeight="1">
      <c r="A94" s="9" t="s">
        <v>70</v>
      </c>
      <c r="B94" s="9" t="s">
        <v>41</v>
      </c>
      <c r="C94" s="9" t="s">
        <v>78</v>
      </c>
      <c r="D94" s="9" t="s">
        <v>174</v>
      </c>
      <c r="E94" s="9" t="s">
        <v>73</v>
      </c>
      <c r="F94" s="9" t="s">
        <v>74</v>
      </c>
      <c r="G94" s="9" t="s">
        <v>24</v>
      </c>
      <c r="H94" s="9" t="s">
        <v>75</v>
      </c>
      <c r="I94" s="9">
        <v>4000011759</v>
      </c>
      <c r="J94" s="10">
        <v>59.69</v>
      </c>
      <c r="K94" s="10"/>
      <c r="L94" s="10">
        <f t="shared" si="18"/>
        <v>59.69</v>
      </c>
      <c r="M94" s="11">
        <v>0</v>
      </c>
      <c r="N94" s="10">
        <f t="shared" si="19"/>
        <v>0</v>
      </c>
      <c r="O94" s="10">
        <f t="shared" si="20"/>
        <v>59.69</v>
      </c>
      <c r="P94" s="11">
        <f t="shared" si="21"/>
        <v>8.906828220126535E-2</v>
      </c>
      <c r="Q94" s="10">
        <f t="shared" si="22"/>
        <v>670.16000000000008</v>
      </c>
      <c r="R94" s="10">
        <f t="shared" si="23"/>
        <v>3057.5719999999997</v>
      </c>
      <c r="S94" s="10">
        <f t="shared" si="24"/>
        <v>272.33268574668728</v>
      </c>
      <c r="T94" s="9" t="s">
        <v>76</v>
      </c>
      <c r="U94" s="10">
        <v>5699</v>
      </c>
      <c r="V94" s="10">
        <f t="shared" si="25"/>
        <v>3989.2999999999997</v>
      </c>
      <c r="W94" s="166">
        <v>490110</v>
      </c>
      <c r="X94" s="12" t="s">
        <v>25</v>
      </c>
      <c r="Y94" s="12">
        <f t="shared" si="26"/>
        <v>272.33268574668728</v>
      </c>
      <c r="Z94" s="13">
        <f t="shared" si="27"/>
        <v>272.33268574668728</v>
      </c>
      <c r="AA94" s="13">
        <f t="shared" si="28"/>
        <v>272.33268574668728</v>
      </c>
      <c r="AB94" s="13">
        <f t="shared" si="29"/>
        <v>59.69</v>
      </c>
      <c r="AC94" s="13">
        <f t="shared" si="30"/>
        <v>212.64268574668728</v>
      </c>
      <c r="AD94" s="14">
        <f t="shared" si="31"/>
        <v>0.7808195522460305</v>
      </c>
      <c r="AE94" s="14">
        <f t="shared" si="32"/>
        <v>3.5624507580279325</v>
      </c>
      <c r="AF94" s="13" t="str">
        <f>IF(AD94&gt;=Assumptions!$B$3,"OK","Review")</f>
        <v>OK</v>
      </c>
      <c r="AG94" s="13">
        <f>IFERROR(IF(Assumptions!$B$13="Cost Price",AB94,AA94)*SUMIF(Assumptions!$A$6:$A$10,X94,Assumptions!$B$6:$B$10),0)</f>
        <v>21.786614859734982</v>
      </c>
      <c r="AH94" s="13">
        <f>IFERROR(IF(Assumptions!$B$13="Cost Price",AB94,AA94)*SUMIF(Assumptions!$A$6:$A$10,X94,Assumptions!$C$6:$C$10),0)</f>
        <v>13.616634287334364</v>
      </c>
      <c r="AI94" s="13">
        <f>IFERROR(IF(Assumptions!$B$13="Cost Price",AB94,AA94)*SUMIF(Assumptions!$A$6:$A$10,X94,Assumptions!$D$6:$D$10),0)</f>
        <v>27.233268574668728</v>
      </c>
      <c r="AJ94" s="13">
        <v>42.461272782619069</v>
      </c>
      <c r="AK94" s="13">
        <f t="shared" si="33"/>
        <v>105.09779050435714</v>
      </c>
      <c r="AL94" s="14">
        <v>0.33</v>
      </c>
      <c r="AM94" s="13">
        <f t="shared" si="34"/>
        <v>107.54489524233014</v>
      </c>
      <c r="AN94" s="14">
        <f t="shared" si="35"/>
        <v>0.39490263516280233</v>
      </c>
      <c r="AO94" t="str">
        <f>IF(AN94&gt;=Assumptions!$B$3,"OK","Review")</f>
        <v>OK</v>
      </c>
    </row>
    <row r="95" spans="1:41" ht="15" customHeight="1">
      <c r="A95" s="9" t="s">
        <v>70</v>
      </c>
      <c r="B95" s="9" t="s">
        <v>41</v>
      </c>
      <c r="C95" s="9" t="s">
        <v>78</v>
      </c>
      <c r="D95" s="9" t="s">
        <v>175</v>
      </c>
      <c r="E95" s="9" t="s">
        <v>73</v>
      </c>
      <c r="F95" s="9" t="s">
        <v>74</v>
      </c>
      <c r="G95" s="9" t="s">
        <v>24</v>
      </c>
      <c r="H95" s="9" t="s">
        <v>75</v>
      </c>
      <c r="I95" s="9">
        <v>4000011761</v>
      </c>
      <c r="J95" s="10">
        <v>14.84</v>
      </c>
      <c r="K95" s="10"/>
      <c r="L95" s="10">
        <f t="shared" si="18"/>
        <v>14.84</v>
      </c>
      <c r="M95" s="11">
        <v>0</v>
      </c>
      <c r="N95" s="10">
        <f t="shared" si="19"/>
        <v>0</v>
      </c>
      <c r="O95" s="10">
        <f t="shared" si="20"/>
        <v>14.84</v>
      </c>
      <c r="P95" s="11">
        <f t="shared" si="21"/>
        <v>2.2143965620150408E-2</v>
      </c>
      <c r="Q95" s="10">
        <f t="shared" si="22"/>
        <v>670.16000000000008</v>
      </c>
      <c r="R95" s="10">
        <f t="shared" si="23"/>
        <v>3057.5719999999997</v>
      </c>
      <c r="S95" s="10">
        <f t="shared" si="24"/>
        <v>67.70676924913451</v>
      </c>
      <c r="T95" s="9" t="s">
        <v>76</v>
      </c>
      <c r="U95" s="10">
        <v>5699</v>
      </c>
      <c r="V95" s="10">
        <f t="shared" si="25"/>
        <v>3989.2999999999997</v>
      </c>
      <c r="W95" s="166">
        <v>490110</v>
      </c>
      <c r="X95" s="12" t="s">
        <v>25</v>
      </c>
      <c r="Y95" s="12">
        <f t="shared" si="26"/>
        <v>67.70676924913451</v>
      </c>
      <c r="Z95" s="13">
        <f t="shared" si="27"/>
        <v>67.70676924913451</v>
      </c>
      <c r="AA95" s="13">
        <f t="shared" si="28"/>
        <v>67.70676924913451</v>
      </c>
      <c r="AB95" s="13">
        <f t="shared" si="29"/>
        <v>14.84</v>
      </c>
      <c r="AC95" s="13">
        <f t="shared" si="30"/>
        <v>52.866769249134506</v>
      </c>
      <c r="AD95" s="14">
        <f t="shared" si="31"/>
        <v>0.78081955224603039</v>
      </c>
      <c r="AE95" s="14">
        <f t="shared" si="32"/>
        <v>3.5624507580279317</v>
      </c>
      <c r="AF95" s="13" t="str">
        <f>IF(AD95&gt;=Assumptions!$B$3,"OK","Review")</f>
        <v>OK</v>
      </c>
      <c r="AG95" s="13">
        <f>IFERROR(IF(Assumptions!$B$13="Cost Price",AB95,AA95)*SUMIF(Assumptions!$A$6:$A$10,X95,Assumptions!$B$6:$B$10),0)</f>
        <v>5.416541539930761</v>
      </c>
      <c r="AH95" s="13">
        <f>IFERROR(IF(Assumptions!$B$13="Cost Price",AB95,AA95)*SUMIF(Assumptions!$A$6:$A$10,X95,Assumptions!$C$6:$C$10),0)</f>
        <v>3.3853384624567258</v>
      </c>
      <c r="AI95" s="13">
        <f>IFERROR(IF(Assumptions!$B$13="Cost Price",AB95,AA95)*SUMIF(Assumptions!$A$6:$A$10,X95,Assumptions!$D$6:$D$10),0)</f>
        <v>6.7706769249134515</v>
      </c>
      <c r="AJ95" s="13">
        <v>10.556630726990569</v>
      </c>
      <c r="AK95" s="13">
        <f t="shared" si="33"/>
        <v>26.129187654291506</v>
      </c>
      <c r="AL95" s="14">
        <v>0.33</v>
      </c>
      <c r="AM95" s="13">
        <f t="shared" si="34"/>
        <v>26.737581594843</v>
      </c>
      <c r="AN95" s="14">
        <f t="shared" si="35"/>
        <v>0.39490263516280222</v>
      </c>
      <c r="AO95" t="str">
        <f>IF(AN95&gt;=Assumptions!$B$3,"OK","Review")</f>
        <v>OK</v>
      </c>
    </row>
    <row r="96" spans="1:41" ht="15" customHeight="1">
      <c r="A96" s="9" t="s">
        <v>70</v>
      </c>
      <c r="B96" s="9" t="s">
        <v>41</v>
      </c>
      <c r="C96" s="9" t="s">
        <v>161</v>
      </c>
      <c r="D96" s="9" t="s">
        <v>176</v>
      </c>
      <c r="E96" s="9" t="s">
        <v>73</v>
      </c>
      <c r="F96" s="9" t="s">
        <v>74</v>
      </c>
      <c r="G96" s="9" t="s">
        <v>24</v>
      </c>
      <c r="H96" s="9" t="s">
        <v>75</v>
      </c>
      <c r="I96" s="9">
        <v>4000011762</v>
      </c>
      <c r="J96" s="10">
        <v>101.74</v>
      </c>
      <c r="K96" s="10"/>
      <c r="L96" s="10">
        <f t="shared" si="18"/>
        <v>101.74</v>
      </c>
      <c r="M96" s="11">
        <v>0</v>
      </c>
      <c r="N96" s="10">
        <f t="shared" si="19"/>
        <v>0</v>
      </c>
      <c r="O96" s="10">
        <f t="shared" si="20"/>
        <v>101.74</v>
      </c>
      <c r="P96" s="11">
        <f t="shared" si="21"/>
        <v>0.15181449206159719</v>
      </c>
      <c r="Q96" s="10">
        <f t="shared" si="22"/>
        <v>670.16000000000008</v>
      </c>
      <c r="R96" s="10">
        <f t="shared" si="23"/>
        <v>3057.5719999999997</v>
      </c>
      <c r="S96" s="10">
        <f t="shared" si="24"/>
        <v>464.18374012176179</v>
      </c>
      <c r="T96" s="9" t="s">
        <v>76</v>
      </c>
      <c r="U96" s="10">
        <v>5699</v>
      </c>
      <c r="V96" s="10">
        <f t="shared" si="25"/>
        <v>3989.2999999999997</v>
      </c>
      <c r="W96" s="166">
        <v>490110</v>
      </c>
      <c r="X96" s="12" t="s">
        <v>25</v>
      </c>
      <c r="Y96" s="12">
        <f t="shared" si="26"/>
        <v>464.18374012176179</v>
      </c>
      <c r="Z96" s="13">
        <f t="shared" si="27"/>
        <v>464.18374012176179</v>
      </c>
      <c r="AA96" s="13">
        <f t="shared" si="28"/>
        <v>464.18374012176179</v>
      </c>
      <c r="AB96" s="13">
        <f t="shared" si="29"/>
        <v>101.74</v>
      </c>
      <c r="AC96" s="13">
        <f t="shared" si="30"/>
        <v>362.44374012176178</v>
      </c>
      <c r="AD96" s="14">
        <f t="shared" si="31"/>
        <v>0.78081955224603039</v>
      </c>
      <c r="AE96" s="14">
        <f t="shared" si="32"/>
        <v>3.5624507580279321</v>
      </c>
      <c r="AF96" s="13" t="str">
        <f>IF(AD96&gt;=Assumptions!$B$3,"OK","Review")</f>
        <v>OK</v>
      </c>
      <c r="AG96" s="13">
        <f>IFERROR(IF(Assumptions!$B$13="Cost Price",AB96,AA96)*SUMIF(Assumptions!$A$6:$A$10,X96,Assumptions!$B$6:$B$10),0)</f>
        <v>37.134699209740944</v>
      </c>
      <c r="AH96" s="13">
        <f>IFERROR(IF(Assumptions!$B$13="Cost Price",AB96,AA96)*SUMIF(Assumptions!$A$6:$A$10,X96,Assumptions!$C$6:$C$10),0)</f>
        <v>23.20918700608809</v>
      </c>
      <c r="AI96" s="13">
        <f>IFERROR(IF(Assumptions!$B$13="Cost Price",AB96,AA96)*SUMIF(Assumptions!$A$6:$A$10,X96,Assumptions!$D$6:$D$10),0)</f>
        <v>46.41837401217618</v>
      </c>
      <c r="AJ96" s="13">
        <v>72.374097719947471</v>
      </c>
      <c r="AK96" s="13">
        <f t="shared" si="33"/>
        <v>179.13635794795266</v>
      </c>
      <c r="AL96" s="14">
        <v>0.33</v>
      </c>
      <c r="AM96" s="13">
        <f t="shared" si="34"/>
        <v>183.30738217380912</v>
      </c>
      <c r="AN96" s="14">
        <f t="shared" si="35"/>
        <v>0.39490263516280227</v>
      </c>
      <c r="AO96" t="str">
        <f>IF(AN96&gt;=Assumptions!$B$3,"OK","Review")</f>
        <v>OK</v>
      </c>
    </row>
    <row r="97" spans="1:41" ht="15" customHeight="1">
      <c r="A97" s="9" t="s">
        <v>70</v>
      </c>
      <c r="B97" s="9" t="s">
        <v>41</v>
      </c>
      <c r="C97" s="9" t="s">
        <v>105</v>
      </c>
      <c r="D97" s="9" t="s">
        <v>177</v>
      </c>
      <c r="E97" s="9" t="s">
        <v>73</v>
      </c>
      <c r="F97" s="9" t="s">
        <v>81</v>
      </c>
      <c r="G97" s="9" t="s">
        <v>24</v>
      </c>
      <c r="H97" s="9" t="s">
        <v>84</v>
      </c>
      <c r="I97" s="9">
        <v>4000011763</v>
      </c>
      <c r="J97" s="10">
        <v>57.08</v>
      </c>
      <c r="K97" s="10"/>
      <c r="L97" s="10">
        <f t="shared" si="18"/>
        <v>57.08</v>
      </c>
      <c r="M97" s="11">
        <v>0</v>
      </c>
      <c r="N97" s="10">
        <f t="shared" si="19"/>
        <v>0</v>
      </c>
      <c r="O97" s="10">
        <f t="shared" si="20"/>
        <v>57.08</v>
      </c>
      <c r="P97" s="11">
        <f t="shared" si="21"/>
        <v>8.517368986510683E-2</v>
      </c>
      <c r="Q97" s="10">
        <f t="shared" si="22"/>
        <v>670.16000000000008</v>
      </c>
      <c r="R97" s="10">
        <f t="shared" si="23"/>
        <v>3057.5719999999997</v>
      </c>
      <c r="S97" s="10">
        <f t="shared" si="24"/>
        <v>260.42468926823437</v>
      </c>
      <c r="T97" s="9" t="s">
        <v>76</v>
      </c>
      <c r="U97" s="10">
        <v>5699</v>
      </c>
      <c r="V97" s="10">
        <f t="shared" si="25"/>
        <v>3989.2999999999997</v>
      </c>
      <c r="W97" s="166">
        <v>490110</v>
      </c>
      <c r="X97" s="12" t="s">
        <v>25</v>
      </c>
      <c r="Y97" s="12">
        <f t="shared" si="26"/>
        <v>260.42468926823437</v>
      </c>
      <c r="Z97" s="13">
        <f t="shared" si="27"/>
        <v>260.42468926823437</v>
      </c>
      <c r="AA97" s="13">
        <f t="shared" si="28"/>
        <v>260.42468926823437</v>
      </c>
      <c r="AB97" s="13">
        <f t="shared" si="29"/>
        <v>57.08</v>
      </c>
      <c r="AC97" s="13">
        <f t="shared" si="30"/>
        <v>203.34468926823439</v>
      </c>
      <c r="AD97" s="14">
        <f t="shared" si="31"/>
        <v>0.7808195522460305</v>
      </c>
      <c r="AE97" s="14">
        <f t="shared" si="32"/>
        <v>3.5624507580279325</v>
      </c>
      <c r="AF97" s="13" t="str">
        <f>IF(AD97&gt;=Assumptions!$B$3,"OK","Review")</f>
        <v>OK</v>
      </c>
      <c r="AG97" s="13">
        <f>IFERROR(IF(Assumptions!$B$13="Cost Price",AB97,AA97)*SUMIF(Assumptions!$A$6:$A$10,X97,Assumptions!$B$6:$B$10),0)</f>
        <v>20.833975141458751</v>
      </c>
      <c r="AH97" s="13">
        <f>IFERROR(IF(Assumptions!$B$13="Cost Price",AB97,AA97)*SUMIF(Assumptions!$A$6:$A$10,X97,Assumptions!$C$6:$C$10),0)</f>
        <v>13.021234463411719</v>
      </c>
      <c r="AI97" s="13">
        <f>IFERROR(IF(Assumptions!$B$13="Cost Price",AB97,AA97)*SUMIF(Assumptions!$A$6:$A$10,X97,Assumptions!$D$6:$D$10),0)</f>
        <v>26.042468926823439</v>
      </c>
      <c r="AJ97" s="13">
        <v>40.60461468306076</v>
      </c>
      <c r="AK97" s="13">
        <f t="shared" si="33"/>
        <v>100.50229321475467</v>
      </c>
      <c r="AL97" s="14">
        <v>0.33</v>
      </c>
      <c r="AM97" s="13">
        <f t="shared" si="34"/>
        <v>102.84239605347972</v>
      </c>
      <c r="AN97" s="14">
        <f t="shared" si="35"/>
        <v>0.39490263516280233</v>
      </c>
      <c r="AO97" t="str">
        <f>IF(AN97&gt;=Assumptions!$B$3,"OK","Review")</f>
        <v>OK</v>
      </c>
    </row>
    <row r="98" spans="1:41" ht="15" customHeight="1">
      <c r="A98" s="9" t="s">
        <v>70</v>
      </c>
      <c r="B98" s="9" t="s">
        <v>41</v>
      </c>
      <c r="C98" s="9" t="s">
        <v>105</v>
      </c>
      <c r="D98" s="9" t="s">
        <v>178</v>
      </c>
      <c r="E98" s="9" t="s">
        <v>73</v>
      </c>
      <c r="F98" s="9" t="s">
        <v>81</v>
      </c>
      <c r="G98" s="9" t="s">
        <v>24</v>
      </c>
      <c r="H98" s="9" t="s">
        <v>84</v>
      </c>
      <c r="I98" s="9">
        <v>4000011764</v>
      </c>
      <c r="J98" s="10">
        <v>22.42</v>
      </c>
      <c r="K98" s="10"/>
      <c r="L98" s="10">
        <f t="shared" si="18"/>
        <v>22.42</v>
      </c>
      <c r="M98" s="11">
        <v>0</v>
      </c>
      <c r="N98" s="10">
        <f t="shared" si="19"/>
        <v>0</v>
      </c>
      <c r="O98" s="10">
        <f t="shared" si="20"/>
        <v>22.42</v>
      </c>
      <c r="P98" s="11">
        <f t="shared" si="21"/>
        <v>3.3454697385698937E-2</v>
      </c>
      <c r="Q98" s="10">
        <f t="shared" si="22"/>
        <v>670.16000000000008</v>
      </c>
      <c r="R98" s="10">
        <f t="shared" si="23"/>
        <v>3057.5719999999997</v>
      </c>
      <c r="S98" s="10">
        <f t="shared" si="24"/>
        <v>102.29014599498626</v>
      </c>
      <c r="T98" s="9" t="s">
        <v>76</v>
      </c>
      <c r="U98" s="10">
        <v>5699</v>
      </c>
      <c r="V98" s="10">
        <f t="shared" si="25"/>
        <v>3989.2999999999997</v>
      </c>
      <c r="W98" s="166">
        <v>490110</v>
      </c>
      <c r="X98" s="12" t="s">
        <v>25</v>
      </c>
      <c r="Y98" s="12">
        <f t="shared" si="26"/>
        <v>102.29014599498626</v>
      </c>
      <c r="Z98" s="13">
        <f t="shared" si="27"/>
        <v>102.29014599498626</v>
      </c>
      <c r="AA98" s="13">
        <f t="shared" si="28"/>
        <v>102.29014599498626</v>
      </c>
      <c r="AB98" s="13">
        <f t="shared" si="29"/>
        <v>22.42</v>
      </c>
      <c r="AC98" s="13">
        <f t="shared" si="30"/>
        <v>79.87014599498626</v>
      </c>
      <c r="AD98" s="14">
        <f t="shared" si="31"/>
        <v>0.7808195522460305</v>
      </c>
      <c r="AE98" s="14">
        <f t="shared" si="32"/>
        <v>3.562450758027933</v>
      </c>
      <c r="AF98" s="13" t="str">
        <f>IF(AD98&gt;=Assumptions!$B$3,"OK","Review")</f>
        <v>OK</v>
      </c>
      <c r="AG98" s="13">
        <f>IFERROR(IF(Assumptions!$B$13="Cost Price",AB98,AA98)*SUMIF(Assumptions!$A$6:$A$10,X98,Assumptions!$B$6:$B$10),0)</f>
        <v>8.1832116795989016</v>
      </c>
      <c r="AH98" s="13">
        <f>IFERROR(IF(Assumptions!$B$13="Cost Price",AB98,AA98)*SUMIF(Assumptions!$A$6:$A$10,X98,Assumptions!$C$6:$C$10),0)</f>
        <v>5.1145072997493131</v>
      </c>
      <c r="AI98" s="13">
        <f>IFERROR(IF(Assumptions!$B$13="Cost Price",AB98,AA98)*SUMIF(Assumptions!$A$6:$A$10,X98,Assumptions!$D$6:$D$10),0)</f>
        <v>10.229014599498626</v>
      </c>
      <c r="AJ98" s="13">
        <v>15.948764211531575</v>
      </c>
      <c r="AK98" s="13">
        <f t="shared" si="33"/>
        <v>39.475497790378412</v>
      </c>
      <c r="AL98" s="14">
        <v>0.33</v>
      </c>
      <c r="AM98" s="13">
        <f t="shared" si="34"/>
        <v>40.394648204607847</v>
      </c>
      <c r="AN98" s="14">
        <f t="shared" si="35"/>
        <v>0.39490263516280233</v>
      </c>
      <c r="AO98" t="str">
        <f>IF(AN98&gt;=Assumptions!$B$3,"OK","Review")</f>
        <v>OK</v>
      </c>
    </row>
    <row r="99" spans="1:41" ht="15" customHeight="1">
      <c r="A99" s="9" t="s">
        <v>70</v>
      </c>
      <c r="B99" s="9" t="s">
        <v>41</v>
      </c>
      <c r="C99" s="9" t="s">
        <v>71</v>
      </c>
      <c r="D99" s="9" t="s">
        <v>179</v>
      </c>
      <c r="E99" s="9" t="s">
        <v>73</v>
      </c>
      <c r="F99" s="9" t="s">
        <v>74</v>
      </c>
      <c r="G99" s="9" t="s">
        <v>24</v>
      </c>
      <c r="H99" s="9" t="s">
        <v>84</v>
      </c>
      <c r="I99" s="9">
        <v>4000011765</v>
      </c>
      <c r="J99" s="10">
        <v>78.069999999999993</v>
      </c>
      <c r="K99" s="10"/>
      <c r="L99" s="10">
        <f t="shared" si="18"/>
        <v>78.069999999999993</v>
      </c>
      <c r="M99" s="11">
        <v>0</v>
      </c>
      <c r="N99" s="10">
        <f t="shared" si="19"/>
        <v>0</v>
      </c>
      <c r="O99" s="10">
        <f t="shared" si="20"/>
        <v>78.069999999999993</v>
      </c>
      <c r="P99" s="11">
        <f t="shared" si="21"/>
        <v>0.11649456846126295</v>
      </c>
      <c r="Q99" s="10">
        <f t="shared" si="22"/>
        <v>670.16000000000008</v>
      </c>
      <c r="R99" s="10">
        <f t="shared" si="23"/>
        <v>3057.5719999999997</v>
      </c>
      <c r="S99" s="10">
        <f t="shared" si="24"/>
        <v>356.19053067924062</v>
      </c>
      <c r="T99" s="9" t="s">
        <v>76</v>
      </c>
      <c r="U99" s="10">
        <v>5699</v>
      </c>
      <c r="V99" s="10">
        <f t="shared" si="25"/>
        <v>3989.2999999999997</v>
      </c>
      <c r="W99" s="166">
        <v>490110</v>
      </c>
      <c r="X99" s="12" t="s">
        <v>25</v>
      </c>
      <c r="Y99" s="12">
        <f t="shared" si="26"/>
        <v>356.19053067924062</v>
      </c>
      <c r="Z99" s="13">
        <f t="shared" si="27"/>
        <v>356.19053067924062</v>
      </c>
      <c r="AA99" s="13">
        <f t="shared" si="28"/>
        <v>356.19053067924062</v>
      </c>
      <c r="AB99" s="13">
        <f t="shared" si="29"/>
        <v>78.069999999999993</v>
      </c>
      <c r="AC99" s="13">
        <f t="shared" si="30"/>
        <v>278.12053067924063</v>
      </c>
      <c r="AD99" s="14">
        <f t="shared" si="31"/>
        <v>0.78081955224603039</v>
      </c>
      <c r="AE99" s="14">
        <f t="shared" si="32"/>
        <v>3.5624507580279321</v>
      </c>
      <c r="AF99" s="13" t="str">
        <f>IF(AD99&gt;=Assumptions!$B$3,"OK","Review")</f>
        <v>OK</v>
      </c>
      <c r="AG99" s="13">
        <f>IFERROR(IF(Assumptions!$B$13="Cost Price",AB99,AA99)*SUMIF(Assumptions!$A$6:$A$10,X99,Assumptions!$B$6:$B$10),0)</f>
        <v>28.495242454339252</v>
      </c>
      <c r="AH99" s="13">
        <f>IFERROR(IF(Assumptions!$B$13="Cost Price",AB99,AA99)*SUMIF(Assumptions!$A$6:$A$10,X99,Assumptions!$C$6:$C$10),0)</f>
        <v>17.809526533962032</v>
      </c>
      <c r="AI99" s="13">
        <f>IFERROR(IF(Assumptions!$B$13="Cost Price",AB99,AA99)*SUMIF(Assumptions!$A$6:$A$10,X99,Assumptions!$D$6:$D$10),0)</f>
        <v>35.619053067924064</v>
      </c>
      <c r="AJ99" s="13">
        <v>55.536129437746197</v>
      </c>
      <c r="AK99" s="13">
        <f t="shared" si="33"/>
        <v>137.45995149397154</v>
      </c>
      <c r="AL99" s="14">
        <v>0.33</v>
      </c>
      <c r="AM99" s="13">
        <f t="shared" si="34"/>
        <v>140.66057918526909</v>
      </c>
      <c r="AN99" s="14">
        <f t="shared" si="35"/>
        <v>0.39490263516280227</v>
      </c>
      <c r="AO99" t="str">
        <f>IF(AN99&gt;=Assumptions!$B$3,"OK","Review")</f>
        <v>OK</v>
      </c>
    </row>
    <row r="100" spans="1:41" ht="15" customHeight="1">
      <c r="A100" s="9" t="s">
        <v>70</v>
      </c>
      <c r="B100" s="9" t="s">
        <v>41</v>
      </c>
      <c r="C100" s="9" t="s">
        <v>78</v>
      </c>
      <c r="D100" s="9" t="s">
        <v>180</v>
      </c>
      <c r="E100" s="9" t="s">
        <v>73</v>
      </c>
      <c r="F100" s="9" t="s">
        <v>74</v>
      </c>
      <c r="G100" s="9" t="s">
        <v>24</v>
      </c>
      <c r="H100" s="9" t="s">
        <v>84</v>
      </c>
      <c r="I100" s="9">
        <v>4000011766</v>
      </c>
      <c r="J100" s="10">
        <v>63.45</v>
      </c>
      <c r="K100" s="10"/>
      <c r="L100" s="10">
        <f t="shared" si="18"/>
        <v>63.45</v>
      </c>
      <c r="M100" s="11">
        <v>0</v>
      </c>
      <c r="N100" s="10">
        <f t="shared" si="19"/>
        <v>0</v>
      </c>
      <c r="O100" s="10">
        <f t="shared" si="20"/>
        <v>63.45</v>
      </c>
      <c r="P100" s="11">
        <f t="shared" si="21"/>
        <v>9.4678882654888372E-2</v>
      </c>
      <c r="Q100" s="10">
        <f t="shared" si="22"/>
        <v>670.16000000000008</v>
      </c>
      <c r="R100" s="10">
        <f t="shared" si="23"/>
        <v>3057.5719999999997</v>
      </c>
      <c r="S100" s="10">
        <f t="shared" si="24"/>
        <v>289.48750059687234</v>
      </c>
      <c r="T100" s="9" t="s">
        <v>76</v>
      </c>
      <c r="U100" s="10">
        <v>5699</v>
      </c>
      <c r="V100" s="10">
        <f t="shared" si="25"/>
        <v>3989.2999999999997</v>
      </c>
      <c r="W100" s="166">
        <v>490110</v>
      </c>
      <c r="X100" s="12" t="s">
        <v>25</v>
      </c>
      <c r="Y100" s="12">
        <f t="shared" si="26"/>
        <v>289.48750059687234</v>
      </c>
      <c r="Z100" s="13">
        <f t="shared" si="27"/>
        <v>289.48750059687234</v>
      </c>
      <c r="AA100" s="13">
        <f t="shared" si="28"/>
        <v>289.48750059687234</v>
      </c>
      <c r="AB100" s="13">
        <f t="shared" si="29"/>
        <v>63.45</v>
      </c>
      <c r="AC100" s="13">
        <f t="shared" si="30"/>
        <v>226.03750059687235</v>
      </c>
      <c r="AD100" s="14">
        <f t="shared" si="31"/>
        <v>0.7808195522460305</v>
      </c>
      <c r="AE100" s="14">
        <f t="shared" si="32"/>
        <v>3.562450758027933</v>
      </c>
      <c r="AF100" s="13" t="str">
        <f>IF(AD100&gt;=Assumptions!$B$3,"OK","Review")</f>
        <v>OK</v>
      </c>
      <c r="AG100" s="13">
        <f>IFERROR(IF(Assumptions!$B$13="Cost Price",AB100,AA100)*SUMIF(Assumptions!$A$6:$A$10,X100,Assumptions!$B$6:$B$10),0)</f>
        <v>23.159000047749789</v>
      </c>
      <c r="AH100" s="13">
        <f>IFERROR(IF(Assumptions!$B$13="Cost Price",AB100,AA100)*SUMIF(Assumptions!$A$6:$A$10,X100,Assumptions!$C$6:$C$10),0)</f>
        <v>14.474375029843618</v>
      </c>
      <c r="AI100" s="13">
        <f>IFERROR(IF(Assumptions!$B$13="Cost Price",AB100,AA100)*SUMIF(Assumptions!$A$6:$A$10,X100,Assumptions!$D$6:$D$10),0)</f>
        <v>28.948750059687235</v>
      </c>
      <c r="AJ100" s="13">
        <v>45.135998627193501</v>
      </c>
      <c r="AK100" s="13">
        <f t="shared" si="33"/>
        <v>111.71812376447414</v>
      </c>
      <c r="AL100" s="14">
        <v>0.33</v>
      </c>
      <c r="AM100" s="13">
        <f t="shared" si="34"/>
        <v>114.31937683239821</v>
      </c>
      <c r="AN100" s="14">
        <f t="shared" si="35"/>
        <v>0.39490263516280233</v>
      </c>
      <c r="AO100" t="str">
        <f>IF(AN100&gt;=Assumptions!$B$3,"OK","Review")</f>
        <v>OK</v>
      </c>
    </row>
    <row r="101" spans="1:41" ht="15" customHeight="1">
      <c r="A101" s="9" t="s">
        <v>70</v>
      </c>
      <c r="B101" s="9" t="s">
        <v>41</v>
      </c>
      <c r="C101" s="9" t="s">
        <v>78</v>
      </c>
      <c r="D101" s="9" t="s">
        <v>181</v>
      </c>
      <c r="E101" s="9" t="s">
        <v>73</v>
      </c>
      <c r="F101" s="9" t="s">
        <v>74</v>
      </c>
      <c r="G101" s="9" t="s">
        <v>24</v>
      </c>
      <c r="H101" s="9" t="s">
        <v>84</v>
      </c>
      <c r="I101" s="9">
        <v>4000011767</v>
      </c>
      <c r="J101" s="10">
        <v>15.94</v>
      </c>
      <c r="K101" s="10"/>
      <c r="L101" s="10">
        <f t="shared" si="18"/>
        <v>15.94</v>
      </c>
      <c r="M101" s="11">
        <v>0</v>
      </c>
      <c r="N101" s="10">
        <f t="shared" si="19"/>
        <v>0</v>
      </c>
      <c r="O101" s="10">
        <f t="shared" si="20"/>
        <v>15.94</v>
      </c>
      <c r="P101" s="11">
        <f t="shared" si="21"/>
        <v>2.3785364689029483E-2</v>
      </c>
      <c r="Q101" s="10">
        <f t="shared" si="22"/>
        <v>670.16000000000008</v>
      </c>
      <c r="R101" s="10">
        <f t="shared" si="23"/>
        <v>3057.5719999999997</v>
      </c>
      <c r="S101" s="10">
        <f t="shared" si="24"/>
        <v>72.725465082965243</v>
      </c>
      <c r="T101" s="9" t="s">
        <v>76</v>
      </c>
      <c r="U101" s="10">
        <v>5699</v>
      </c>
      <c r="V101" s="10">
        <f t="shared" si="25"/>
        <v>3989.2999999999997</v>
      </c>
      <c r="W101" s="166">
        <v>490110</v>
      </c>
      <c r="X101" s="12" t="s">
        <v>25</v>
      </c>
      <c r="Y101" s="12">
        <f t="shared" si="26"/>
        <v>72.725465082965243</v>
      </c>
      <c r="Z101" s="13">
        <f t="shared" si="27"/>
        <v>72.725465082965243</v>
      </c>
      <c r="AA101" s="13">
        <f t="shared" si="28"/>
        <v>72.725465082965243</v>
      </c>
      <c r="AB101" s="13">
        <f t="shared" si="29"/>
        <v>15.94</v>
      </c>
      <c r="AC101" s="13">
        <f t="shared" si="30"/>
        <v>56.785465082965246</v>
      </c>
      <c r="AD101" s="14">
        <f t="shared" si="31"/>
        <v>0.7808195522460305</v>
      </c>
      <c r="AE101" s="14">
        <f t="shared" si="32"/>
        <v>3.5624507580279325</v>
      </c>
      <c r="AF101" s="13" t="str">
        <f>IF(AD101&gt;=Assumptions!$B$3,"OK","Review")</f>
        <v>OK</v>
      </c>
      <c r="AG101" s="13">
        <f>IFERROR(IF(Assumptions!$B$13="Cost Price",AB101,AA101)*SUMIF(Assumptions!$A$6:$A$10,X101,Assumptions!$B$6:$B$10),0)</f>
        <v>5.8180372066372197</v>
      </c>
      <c r="AH101" s="13">
        <f>IFERROR(IF(Assumptions!$B$13="Cost Price",AB101,AA101)*SUMIF(Assumptions!$A$6:$A$10,X101,Assumptions!$C$6:$C$10),0)</f>
        <v>3.6362732541482625</v>
      </c>
      <c r="AI101" s="13">
        <f>IFERROR(IF(Assumptions!$B$13="Cost Price",AB101,AA101)*SUMIF(Assumptions!$A$6:$A$10,X101,Assumptions!$D$6:$D$10),0)</f>
        <v>7.272546508296525</v>
      </c>
      <c r="AJ101" s="13">
        <v>11.339130309179897</v>
      </c>
      <c r="AK101" s="13">
        <f t="shared" si="33"/>
        <v>28.065987278261904</v>
      </c>
      <c r="AL101" s="14">
        <v>0.33</v>
      </c>
      <c r="AM101" s="13">
        <f t="shared" si="34"/>
        <v>28.719477804703342</v>
      </c>
      <c r="AN101" s="14">
        <f t="shared" si="35"/>
        <v>0.39490263516280233</v>
      </c>
      <c r="AO101" t="str">
        <f>IF(AN101&gt;=Assumptions!$B$3,"OK","Review")</f>
        <v>OK</v>
      </c>
    </row>
    <row r="102" spans="1:41" ht="15" customHeight="1">
      <c r="A102" s="9" t="s">
        <v>70</v>
      </c>
      <c r="B102" s="9" t="s">
        <v>41</v>
      </c>
      <c r="C102" s="9" t="s">
        <v>161</v>
      </c>
      <c r="D102" s="9" t="s">
        <v>182</v>
      </c>
      <c r="E102" s="9" t="s">
        <v>73</v>
      </c>
      <c r="F102" s="9" t="s">
        <v>74</v>
      </c>
      <c r="G102" s="9" t="s">
        <v>24</v>
      </c>
      <c r="H102" s="9" t="s">
        <v>84</v>
      </c>
      <c r="I102" s="9">
        <v>4000011768</v>
      </c>
      <c r="J102" s="10">
        <v>91.22</v>
      </c>
      <c r="K102" s="10"/>
      <c r="L102" s="10">
        <f t="shared" si="18"/>
        <v>91.22</v>
      </c>
      <c r="M102" s="11">
        <v>0</v>
      </c>
      <c r="N102" s="10">
        <f t="shared" si="19"/>
        <v>0</v>
      </c>
      <c r="O102" s="10">
        <f t="shared" si="20"/>
        <v>91.22</v>
      </c>
      <c r="P102" s="11">
        <f t="shared" si="21"/>
        <v>0.13611674823922643</v>
      </c>
      <c r="Q102" s="10">
        <f t="shared" si="22"/>
        <v>670.16000000000008</v>
      </c>
      <c r="R102" s="10">
        <f t="shared" si="23"/>
        <v>3057.5719999999997</v>
      </c>
      <c r="S102" s="10">
        <f t="shared" si="24"/>
        <v>416.18675814730796</v>
      </c>
      <c r="T102" s="9" t="s">
        <v>76</v>
      </c>
      <c r="U102" s="10">
        <v>5699</v>
      </c>
      <c r="V102" s="10">
        <f t="shared" si="25"/>
        <v>3989.2999999999997</v>
      </c>
      <c r="W102" s="166">
        <v>490110</v>
      </c>
      <c r="X102" s="12" t="s">
        <v>25</v>
      </c>
      <c r="Y102" s="12">
        <f t="shared" si="26"/>
        <v>416.18675814730796</v>
      </c>
      <c r="Z102" s="13">
        <f t="shared" si="27"/>
        <v>416.18675814730796</v>
      </c>
      <c r="AA102" s="13">
        <f t="shared" si="28"/>
        <v>416.18675814730796</v>
      </c>
      <c r="AB102" s="13">
        <f t="shared" si="29"/>
        <v>91.22</v>
      </c>
      <c r="AC102" s="13">
        <f t="shared" si="30"/>
        <v>324.96675814730793</v>
      </c>
      <c r="AD102" s="14">
        <f t="shared" si="31"/>
        <v>0.78081955224603039</v>
      </c>
      <c r="AE102" s="14">
        <f t="shared" si="32"/>
        <v>3.5624507580279317</v>
      </c>
      <c r="AF102" s="13" t="str">
        <f>IF(AD102&gt;=Assumptions!$B$3,"OK","Review")</f>
        <v>OK</v>
      </c>
      <c r="AG102" s="13">
        <f>IFERROR(IF(Assumptions!$B$13="Cost Price",AB102,AA102)*SUMIF(Assumptions!$A$6:$A$10,X102,Assumptions!$B$6:$B$10),0)</f>
        <v>33.294940651784636</v>
      </c>
      <c r="AH102" s="13">
        <f>IFERROR(IF(Assumptions!$B$13="Cost Price",AB102,AA102)*SUMIF(Assumptions!$A$6:$A$10,X102,Assumptions!$C$6:$C$10),0)</f>
        <v>20.8093379073654</v>
      </c>
      <c r="AI102" s="13">
        <f>IFERROR(IF(Assumptions!$B$13="Cost Price",AB102,AA102)*SUMIF(Assumptions!$A$6:$A$10,X102,Assumptions!$D$6:$D$10),0)</f>
        <v>41.6186758147308</v>
      </c>
      <c r="AJ102" s="13">
        <v>64.89055626119135</v>
      </c>
      <c r="AK102" s="13">
        <f t="shared" si="33"/>
        <v>160.6135106350722</v>
      </c>
      <c r="AL102" s="14">
        <v>0.33</v>
      </c>
      <c r="AM102" s="13">
        <f t="shared" si="34"/>
        <v>164.35324751223573</v>
      </c>
      <c r="AN102" s="14">
        <f t="shared" si="35"/>
        <v>0.39490263516280216</v>
      </c>
      <c r="AO102" t="str">
        <f>IF(AN102&gt;=Assumptions!$B$3,"OK","Review")</f>
        <v>OK</v>
      </c>
    </row>
    <row r="103" spans="1:41" ht="15" customHeight="1">
      <c r="A103" s="9" t="s">
        <v>70</v>
      </c>
      <c r="B103" s="9" t="s">
        <v>41</v>
      </c>
      <c r="C103" s="9" t="s">
        <v>88</v>
      </c>
      <c r="D103" s="9" t="s">
        <v>183</v>
      </c>
      <c r="E103" s="9" t="s">
        <v>73</v>
      </c>
      <c r="F103" s="9" t="s">
        <v>90</v>
      </c>
      <c r="G103" s="9" t="s">
        <v>24</v>
      </c>
      <c r="H103" s="9" t="s">
        <v>75</v>
      </c>
      <c r="I103" s="9">
        <v>7000000227</v>
      </c>
      <c r="J103" s="10">
        <v>288.8</v>
      </c>
      <c r="K103" s="10">
        <v>10</v>
      </c>
      <c r="L103" s="10">
        <f t="shared" si="18"/>
        <v>298.8</v>
      </c>
      <c r="M103" s="11">
        <v>0.18</v>
      </c>
      <c r="N103" s="10">
        <f t="shared" si="19"/>
        <v>53.783999999999999</v>
      </c>
      <c r="O103" s="10">
        <f t="shared" si="20"/>
        <v>352.584</v>
      </c>
      <c r="P103" s="11">
        <f t="shared" si="21"/>
        <v>0.75683890577507595</v>
      </c>
      <c r="Q103" s="10">
        <f t="shared" si="22"/>
        <v>465.86400000000003</v>
      </c>
      <c r="R103" s="10">
        <f t="shared" si="23"/>
        <v>3057.5719999999997</v>
      </c>
      <c r="S103" s="10">
        <f t="shared" si="24"/>
        <v>352.584</v>
      </c>
      <c r="T103" s="9" t="s">
        <v>91</v>
      </c>
      <c r="U103" s="10">
        <v>5699</v>
      </c>
      <c r="V103" s="10">
        <f t="shared" si="25"/>
        <v>3989.2999999999997</v>
      </c>
      <c r="W103" s="166">
        <v>49119990</v>
      </c>
      <c r="X103" s="12" t="s">
        <v>25</v>
      </c>
      <c r="Y103" s="12">
        <f t="shared" si="26"/>
        <v>352.584</v>
      </c>
      <c r="Z103" s="13">
        <f t="shared" si="27"/>
        <v>352.584</v>
      </c>
      <c r="AA103" s="13">
        <f t="shared" si="28"/>
        <v>298.8</v>
      </c>
      <c r="AB103" s="13">
        <f t="shared" si="29"/>
        <v>288.8</v>
      </c>
      <c r="AC103" s="13">
        <f t="shared" si="30"/>
        <v>10</v>
      </c>
      <c r="AD103" s="14">
        <f t="shared" si="31"/>
        <v>3.3467202141900937E-2</v>
      </c>
      <c r="AE103" s="14">
        <f t="shared" si="32"/>
        <v>3.462603878116343E-2</v>
      </c>
      <c r="AF103" s="13" t="str">
        <f>IF(AD103&gt;=Assumptions!$B$3,"OK","Review")</f>
        <v>Review</v>
      </c>
      <c r="AG103" s="13">
        <f>IFERROR(IF(Assumptions!$B$13="Cost Price",AB103,AA103)*SUMIF(Assumptions!$A$6:$A$10,X103,Assumptions!$B$6:$B$10),0)</f>
        <v>23.904</v>
      </c>
      <c r="AH103" s="13">
        <f>IFERROR(IF(Assumptions!$B$13="Cost Price",AB103,AA103)*SUMIF(Assumptions!$A$6:$A$10,X103,Assumptions!$C$6:$C$10),0)</f>
        <v>14.940000000000001</v>
      </c>
      <c r="AI103" s="13">
        <f>IFERROR(IF(Assumptions!$B$13="Cost Price",AB103,AA103)*SUMIF(Assumptions!$A$6:$A$10,X103,Assumptions!$D$6:$D$10),0)</f>
        <v>29.880000000000003</v>
      </c>
      <c r="AJ103" s="13">
        <v>29.880000000000003</v>
      </c>
      <c r="AK103" s="13">
        <f t="shared" si="33"/>
        <v>98.604000000000013</v>
      </c>
      <c r="AL103" s="14">
        <v>0.33</v>
      </c>
      <c r="AM103" s="13">
        <f t="shared" si="34"/>
        <v>-88.604000000000013</v>
      </c>
      <c r="AN103" s="14">
        <f t="shared" si="35"/>
        <v>-0.29653279785809911</v>
      </c>
      <c r="AO103" t="str">
        <f>IF(AN103&gt;=Assumptions!$B$3,"OK","Review")</f>
        <v>Review</v>
      </c>
    </row>
    <row r="104" spans="1:41" ht="15" customHeight="1">
      <c r="A104" s="9" t="s">
        <v>70</v>
      </c>
      <c r="B104" s="9" t="s">
        <v>41</v>
      </c>
      <c r="C104" s="9" t="s">
        <v>92</v>
      </c>
      <c r="D104" s="9" t="s">
        <v>93</v>
      </c>
      <c r="E104" s="9" t="s">
        <v>73</v>
      </c>
      <c r="F104" s="9" t="s">
        <v>94</v>
      </c>
      <c r="G104" s="9" t="s">
        <v>24</v>
      </c>
      <c r="H104" s="9" t="s">
        <v>75</v>
      </c>
      <c r="I104" s="9">
        <v>8400007</v>
      </c>
      <c r="J104" s="10">
        <v>96</v>
      </c>
      <c r="K104" s="10"/>
      <c r="L104" s="10">
        <f t="shared" si="18"/>
        <v>96</v>
      </c>
      <c r="M104" s="11">
        <v>0.18</v>
      </c>
      <c r="N104" s="10">
        <f t="shared" si="19"/>
        <v>17.28</v>
      </c>
      <c r="O104" s="10">
        <f t="shared" si="20"/>
        <v>113.28</v>
      </c>
      <c r="P104" s="11">
        <f t="shared" si="21"/>
        <v>0.24316109422492399</v>
      </c>
      <c r="Q104" s="10">
        <f t="shared" si="22"/>
        <v>465.86400000000003</v>
      </c>
      <c r="R104" s="10">
        <f t="shared" si="23"/>
        <v>3057.5719999999997</v>
      </c>
      <c r="S104" s="10">
        <f t="shared" si="24"/>
        <v>113.28</v>
      </c>
      <c r="T104" s="9" t="s">
        <v>91</v>
      </c>
      <c r="U104" s="10">
        <v>5699</v>
      </c>
      <c r="V104" s="10">
        <f t="shared" si="25"/>
        <v>3989.2999999999997</v>
      </c>
      <c r="W104" s="166">
        <v>999299</v>
      </c>
      <c r="X104" s="12" t="s">
        <v>25</v>
      </c>
      <c r="Y104" s="12">
        <f t="shared" si="26"/>
        <v>113.28</v>
      </c>
      <c r="Z104" s="13">
        <f t="shared" si="27"/>
        <v>113.28</v>
      </c>
      <c r="AA104" s="13">
        <f t="shared" si="28"/>
        <v>96</v>
      </c>
      <c r="AB104" s="13">
        <f t="shared" si="29"/>
        <v>96</v>
      </c>
      <c r="AC104" s="13">
        <f t="shared" si="30"/>
        <v>0</v>
      </c>
      <c r="AD104" s="14">
        <f t="shared" si="31"/>
        <v>0</v>
      </c>
      <c r="AE104" s="14">
        <f t="shared" si="32"/>
        <v>0</v>
      </c>
      <c r="AF104" s="13" t="str">
        <f>IF(AD104&gt;=Assumptions!$B$3,"OK","Review")</f>
        <v>Review</v>
      </c>
      <c r="AG104" s="13">
        <f>IFERROR(IF(Assumptions!$B$13="Cost Price",AB104,AA104)*SUMIF(Assumptions!$A$6:$A$10,X104,Assumptions!$B$6:$B$10),0)</f>
        <v>7.68</v>
      </c>
      <c r="AH104" s="13">
        <f>IFERROR(IF(Assumptions!$B$13="Cost Price",AB104,AA104)*SUMIF(Assumptions!$A$6:$A$10,X104,Assumptions!$C$6:$C$10),0)</f>
        <v>4.8000000000000007</v>
      </c>
      <c r="AI104" s="13">
        <f>IFERROR(IF(Assumptions!$B$13="Cost Price",AB104,AA104)*SUMIF(Assumptions!$A$6:$A$10,X104,Assumptions!$D$6:$D$10),0)</f>
        <v>9.6000000000000014</v>
      </c>
      <c r="AJ104" s="13">
        <v>9.6000000000000014</v>
      </c>
      <c r="AK104" s="13">
        <f t="shared" si="33"/>
        <v>31.680000000000003</v>
      </c>
      <c r="AL104" s="14">
        <v>0.33</v>
      </c>
      <c r="AM104" s="13">
        <f t="shared" si="34"/>
        <v>-31.680000000000003</v>
      </c>
      <c r="AN104" s="14">
        <f t="shared" si="35"/>
        <v>-0.33</v>
      </c>
      <c r="AO104" t="str">
        <f>IF(AN104&gt;=Assumptions!$B$3,"OK","Review")</f>
        <v>Review</v>
      </c>
    </row>
    <row r="105" spans="1:41" ht="15" customHeight="1">
      <c r="A105" s="9" t="s">
        <v>70</v>
      </c>
      <c r="B105" s="9" t="s">
        <v>42</v>
      </c>
      <c r="C105" s="9" t="s">
        <v>105</v>
      </c>
      <c r="D105" s="9" t="s">
        <v>184</v>
      </c>
      <c r="E105" s="9" t="s">
        <v>73</v>
      </c>
      <c r="F105" s="9" t="s">
        <v>81</v>
      </c>
      <c r="G105" s="9" t="s">
        <v>24</v>
      </c>
      <c r="H105" s="9" t="s">
        <v>75</v>
      </c>
      <c r="I105" s="9">
        <v>4000011770</v>
      </c>
      <c r="J105" s="10">
        <v>51.97</v>
      </c>
      <c r="K105" s="10"/>
      <c r="L105" s="10">
        <f t="shared" si="18"/>
        <v>51.97</v>
      </c>
      <c r="M105" s="11">
        <v>0</v>
      </c>
      <c r="N105" s="10">
        <f t="shared" si="19"/>
        <v>0</v>
      </c>
      <c r="O105" s="10">
        <f t="shared" si="20"/>
        <v>51.97</v>
      </c>
      <c r="P105" s="11">
        <f t="shared" si="21"/>
        <v>8.3069594961797874E-2</v>
      </c>
      <c r="Q105" s="10">
        <f t="shared" si="22"/>
        <v>625.62000000000012</v>
      </c>
      <c r="R105" s="10">
        <f t="shared" si="23"/>
        <v>3074.5639999999994</v>
      </c>
      <c r="S105" s="10">
        <f t="shared" si="24"/>
        <v>255.40278616412508</v>
      </c>
      <c r="T105" s="9" t="s">
        <v>76</v>
      </c>
      <c r="U105" s="10">
        <v>5699</v>
      </c>
      <c r="V105" s="10">
        <f t="shared" si="25"/>
        <v>3989.2999999999997</v>
      </c>
      <c r="W105" s="166">
        <v>490110</v>
      </c>
      <c r="X105" s="12" t="s">
        <v>25</v>
      </c>
      <c r="Y105" s="12">
        <f t="shared" si="26"/>
        <v>255.40278616412508</v>
      </c>
      <c r="Z105" s="13">
        <f t="shared" si="27"/>
        <v>255.40278616412508</v>
      </c>
      <c r="AA105" s="13">
        <f t="shared" si="28"/>
        <v>255.40278616412508</v>
      </c>
      <c r="AB105" s="13">
        <f t="shared" si="29"/>
        <v>51.97</v>
      </c>
      <c r="AC105" s="13">
        <f t="shared" si="30"/>
        <v>203.43278616412508</v>
      </c>
      <c r="AD105" s="14">
        <f t="shared" si="31"/>
        <v>0.79651748995955185</v>
      </c>
      <c r="AE105" s="14">
        <f t="shared" si="32"/>
        <v>3.9144272881301729</v>
      </c>
      <c r="AF105" s="13" t="str">
        <f>IF(AD105&gt;=Assumptions!$B$3,"OK","Review")</f>
        <v>OK</v>
      </c>
      <c r="AG105" s="13">
        <f>IFERROR(IF(Assumptions!$B$13="Cost Price",AB105,AA105)*SUMIF(Assumptions!$A$6:$A$10,X105,Assumptions!$B$6:$B$10),0)</f>
        <v>20.432222893130007</v>
      </c>
      <c r="AH105" s="13">
        <f>IFERROR(IF(Assumptions!$B$13="Cost Price",AB105,AA105)*SUMIF(Assumptions!$A$6:$A$10,X105,Assumptions!$C$6:$C$10),0)</f>
        <v>12.770139308206254</v>
      </c>
      <c r="AI105" s="13">
        <f>IFERROR(IF(Assumptions!$B$13="Cost Price",AB105,AA105)*SUMIF(Assumptions!$A$6:$A$10,X105,Assumptions!$D$6:$D$10),0)</f>
        <v>25.540278616412508</v>
      </c>
      <c r="AJ105" s="13">
        <v>39.742687267031101</v>
      </c>
      <c r="AK105" s="13">
        <f t="shared" si="33"/>
        <v>98.485328084779866</v>
      </c>
      <c r="AL105" s="14">
        <v>0.33</v>
      </c>
      <c r="AM105" s="13">
        <f t="shared" si="34"/>
        <v>104.94745807934521</v>
      </c>
      <c r="AN105" s="14">
        <f t="shared" si="35"/>
        <v>0.41090960539445581</v>
      </c>
      <c r="AO105" t="str">
        <f>IF(AN105&gt;=Assumptions!$B$3,"OK","Review")</f>
        <v>OK</v>
      </c>
    </row>
    <row r="106" spans="1:41" ht="15" customHeight="1">
      <c r="A106" s="9" t="s">
        <v>70</v>
      </c>
      <c r="B106" s="9" t="s">
        <v>42</v>
      </c>
      <c r="C106" s="9" t="s">
        <v>105</v>
      </c>
      <c r="D106" s="9" t="s">
        <v>185</v>
      </c>
      <c r="E106" s="9" t="s">
        <v>73</v>
      </c>
      <c r="F106" s="9" t="s">
        <v>81</v>
      </c>
      <c r="G106" s="9" t="s">
        <v>24</v>
      </c>
      <c r="H106" s="9" t="s">
        <v>75</v>
      </c>
      <c r="I106" s="9">
        <v>4000011771</v>
      </c>
      <c r="J106" s="10">
        <v>21.76</v>
      </c>
      <c r="K106" s="10"/>
      <c r="L106" s="10">
        <f t="shared" si="18"/>
        <v>21.76</v>
      </c>
      <c r="M106" s="11">
        <v>0</v>
      </c>
      <c r="N106" s="10">
        <f t="shared" si="19"/>
        <v>0</v>
      </c>
      <c r="O106" s="10">
        <f t="shared" si="20"/>
        <v>21.76</v>
      </c>
      <c r="P106" s="11">
        <f t="shared" si="21"/>
        <v>3.478149675521882E-2</v>
      </c>
      <c r="Q106" s="10">
        <f t="shared" si="22"/>
        <v>625.62000000000012</v>
      </c>
      <c r="R106" s="10">
        <f t="shared" si="23"/>
        <v>3074.5639999999994</v>
      </c>
      <c r="S106" s="10">
        <f t="shared" si="24"/>
        <v>106.93793778971258</v>
      </c>
      <c r="T106" s="9" t="s">
        <v>76</v>
      </c>
      <c r="U106" s="10">
        <v>5699</v>
      </c>
      <c r="V106" s="10">
        <f t="shared" si="25"/>
        <v>3989.2999999999997</v>
      </c>
      <c r="W106" s="166">
        <v>490110</v>
      </c>
      <c r="X106" s="12" t="s">
        <v>25</v>
      </c>
      <c r="Y106" s="12">
        <f t="shared" si="26"/>
        <v>106.93793778971258</v>
      </c>
      <c r="Z106" s="13">
        <f t="shared" si="27"/>
        <v>106.93793778971258</v>
      </c>
      <c r="AA106" s="13">
        <f t="shared" si="28"/>
        <v>106.93793778971258</v>
      </c>
      <c r="AB106" s="13">
        <f t="shared" si="29"/>
        <v>21.76</v>
      </c>
      <c r="AC106" s="13">
        <f t="shared" si="30"/>
        <v>85.177937789712573</v>
      </c>
      <c r="AD106" s="14">
        <f t="shared" si="31"/>
        <v>0.79651748995955185</v>
      </c>
      <c r="AE106" s="14">
        <f t="shared" si="32"/>
        <v>3.9144272881301729</v>
      </c>
      <c r="AF106" s="13" t="str">
        <f>IF(AD106&gt;=Assumptions!$B$3,"OK","Review")</f>
        <v>OK</v>
      </c>
      <c r="AG106" s="13">
        <f>IFERROR(IF(Assumptions!$B$13="Cost Price",AB106,AA106)*SUMIF(Assumptions!$A$6:$A$10,X106,Assumptions!$B$6:$B$10),0)</f>
        <v>8.5550350231770071</v>
      </c>
      <c r="AH106" s="13">
        <f>IFERROR(IF(Assumptions!$B$13="Cost Price",AB106,AA106)*SUMIF(Assumptions!$A$6:$A$10,X106,Assumptions!$C$6:$C$10),0)</f>
        <v>5.3468968894856292</v>
      </c>
      <c r="AI106" s="13">
        <f>IFERROR(IF(Assumptions!$B$13="Cost Price",AB106,AA106)*SUMIF(Assumptions!$A$6:$A$10,X106,Assumptions!$D$6:$D$10),0)</f>
        <v>10.693793778971258</v>
      </c>
      <c r="AJ106" s="13">
        <v>16.640386279211022</v>
      </c>
      <c r="AK106" s="13">
        <f t="shared" si="33"/>
        <v>41.236111970844917</v>
      </c>
      <c r="AL106" s="14">
        <v>0.33</v>
      </c>
      <c r="AM106" s="13">
        <f t="shared" si="34"/>
        <v>43.941825818867656</v>
      </c>
      <c r="AN106" s="14">
        <f t="shared" si="35"/>
        <v>0.41090960539445576</v>
      </c>
      <c r="AO106" t="str">
        <f>IF(AN106&gt;=Assumptions!$B$3,"OK","Review")</f>
        <v>OK</v>
      </c>
    </row>
    <row r="107" spans="1:41" ht="15" customHeight="1">
      <c r="A107" s="9" t="s">
        <v>70</v>
      </c>
      <c r="B107" s="9" t="s">
        <v>42</v>
      </c>
      <c r="C107" s="9" t="s">
        <v>71</v>
      </c>
      <c r="D107" s="9" t="s">
        <v>186</v>
      </c>
      <c r="E107" s="9" t="s">
        <v>73</v>
      </c>
      <c r="F107" s="9" t="s">
        <v>74</v>
      </c>
      <c r="G107" s="9" t="s">
        <v>24</v>
      </c>
      <c r="H107" s="9" t="s">
        <v>75</v>
      </c>
      <c r="I107" s="9">
        <v>4000011772</v>
      </c>
      <c r="J107" s="10">
        <v>68.62</v>
      </c>
      <c r="K107" s="10"/>
      <c r="L107" s="10">
        <f t="shared" si="18"/>
        <v>68.62</v>
      </c>
      <c r="M107" s="11">
        <v>0</v>
      </c>
      <c r="N107" s="10">
        <f t="shared" si="19"/>
        <v>0</v>
      </c>
      <c r="O107" s="10">
        <f t="shared" si="20"/>
        <v>68.62</v>
      </c>
      <c r="P107" s="11">
        <f t="shared" si="21"/>
        <v>0.10968319427128287</v>
      </c>
      <c r="Q107" s="10">
        <f t="shared" si="22"/>
        <v>625.62000000000012</v>
      </c>
      <c r="R107" s="10">
        <f t="shared" si="23"/>
        <v>3074.5639999999994</v>
      </c>
      <c r="S107" s="10">
        <f t="shared" si="24"/>
        <v>337.2280005114925</v>
      </c>
      <c r="T107" s="9" t="s">
        <v>76</v>
      </c>
      <c r="U107" s="10">
        <v>5699</v>
      </c>
      <c r="V107" s="10">
        <f t="shared" si="25"/>
        <v>3989.2999999999997</v>
      </c>
      <c r="W107" s="166">
        <v>490110</v>
      </c>
      <c r="X107" s="12" t="s">
        <v>25</v>
      </c>
      <c r="Y107" s="12">
        <f t="shared" si="26"/>
        <v>337.2280005114925</v>
      </c>
      <c r="Z107" s="13">
        <f t="shared" si="27"/>
        <v>337.2280005114925</v>
      </c>
      <c r="AA107" s="13">
        <f t="shared" si="28"/>
        <v>337.2280005114925</v>
      </c>
      <c r="AB107" s="13">
        <f t="shared" si="29"/>
        <v>68.62</v>
      </c>
      <c r="AC107" s="13">
        <f t="shared" si="30"/>
        <v>268.60800051149249</v>
      </c>
      <c r="AD107" s="14">
        <f t="shared" si="31"/>
        <v>0.79651748995955196</v>
      </c>
      <c r="AE107" s="14">
        <f t="shared" si="32"/>
        <v>3.9144272881301729</v>
      </c>
      <c r="AF107" s="13" t="str">
        <f>IF(AD107&gt;=Assumptions!$B$3,"OK","Review")</f>
        <v>OK</v>
      </c>
      <c r="AG107" s="13">
        <f>IFERROR(IF(Assumptions!$B$13="Cost Price",AB107,AA107)*SUMIF(Assumptions!$A$6:$A$10,X107,Assumptions!$B$6:$B$10),0)</f>
        <v>26.978240040919399</v>
      </c>
      <c r="AH107" s="13">
        <f>IFERROR(IF(Assumptions!$B$13="Cost Price",AB107,AA107)*SUMIF(Assumptions!$A$6:$A$10,X107,Assumptions!$C$6:$C$10),0)</f>
        <v>16.861400025574625</v>
      </c>
      <c r="AI107" s="13">
        <f>IFERROR(IF(Assumptions!$B$13="Cost Price",AB107,AA107)*SUMIF(Assumptions!$A$6:$A$10,X107,Assumptions!$D$6:$D$10),0)</f>
        <v>33.72280005114925</v>
      </c>
      <c r="AJ107" s="13">
        <v>52.475335775710484</v>
      </c>
      <c r="AK107" s="13">
        <f t="shared" si="33"/>
        <v>130.03777589335377</v>
      </c>
      <c r="AL107" s="14">
        <v>0.33</v>
      </c>
      <c r="AM107" s="13">
        <f t="shared" si="34"/>
        <v>138.57022461813872</v>
      </c>
      <c r="AN107" s="14">
        <f t="shared" si="35"/>
        <v>0.41090960539445581</v>
      </c>
      <c r="AO107" t="str">
        <f>IF(AN107&gt;=Assumptions!$B$3,"OK","Review")</f>
        <v>OK</v>
      </c>
    </row>
    <row r="108" spans="1:41" ht="15" customHeight="1">
      <c r="A108" s="9" t="s">
        <v>70</v>
      </c>
      <c r="B108" s="9" t="s">
        <v>42</v>
      </c>
      <c r="C108" s="9" t="s">
        <v>78</v>
      </c>
      <c r="D108" s="9" t="s">
        <v>187</v>
      </c>
      <c r="E108" s="9" t="s">
        <v>73</v>
      </c>
      <c r="F108" s="9" t="s">
        <v>74</v>
      </c>
      <c r="G108" s="9" t="s">
        <v>24</v>
      </c>
      <c r="H108" s="9" t="s">
        <v>75</v>
      </c>
      <c r="I108" s="9">
        <v>4000011774</v>
      </c>
      <c r="J108" s="10">
        <v>21.8</v>
      </c>
      <c r="K108" s="10"/>
      <c r="L108" s="10">
        <f t="shared" si="18"/>
        <v>21.8</v>
      </c>
      <c r="M108" s="11">
        <v>0</v>
      </c>
      <c r="N108" s="10">
        <f t="shared" si="19"/>
        <v>0</v>
      </c>
      <c r="O108" s="10">
        <f t="shared" si="20"/>
        <v>21.8</v>
      </c>
      <c r="P108" s="11">
        <f t="shared" si="21"/>
        <v>3.4845433330136497E-2</v>
      </c>
      <c r="Q108" s="10">
        <f t="shared" si="22"/>
        <v>625.62000000000012</v>
      </c>
      <c r="R108" s="10">
        <f t="shared" si="23"/>
        <v>3074.5639999999994</v>
      </c>
      <c r="S108" s="10">
        <f t="shared" si="24"/>
        <v>107.13451488123776</v>
      </c>
      <c r="T108" s="9" t="s">
        <v>76</v>
      </c>
      <c r="U108" s="10">
        <v>5699</v>
      </c>
      <c r="V108" s="10">
        <f t="shared" si="25"/>
        <v>3989.2999999999997</v>
      </c>
      <c r="W108" s="166">
        <v>490110</v>
      </c>
      <c r="X108" s="12" t="s">
        <v>25</v>
      </c>
      <c r="Y108" s="12">
        <f t="shared" si="26"/>
        <v>107.13451488123776</v>
      </c>
      <c r="Z108" s="13">
        <f t="shared" si="27"/>
        <v>107.13451488123776</v>
      </c>
      <c r="AA108" s="13">
        <f t="shared" si="28"/>
        <v>107.13451488123776</v>
      </c>
      <c r="AB108" s="13">
        <f t="shared" si="29"/>
        <v>21.8</v>
      </c>
      <c r="AC108" s="13">
        <f t="shared" si="30"/>
        <v>85.334514881237766</v>
      </c>
      <c r="AD108" s="14">
        <f t="shared" si="31"/>
        <v>0.79651748995955196</v>
      </c>
      <c r="AE108" s="14">
        <f t="shared" si="32"/>
        <v>3.9144272881301725</v>
      </c>
      <c r="AF108" s="13" t="str">
        <f>IF(AD108&gt;=Assumptions!$B$3,"OK","Review")</f>
        <v>OK</v>
      </c>
      <c r="AG108" s="13">
        <f>IFERROR(IF(Assumptions!$B$13="Cost Price",AB108,AA108)*SUMIF(Assumptions!$A$6:$A$10,X108,Assumptions!$B$6:$B$10),0)</f>
        <v>8.570761190499022</v>
      </c>
      <c r="AH108" s="13">
        <f>IFERROR(IF(Assumptions!$B$13="Cost Price",AB108,AA108)*SUMIF(Assumptions!$A$6:$A$10,X108,Assumptions!$C$6:$C$10),0)</f>
        <v>5.3567257440618885</v>
      </c>
      <c r="AI108" s="13">
        <f>IFERROR(IF(Assumptions!$B$13="Cost Price",AB108,AA108)*SUMIF(Assumptions!$A$6:$A$10,X108,Assumptions!$D$6:$D$10),0)</f>
        <v>10.713451488123777</v>
      </c>
      <c r="AJ108" s="13">
        <v>16.670975224577216</v>
      </c>
      <c r="AK108" s="13">
        <f t="shared" si="33"/>
        <v>41.311913647261903</v>
      </c>
      <c r="AL108" s="14">
        <v>0.33</v>
      </c>
      <c r="AM108" s="13">
        <f t="shared" si="34"/>
        <v>44.022601233975863</v>
      </c>
      <c r="AN108" s="14">
        <f t="shared" si="35"/>
        <v>0.41090960539445581</v>
      </c>
      <c r="AO108" t="str">
        <f>IF(AN108&gt;=Assumptions!$B$3,"OK","Review")</f>
        <v>OK</v>
      </c>
    </row>
    <row r="109" spans="1:41" ht="15" customHeight="1">
      <c r="A109" s="9" t="s">
        <v>70</v>
      </c>
      <c r="B109" s="9" t="s">
        <v>42</v>
      </c>
      <c r="C109" s="9" t="s">
        <v>78</v>
      </c>
      <c r="D109" s="9" t="s">
        <v>188</v>
      </c>
      <c r="E109" s="9" t="s">
        <v>73</v>
      </c>
      <c r="F109" s="9" t="s">
        <v>74</v>
      </c>
      <c r="G109" s="9" t="s">
        <v>24</v>
      </c>
      <c r="H109" s="9" t="s">
        <v>75</v>
      </c>
      <c r="I109" s="9">
        <v>4000011773</v>
      </c>
      <c r="J109" s="10">
        <v>60.31</v>
      </c>
      <c r="K109" s="10"/>
      <c r="L109" s="10">
        <f t="shared" si="18"/>
        <v>60.31</v>
      </c>
      <c r="M109" s="11">
        <v>0</v>
      </c>
      <c r="N109" s="10">
        <f t="shared" si="19"/>
        <v>0</v>
      </c>
      <c r="O109" s="10">
        <f t="shared" si="20"/>
        <v>60.31</v>
      </c>
      <c r="P109" s="11">
        <f t="shared" si="21"/>
        <v>9.6400370832134513E-2</v>
      </c>
      <c r="Q109" s="10">
        <f t="shared" si="22"/>
        <v>625.62000000000012</v>
      </c>
      <c r="R109" s="10">
        <f t="shared" si="23"/>
        <v>3074.5639999999994</v>
      </c>
      <c r="S109" s="10">
        <f t="shared" si="24"/>
        <v>296.38910974713076</v>
      </c>
      <c r="T109" s="9" t="s">
        <v>76</v>
      </c>
      <c r="U109" s="10">
        <v>5699</v>
      </c>
      <c r="V109" s="10">
        <f t="shared" si="25"/>
        <v>3989.2999999999997</v>
      </c>
      <c r="W109" s="166">
        <v>490110</v>
      </c>
      <c r="X109" s="12" t="s">
        <v>25</v>
      </c>
      <c r="Y109" s="12">
        <f t="shared" si="26"/>
        <v>296.38910974713076</v>
      </c>
      <c r="Z109" s="13">
        <f t="shared" si="27"/>
        <v>296.38910974713076</v>
      </c>
      <c r="AA109" s="13">
        <f t="shared" si="28"/>
        <v>296.38910974713076</v>
      </c>
      <c r="AB109" s="13">
        <f t="shared" si="29"/>
        <v>60.31</v>
      </c>
      <c r="AC109" s="13">
        <f t="shared" si="30"/>
        <v>236.07910974713076</v>
      </c>
      <c r="AD109" s="14">
        <f t="shared" si="31"/>
        <v>0.79651748995955196</v>
      </c>
      <c r="AE109" s="14">
        <f t="shared" si="32"/>
        <v>3.9144272881301734</v>
      </c>
      <c r="AF109" s="13" t="str">
        <f>IF(AD109&gt;=Assumptions!$B$3,"OK","Review")</f>
        <v>OK</v>
      </c>
      <c r="AG109" s="13">
        <f>IFERROR(IF(Assumptions!$B$13="Cost Price",AB109,AA109)*SUMIF(Assumptions!$A$6:$A$10,X109,Assumptions!$B$6:$B$10),0)</f>
        <v>23.711128779770462</v>
      </c>
      <c r="AH109" s="13">
        <f>IFERROR(IF(Assumptions!$B$13="Cost Price",AB109,AA109)*SUMIF(Assumptions!$A$6:$A$10,X109,Assumptions!$C$6:$C$10),0)</f>
        <v>14.819455487356539</v>
      </c>
      <c r="AI109" s="13">
        <f>IFERROR(IF(Assumptions!$B$13="Cost Price",AB109,AA109)*SUMIF(Assumptions!$A$6:$A$10,X109,Assumptions!$D$6:$D$10),0)</f>
        <v>29.638910974713077</v>
      </c>
      <c r="AJ109" s="13">
        <v>46.120482375883121</v>
      </c>
      <c r="AK109" s="13">
        <f t="shared" si="33"/>
        <v>114.2899776177232</v>
      </c>
      <c r="AL109" s="14">
        <v>0.33</v>
      </c>
      <c r="AM109" s="13">
        <f t="shared" si="34"/>
        <v>121.78913212940756</v>
      </c>
      <c r="AN109" s="14">
        <f t="shared" si="35"/>
        <v>0.41090960539445581</v>
      </c>
      <c r="AO109" t="str">
        <f>IF(AN109&gt;=Assumptions!$B$3,"OK","Review")</f>
        <v>OK</v>
      </c>
    </row>
    <row r="110" spans="1:41" ht="15" customHeight="1">
      <c r="A110" s="9" t="s">
        <v>70</v>
      </c>
      <c r="B110" s="9" t="s">
        <v>42</v>
      </c>
      <c r="C110" s="9" t="s">
        <v>78</v>
      </c>
      <c r="D110" s="9" t="s">
        <v>189</v>
      </c>
      <c r="E110" s="9" t="s">
        <v>73</v>
      </c>
      <c r="F110" s="9" t="s">
        <v>74</v>
      </c>
      <c r="G110" s="9" t="s">
        <v>24</v>
      </c>
      <c r="H110" s="9" t="s">
        <v>75</v>
      </c>
      <c r="I110" s="9">
        <v>4000011775</v>
      </c>
      <c r="J110" s="10">
        <v>13.59</v>
      </c>
      <c r="K110" s="10"/>
      <c r="L110" s="10">
        <f t="shared" si="18"/>
        <v>13.59</v>
      </c>
      <c r="M110" s="11">
        <v>0</v>
      </c>
      <c r="N110" s="10">
        <f t="shared" si="19"/>
        <v>0</v>
      </c>
      <c r="O110" s="10">
        <f t="shared" si="20"/>
        <v>13.59</v>
      </c>
      <c r="P110" s="11">
        <f t="shared" si="21"/>
        <v>2.1722451328282339E-2</v>
      </c>
      <c r="Q110" s="10">
        <f t="shared" si="22"/>
        <v>625.62000000000012</v>
      </c>
      <c r="R110" s="10">
        <f t="shared" si="23"/>
        <v>3074.5639999999994</v>
      </c>
      <c r="S110" s="10">
        <f t="shared" si="24"/>
        <v>66.787066845689054</v>
      </c>
      <c r="T110" s="9" t="s">
        <v>76</v>
      </c>
      <c r="U110" s="10">
        <v>5699</v>
      </c>
      <c r="V110" s="10">
        <f t="shared" si="25"/>
        <v>3989.2999999999997</v>
      </c>
      <c r="W110" s="166">
        <v>490110</v>
      </c>
      <c r="X110" s="12" t="s">
        <v>25</v>
      </c>
      <c r="Y110" s="12">
        <f t="shared" si="26"/>
        <v>66.787066845689054</v>
      </c>
      <c r="Z110" s="13">
        <f t="shared" si="27"/>
        <v>66.787066845689054</v>
      </c>
      <c r="AA110" s="13">
        <f t="shared" si="28"/>
        <v>66.787066845689054</v>
      </c>
      <c r="AB110" s="13">
        <f t="shared" si="29"/>
        <v>13.59</v>
      </c>
      <c r="AC110" s="13">
        <f t="shared" si="30"/>
        <v>53.197066845689051</v>
      </c>
      <c r="AD110" s="14">
        <f t="shared" si="31"/>
        <v>0.79651748995955185</v>
      </c>
      <c r="AE110" s="14">
        <f t="shared" si="32"/>
        <v>3.9144272881301729</v>
      </c>
      <c r="AF110" s="13" t="str">
        <f>IF(AD110&gt;=Assumptions!$B$3,"OK","Review")</f>
        <v>OK</v>
      </c>
      <c r="AG110" s="13">
        <f>IFERROR(IF(Assumptions!$B$13="Cost Price",AB110,AA110)*SUMIF(Assumptions!$A$6:$A$10,X110,Assumptions!$B$6:$B$10),0)</f>
        <v>5.3429653476551247</v>
      </c>
      <c r="AH110" s="13">
        <f>IFERROR(IF(Assumptions!$B$13="Cost Price",AB110,AA110)*SUMIF(Assumptions!$A$6:$A$10,X110,Assumptions!$C$6:$C$10),0)</f>
        <v>3.3393533422844528</v>
      </c>
      <c r="AI110" s="13">
        <f>IFERROR(IF(Assumptions!$B$13="Cost Price",AB110,AA110)*SUMIF(Assumptions!$A$6:$A$10,X110,Assumptions!$D$6:$D$10),0)</f>
        <v>6.6787066845689056</v>
      </c>
      <c r="AJ110" s="13">
        <v>10.392594188165338</v>
      </c>
      <c r="AK110" s="13">
        <f t="shared" si="33"/>
        <v>25.753619562673819</v>
      </c>
      <c r="AL110" s="14">
        <v>0.33</v>
      </c>
      <c r="AM110" s="13">
        <f t="shared" si="34"/>
        <v>27.443447283015232</v>
      </c>
      <c r="AN110" s="14">
        <f t="shared" si="35"/>
        <v>0.41090960539445581</v>
      </c>
      <c r="AO110" t="str">
        <f>IF(AN110&gt;=Assumptions!$B$3,"OK","Review")</f>
        <v>OK</v>
      </c>
    </row>
    <row r="111" spans="1:41" ht="15" customHeight="1">
      <c r="A111" s="9" t="s">
        <v>70</v>
      </c>
      <c r="B111" s="9" t="s">
        <v>42</v>
      </c>
      <c r="C111" s="9" t="s">
        <v>161</v>
      </c>
      <c r="D111" s="9" t="s">
        <v>190</v>
      </c>
      <c r="E111" s="9" t="s">
        <v>73</v>
      </c>
      <c r="F111" s="9" t="s">
        <v>74</v>
      </c>
      <c r="G111" s="9" t="s">
        <v>24</v>
      </c>
      <c r="H111" s="9" t="s">
        <v>75</v>
      </c>
      <c r="I111" s="9">
        <v>4000011776</v>
      </c>
      <c r="J111" s="10">
        <v>85.28</v>
      </c>
      <c r="K111" s="10"/>
      <c r="L111" s="10">
        <f t="shared" si="18"/>
        <v>85.28</v>
      </c>
      <c r="M111" s="11">
        <v>0</v>
      </c>
      <c r="N111" s="10">
        <f t="shared" si="19"/>
        <v>0</v>
      </c>
      <c r="O111" s="10">
        <f t="shared" si="20"/>
        <v>85.28</v>
      </c>
      <c r="P111" s="11">
        <f t="shared" si="21"/>
        <v>0.13631277772449726</v>
      </c>
      <c r="Q111" s="10">
        <f t="shared" si="22"/>
        <v>625.62000000000012</v>
      </c>
      <c r="R111" s="10">
        <f t="shared" si="23"/>
        <v>3074.5639999999994</v>
      </c>
      <c r="S111" s="10">
        <f t="shared" si="24"/>
        <v>419.10235913174114</v>
      </c>
      <c r="T111" s="9" t="s">
        <v>76</v>
      </c>
      <c r="U111" s="10">
        <v>5699</v>
      </c>
      <c r="V111" s="10">
        <f t="shared" si="25"/>
        <v>3989.2999999999997</v>
      </c>
      <c r="W111" s="166">
        <v>490110</v>
      </c>
      <c r="X111" s="12" t="s">
        <v>25</v>
      </c>
      <c r="Y111" s="12">
        <f t="shared" si="26"/>
        <v>419.10235913174114</v>
      </c>
      <c r="Z111" s="13">
        <f t="shared" si="27"/>
        <v>419.10235913174114</v>
      </c>
      <c r="AA111" s="13">
        <f t="shared" si="28"/>
        <v>419.10235913174114</v>
      </c>
      <c r="AB111" s="13">
        <f t="shared" si="29"/>
        <v>85.28</v>
      </c>
      <c r="AC111" s="13">
        <f t="shared" si="30"/>
        <v>333.82235913174111</v>
      </c>
      <c r="AD111" s="14">
        <f t="shared" si="31"/>
        <v>0.79651748995955185</v>
      </c>
      <c r="AE111" s="14">
        <f t="shared" si="32"/>
        <v>3.9144272881301725</v>
      </c>
      <c r="AF111" s="13" t="str">
        <f>IF(AD111&gt;=Assumptions!$B$3,"OK","Review")</f>
        <v>OK</v>
      </c>
      <c r="AG111" s="13">
        <f>IFERROR(IF(Assumptions!$B$13="Cost Price",AB111,AA111)*SUMIF(Assumptions!$A$6:$A$10,X111,Assumptions!$B$6:$B$10),0)</f>
        <v>33.528188730539291</v>
      </c>
      <c r="AH111" s="13">
        <f>IFERROR(IF(Assumptions!$B$13="Cost Price",AB111,AA111)*SUMIF(Assumptions!$A$6:$A$10,X111,Assumptions!$C$6:$C$10),0)</f>
        <v>20.95511795658706</v>
      </c>
      <c r="AI111" s="13">
        <f>IFERROR(IF(Assumptions!$B$13="Cost Price",AB111,AA111)*SUMIF(Assumptions!$A$6:$A$10,X111,Assumptions!$D$6:$D$10),0)</f>
        <v>41.91023591317412</v>
      </c>
      <c r="AJ111" s="13">
        <v>65.215631520731421</v>
      </c>
      <c r="AK111" s="13">
        <f t="shared" si="33"/>
        <v>161.60917412103188</v>
      </c>
      <c r="AL111" s="14">
        <v>0.33</v>
      </c>
      <c r="AM111" s="13">
        <f t="shared" si="34"/>
        <v>172.21318501070922</v>
      </c>
      <c r="AN111" s="14">
        <f t="shared" si="35"/>
        <v>0.41090960539445576</v>
      </c>
      <c r="AO111" t="str">
        <f>IF(AN111&gt;=Assumptions!$B$3,"OK","Review")</f>
        <v>OK</v>
      </c>
    </row>
    <row r="112" spans="1:41" ht="15" customHeight="1">
      <c r="A112" s="9" t="s">
        <v>70</v>
      </c>
      <c r="B112" s="9" t="s">
        <v>42</v>
      </c>
      <c r="C112" s="9" t="s">
        <v>105</v>
      </c>
      <c r="D112" s="9" t="s">
        <v>191</v>
      </c>
      <c r="E112" s="9" t="s">
        <v>73</v>
      </c>
      <c r="F112" s="9" t="s">
        <v>81</v>
      </c>
      <c r="G112" s="9" t="s">
        <v>24</v>
      </c>
      <c r="H112" s="9" t="s">
        <v>84</v>
      </c>
      <c r="I112" s="9">
        <v>4000011777</v>
      </c>
      <c r="J112" s="10">
        <v>57.48</v>
      </c>
      <c r="K112" s="10"/>
      <c r="L112" s="10">
        <f t="shared" si="18"/>
        <v>57.48</v>
      </c>
      <c r="M112" s="11">
        <v>0</v>
      </c>
      <c r="N112" s="10">
        <f t="shared" si="19"/>
        <v>0</v>
      </c>
      <c r="O112" s="10">
        <f t="shared" si="20"/>
        <v>57.48</v>
      </c>
      <c r="P112" s="11">
        <f t="shared" si="21"/>
        <v>9.1876858156708527E-2</v>
      </c>
      <c r="Q112" s="10">
        <f t="shared" si="22"/>
        <v>625.62000000000012</v>
      </c>
      <c r="R112" s="10">
        <f t="shared" si="23"/>
        <v>3074.5639999999994</v>
      </c>
      <c r="S112" s="10">
        <f t="shared" si="24"/>
        <v>282.48128052172234</v>
      </c>
      <c r="T112" s="9" t="s">
        <v>76</v>
      </c>
      <c r="U112" s="10">
        <v>5699</v>
      </c>
      <c r="V112" s="10">
        <f t="shared" si="25"/>
        <v>3989.2999999999997</v>
      </c>
      <c r="W112" s="166">
        <v>490110</v>
      </c>
      <c r="X112" s="12" t="s">
        <v>25</v>
      </c>
      <c r="Y112" s="12">
        <f t="shared" si="26"/>
        <v>282.48128052172234</v>
      </c>
      <c r="Z112" s="13">
        <f t="shared" si="27"/>
        <v>282.48128052172234</v>
      </c>
      <c r="AA112" s="13">
        <f t="shared" si="28"/>
        <v>282.48128052172234</v>
      </c>
      <c r="AB112" s="13">
        <f t="shared" si="29"/>
        <v>57.48</v>
      </c>
      <c r="AC112" s="13">
        <f t="shared" si="30"/>
        <v>225.00128052172235</v>
      </c>
      <c r="AD112" s="14">
        <f t="shared" si="31"/>
        <v>0.79651748995955196</v>
      </c>
      <c r="AE112" s="14">
        <f t="shared" si="32"/>
        <v>3.9144272881301734</v>
      </c>
      <c r="AF112" s="13" t="str">
        <f>IF(AD112&gt;=Assumptions!$B$3,"OK","Review")</f>
        <v>OK</v>
      </c>
      <c r="AG112" s="13">
        <f>IFERROR(IF(Assumptions!$B$13="Cost Price",AB112,AA112)*SUMIF(Assumptions!$A$6:$A$10,X112,Assumptions!$B$6:$B$10),0)</f>
        <v>22.598502441737789</v>
      </c>
      <c r="AH112" s="13">
        <f>IFERROR(IF(Assumptions!$B$13="Cost Price",AB112,AA112)*SUMIF(Assumptions!$A$6:$A$10,X112,Assumptions!$C$6:$C$10),0)</f>
        <v>14.124064026086117</v>
      </c>
      <c r="AI112" s="13">
        <f>IFERROR(IF(Assumptions!$B$13="Cost Price",AB112,AA112)*SUMIF(Assumptions!$A$6:$A$10,X112,Assumptions!$D$6:$D$10),0)</f>
        <v>28.248128052172234</v>
      </c>
      <c r="AJ112" s="13">
        <v>43.956314491224703</v>
      </c>
      <c r="AK112" s="13">
        <f t="shared" si="33"/>
        <v>108.92700901122085</v>
      </c>
      <c r="AL112" s="14">
        <v>0.33</v>
      </c>
      <c r="AM112" s="13">
        <f t="shared" si="34"/>
        <v>116.0742715105015</v>
      </c>
      <c r="AN112" s="14">
        <f t="shared" si="35"/>
        <v>0.41090960539445581</v>
      </c>
      <c r="AO112" t="str">
        <f>IF(AN112&gt;=Assumptions!$B$3,"OK","Review")</f>
        <v>OK</v>
      </c>
    </row>
    <row r="113" spans="1:41" ht="15" customHeight="1">
      <c r="A113" s="9" t="s">
        <v>70</v>
      </c>
      <c r="B113" s="9" t="s">
        <v>42</v>
      </c>
      <c r="C113" s="9" t="s">
        <v>105</v>
      </c>
      <c r="D113" s="9" t="s">
        <v>192</v>
      </c>
      <c r="E113" s="9" t="s">
        <v>73</v>
      </c>
      <c r="F113" s="9" t="s">
        <v>81</v>
      </c>
      <c r="G113" s="9" t="s">
        <v>24</v>
      </c>
      <c r="H113" s="9" t="s">
        <v>84</v>
      </c>
      <c r="I113" s="9">
        <v>4000011778</v>
      </c>
      <c r="J113" s="10">
        <v>18.579999999999998</v>
      </c>
      <c r="K113" s="10"/>
      <c r="L113" s="10">
        <f t="shared" si="18"/>
        <v>18.579999999999998</v>
      </c>
      <c r="M113" s="11">
        <v>0</v>
      </c>
      <c r="N113" s="10">
        <f t="shared" si="19"/>
        <v>0</v>
      </c>
      <c r="O113" s="10">
        <f t="shared" si="20"/>
        <v>18.579999999999998</v>
      </c>
      <c r="P113" s="11">
        <f t="shared" si="21"/>
        <v>2.9698539049263124E-2</v>
      </c>
      <c r="Q113" s="10">
        <f t="shared" si="22"/>
        <v>625.62000000000012</v>
      </c>
      <c r="R113" s="10">
        <f t="shared" si="23"/>
        <v>3074.5639999999994</v>
      </c>
      <c r="S113" s="10">
        <f t="shared" si="24"/>
        <v>91.310059013458613</v>
      </c>
      <c r="T113" s="9" t="s">
        <v>76</v>
      </c>
      <c r="U113" s="10">
        <v>5699</v>
      </c>
      <c r="V113" s="10">
        <f t="shared" si="25"/>
        <v>3989.2999999999997</v>
      </c>
      <c r="W113" s="166">
        <v>490110</v>
      </c>
      <c r="X113" s="12" t="s">
        <v>25</v>
      </c>
      <c r="Y113" s="12">
        <f t="shared" si="26"/>
        <v>91.310059013458613</v>
      </c>
      <c r="Z113" s="13">
        <f t="shared" si="27"/>
        <v>91.310059013458613</v>
      </c>
      <c r="AA113" s="13">
        <f t="shared" si="28"/>
        <v>91.310059013458613</v>
      </c>
      <c r="AB113" s="13">
        <f t="shared" si="29"/>
        <v>18.579999999999998</v>
      </c>
      <c r="AC113" s="13">
        <f t="shared" si="30"/>
        <v>72.730059013458614</v>
      </c>
      <c r="AD113" s="14">
        <f t="shared" si="31"/>
        <v>0.79651748995955196</v>
      </c>
      <c r="AE113" s="14">
        <f t="shared" si="32"/>
        <v>3.9144272881301734</v>
      </c>
      <c r="AF113" s="13" t="str">
        <f>IF(AD113&gt;=Assumptions!$B$3,"OK","Review")</f>
        <v>OK</v>
      </c>
      <c r="AG113" s="13">
        <f>IFERROR(IF(Assumptions!$B$13="Cost Price",AB113,AA113)*SUMIF(Assumptions!$A$6:$A$10,X113,Assumptions!$B$6:$B$10),0)</f>
        <v>7.3048047210766889</v>
      </c>
      <c r="AH113" s="13">
        <f>IFERROR(IF(Assumptions!$B$13="Cost Price",AB113,AA113)*SUMIF(Assumptions!$A$6:$A$10,X113,Assumptions!$C$6:$C$10),0)</f>
        <v>4.565502950672931</v>
      </c>
      <c r="AI113" s="13">
        <f>IFERROR(IF(Assumptions!$B$13="Cost Price",AB113,AA113)*SUMIF(Assumptions!$A$6:$A$10,X113,Assumptions!$D$6:$D$10),0)</f>
        <v>9.131005901345862</v>
      </c>
      <c r="AJ113" s="13">
        <v>14.208565122598381</v>
      </c>
      <c r="AK113" s="13">
        <f t="shared" si="33"/>
        <v>35.20987869569386</v>
      </c>
      <c r="AL113" s="14">
        <v>0.33</v>
      </c>
      <c r="AM113" s="13">
        <f t="shared" si="34"/>
        <v>37.520180317764755</v>
      </c>
      <c r="AN113" s="14">
        <f t="shared" si="35"/>
        <v>0.41090960539445587</v>
      </c>
      <c r="AO113" t="str">
        <f>IF(AN113&gt;=Assumptions!$B$3,"OK","Review")</f>
        <v>OK</v>
      </c>
    </row>
    <row r="114" spans="1:41" ht="15" customHeight="1">
      <c r="A114" s="9" t="s">
        <v>70</v>
      </c>
      <c r="B114" s="9" t="s">
        <v>42</v>
      </c>
      <c r="C114" s="9" t="s">
        <v>71</v>
      </c>
      <c r="D114" s="9" t="s">
        <v>193</v>
      </c>
      <c r="E114" s="9" t="s">
        <v>73</v>
      </c>
      <c r="F114" s="9" t="s">
        <v>74</v>
      </c>
      <c r="G114" s="9" t="s">
        <v>24</v>
      </c>
      <c r="H114" s="9" t="s">
        <v>84</v>
      </c>
      <c r="I114" s="9">
        <v>4000011779</v>
      </c>
      <c r="J114" s="10">
        <v>68.62</v>
      </c>
      <c r="K114" s="10"/>
      <c r="L114" s="10">
        <f t="shared" si="18"/>
        <v>68.62</v>
      </c>
      <c r="M114" s="11">
        <v>0</v>
      </c>
      <c r="N114" s="10">
        <f t="shared" si="19"/>
        <v>0</v>
      </c>
      <c r="O114" s="10">
        <f t="shared" si="20"/>
        <v>68.62</v>
      </c>
      <c r="P114" s="11">
        <f t="shared" si="21"/>
        <v>0.10968319427128287</v>
      </c>
      <c r="Q114" s="10">
        <f t="shared" si="22"/>
        <v>625.62000000000012</v>
      </c>
      <c r="R114" s="10">
        <f t="shared" si="23"/>
        <v>3074.5639999999994</v>
      </c>
      <c r="S114" s="10">
        <f t="shared" si="24"/>
        <v>337.2280005114925</v>
      </c>
      <c r="T114" s="9" t="s">
        <v>76</v>
      </c>
      <c r="U114" s="10">
        <v>5699</v>
      </c>
      <c r="V114" s="10">
        <f t="shared" si="25"/>
        <v>3989.2999999999997</v>
      </c>
      <c r="W114" s="166">
        <v>490110</v>
      </c>
      <c r="X114" s="12" t="s">
        <v>25</v>
      </c>
      <c r="Y114" s="12">
        <f t="shared" si="26"/>
        <v>337.2280005114925</v>
      </c>
      <c r="Z114" s="13">
        <f t="shared" si="27"/>
        <v>337.2280005114925</v>
      </c>
      <c r="AA114" s="13">
        <f t="shared" si="28"/>
        <v>337.2280005114925</v>
      </c>
      <c r="AB114" s="13">
        <f t="shared" si="29"/>
        <v>68.62</v>
      </c>
      <c r="AC114" s="13">
        <f t="shared" si="30"/>
        <v>268.60800051149249</v>
      </c>
      <c r="AD114" s="14">
        <f t="shared" si="31"/>
        <v>0.79651748995955196</v>
      </c>
      <c r="AE114" s="14">
        <f t="shared" si="32"/>
        <v>3.9144272881301729</v>
      </c>
      <c r="AF114" s="13" t="str">
        <f>IF(AD114&gt;=Assumptions!$B$3,"OK","Review")</f>
        <v>OK</v>
      </c>
      <c r="AG114" s="13">
        <f>IFERROR(IF(Assumptions!$B$13="Cost Price",AB114,AA114)*SUMIF(Assumptions!$A$6:$A$10,X114,Assumptions!$B$6:$B$10),0)</f>
        <v>26.978240040919399</v>
      </c>
      <c r="AH114" s="13">
        <f>IFERROR(IF(Assumptions!$B$13="Cost Price",AB114,AA114)*SUMIF(Assumptions!$A$6:$A$10,X114,Assumptions!$C$6:$C$10),0)</f>
        <v>16.861400025574625</v>
      </c>
      <c r="AI114" s="13">
        <f>IFERROR(IF(Assumptions!$B$13="Cost Price",AB114,AA114)*SUMIF(Assumptions!$A$6:$A$10,X114,Assumptions!$D$6:$D$10),0)</f>
        <v>33.72280005114925</v>
      </c>
      <c r="AJ114" s="13">
        <v>52.475335775710484</v>
      </c>
      <c r="AK114" s="13">
        <f t="shared" si="33"/>
        <v>130.03777589335377</v>
      </c>
      <c r="AL114" s="14">
        <v>0.33</v>
      </c>
      <c r="AM114" s="13">
        <f t="shared" si="34"/>
        <v>138.57022461813872</v>
      </c>
      <c r="AN114" s="14">
        <f t="shared" si="35"/>
        <v>0.41090960539445581</v>
      </c>
      <c r="AO114" t="str">
        <f>IF(AN114&gt;=Assumptions!$B$3,"OK","Review")</f>
        <v>OK</v>
      </c>
    </row>
    <row r="115" spans="1:41" ht="15" customHeight="1">
      <c r="A115" s="9" t="s">
        <v>70</v>
      </c>
      <c r="B115" s="9" t="s">
        <v>42</v>
      </c>
      <c r="C115" s="9" t="s">
        <v>78</v>
      </c>
      <c r="D115" s="9" t="s">
        <v>194</v>
      </c>
      <c r="E115" s="9" t="s">
        <v>73</v>
      </c>
      <c r="F115" s="9" t="s">
        <v>74</v>
      </c>
      <c r="G115" s="9" t="s">
        <v>24</v>
      </c>
      <c r="H115" s="9" t="s">
        <v>84</v>
      </c>
      <c r="I115" s="9">
        <v>4000011862</v>
      </c>
      <c r="J115" s="10">
        <v>64.13</v>
      </c>
      <c r="K115" s="10"/>
      <c r="L115" s="10">
        <f t="shared" si="18"/>
        <v>64.13</v>
      </c>
      <c r="M115" s="11">
        <v>0</v>
      </c>
      <c r="N115" s="10">
        <f t="shared" si="19"/>
        <v>0</v>
      </c>
      <c r="O115" s="10">
        <f t="shared" si="20"/>
        <v>64.13</v>
      </c>
      <c r="P115" s="11">
        <f t="shared" si="21"/>
        <v>0.10250631373677309</v>
      </c>
      <c r="Q115" s="10">
        <f t="shared" si="22"/>
        <v>625.62000000000012</v>
      </c>
      <c r="R115" s="10">
        <f t="shared" si="23"/>
        <v>3074.5639999999994</v>
      </c>
      <c r="S115" s="10">
        <f t="shared" si="24"/>
        <v>315.16222198778797</v>
      </c>
      <c r="T115" s="9" t="s">
        <v>76</v>
      </c>
      <c r="U115" s="10">
        <v>5699</v>
      </c>
      <c r="V115" s="10">
        <f t="shared" si="25"/>
        <v>3989.2999999999997</v>
      </c>
      <c r="W115" s="166">
        <v>490110</v>
      </c>
      <c r="X115" s="12" t="s">
        <v>25</v>
      </c>
      <c r="Y115" s="12">
        <f t="shared" si="26"/>
        <v>315.16222198778797</v>
      </c>
      <c r="Z115" s="13">
        <f t="shared" si="27"/>
        <v>315.16222198778797</v>
      </c>
      <c r="AA115" s="13">
        <f t="shared" si="28"/>
        <v>315.16222198778797</v>
      </c>
      <c r="AB115" s="13">
        <f t="shared" si="29"/>
        <v>64.13</v>
      </c>
      <c r="AC115" s="13">
        <f t="shared" si="30"/>
        <v>251.03222198778798</v>
      </c>
      <c r="AD115" s="14">
        <f t="shared" si="31"/>
        <v>0.79651748995955196</v>
      </c>
      <c r="AE115" s="14">
        <f t="shared" si="32"/>
        <v>3.9144272881301729</v>
      </c>
      <c r="AF115" s="13" t="str">
        <f>IF(AD115&gt;=Assumptions!$B$3,"OK","Review")</f>
        <v>OK</v>
      </c>
      <c r="AG115" s="13">
        <f>IFERROR(IF(Assumptions!$B$13="Cost Price",AB115,AA115)*SUMIF(Assumptions!$A$6:$A$10,X115,Assumptions!$B$6:$B$10),0)</f>
        <v>25.212977759023037</v>
      </c>
      <c r="AH115" s="13">
        <f>IFERROR(IF(Assumptions!$B$13="Cost Price",AB115,AA115)*SUMIF(Assumptions!$A$6:$A$10,X115,Assumptions!$C$6:$C$10),0)</f>
        <v>15.758111099389399</v>
      </c>
      <c r="AI115" s="13">
        <f>IFERROR(IF(Assumptions!$B$13="Cost Price",AB115,AA115)*SUMIF(Assumptions!$A$6:$A$10,X115,Assumptions!$D$6:$D$10),0)</f>
        <v>31.516222198778799</v>
      </c>
      <c r="AJ115" s="13">
        <v>49.041726658354897</v>
      </c>
      <c r="AK115" s="13">
        <f t="shared" si="33"/>
        <v>121.52903771554614</v>
      </c>
      <c r="AL115" s="14">
        <v>0.33</v>
      </c>
      <c r="AM115" s="13">
        <f t="shared" si="34"/>
        <v>129.50318427224184</v>
      </c>
      <c r="AN115" s="14">
        <f t="shared" si="35"/>
        <v>0.41090960539445581</v>
      </c>
      <c r="AO115" t="str">
        <f>IF(AN115&gt;=Assumptions!$B$3,"OK","Review")</f>
        <v>OK</v>
      </c>
    </row>
    <row r="116" spans="1:41" ht="15" customHeight="1">
      <c r="A116" s="9" t="s">
        <v>70</v>
      </c>
      <c r="B116" s="9" t="s">
        <v>42</v>
      </c>
      <c r="C116" s="9" t="s">
        <v>78</v>
      </c>
      <c r="D116" s="9" t="s">
        <v>195</v>
      </c>
      <c r="E116" s="9" t="s">
        <v>73</v>
      </c>
      <c r="F116" s="9" t="s">
        <v>74</v>
      </c>
      <c r="G116" s="9" t="s">
        <v>24</v>
      </c>
      <c r="H116" s="9" t="s">
        <v>84</v>
      </c>
      <c r="I116" s="9">
        <v>4000011863</v>
      </c>
      <c r="J116" s="10">
        <v>16.48</v>
      </c>
      <c r="K116" s="10"/>
      <c r="L116" s="10">
        <f t="shared" si="18"/>
        <v>16.48</v>
      </c>
      <c r="M116" s="11">
        <v>0</v>
      </c>
      <c r="N116" s="10">
        <f t="shared" si="19"/>
        <v>0</v>
      </c>
      <c r="O116" s="10">
        <f t="shared" si="20"/>
        <v>16.48</v>
      </c>
      <c r="P116" s="11">
        <f t="shared" si="21"/>
        <v>2.634186886608484E-2</v>
      </c>
      <c r="Q116" s="10">
        <f t="shared" si="22"/>
        <v>625.62000000000012</v>
      </c>
      <c r="R116" s="10">
        <f t="shared" si="23"/>
        <v>3074.5639999999994</v>
      </c>
      <c r="S116" s="10">
        <f t="shared" si="24"/>
        <v>80.989761708385259</v>
      </c>
      <c r="T116" s="9" t="s">
        <v>76</v>
      </c>
      <c r="U116" s="10">
        <v>5699</v>
      </c>
      <c r="V116" s="10">
        <f t="shared" si="25"/>
        <v>3989.2999999999997</v>
      </c>
      <c r="W116" s="166">
        <v>490110</v>
      </c>
      <c r="X116" s="12" t="s">
        <v>25</v>
      </c>
      <c r="Y116" s="12">
        <f t="shared" si="26"/>
        <v>80.989761708385259</v>
      </c>
      <c r="Z116" s="13">
        <f t="shared" si="27"/>
        <v>80.989761708385259</v>
      </c>
      <c r="AA116" s="13">
        <f t="shared" si="28"/>
        <v>80.989761708385259</v>
      </c>
      <c r="AB116" s="13">
        <f t="shared" si="29"/>
        <v>16.48</v>
      </c>
      <c r="AC116" s="13">
        <f t="shared" si="30"/>
        <v>64.509761708385255</v>
      </c>
      <c r="AD116" s="14">
        <f t="shared" si="31"/>
        <v>0.79651748995955185</v>
      </c>
      <c r="AE116" s="14">
        <f t="shared" si="32"/>
        <v>3.9144272881301734</v>
      </c>
      <c r="AF116" s="13" t="str">
        <f>IF(AD116&gt;=Assumptions!$B$3,"OK","Review")</f>
        <v>OK</v>
      </c>
      <c r="AG116" s="13">
        <f>IFERROR(IF(Assumptions!$B$13="Cost Price",AB116,AA116)*SUMIF(Assumptions!$A$6:$A$10,X116,Assumptions!$B$6:$B$10),0)</f>
        <v>6.4791809366708213</v>
      </c>
      <c r="AH116" s="13">
        <f>IFERROR(IF(Assumptions!$B$13="Cost Price",AB116,AA116)*SUMIF(Assumptions!$A$6:$A$10,X116,Assumptions!$C$6:$C$10),0)</f>
        <v>4.049488085419263</v>
      </c>
      <c r="AI116" s="13">
        <f>IFERROR(IF(Assumptions!$B$13="Cost Price",AB116,AA116)*SUMIF(Assumptions!$A$6:$A$10,X116,Assumptions!$D$6:$D$10),0)</f>
        <v>8.0989761708385259</v>
      </c>
      <c r="AJ116" s="13">
        <v>12.602645490873053</v>
      </c>
      <c r="AK116" s="13">
        <f t="shared" si="33"/>
        <v>31.230290683801663</v>
      </c>
      <c r="AL116" s="14">
        <v>0.33</v>
      </c>
      <c r="AM116" s="13">
        <f t="shared" si="34"/>
        <v>33.279471024583593</v>
      </c>
      <c r="AN116" s="14">
        <f t="shared" si="35"/>
        <v>0.41090960539445581</v>
      </c>
      <c r="AO116" t="str">
        <f>IF(AN116&gt;=Assumptions!$B$3,"OK","Review")</f>
        <v>OK</v>
      </c>
    </row>
    <row r="117" spans="1:41" ht="15" customHeight="1">
      <c r="A117" s="9" t="s">
        <v>70</v>
      </c>
      <c r="B117" s="9" t="s">
        <v>42</v>
      </c>
      <c r="C117" s="9" t="s">
        <v>161</v>
      </c>
      <c r="D117" s="9" t="s">
        <v>196</v>
      </c>
      <c r="E117" s="9" t="s">
        <v>73</v>
      </c>
      <c r="F117" s="9" t="s">
        <v>74</v>
      </c>
      <c r="G117" s="9" t="s">
        <v>24</v>
      </c>
      <c r="H117" s="9" t="s">
        <v>84</v>
      </c>
      <c r="I117" s="9">
        <v>4000011864</v>
      </c>
      <c r="J117" s="10">
        <v>77</v>
      </c>
      <c r="K117" s="10"/>
      <c r="L117" s="10">
        <f t="shared" si="18"/>
        <v>77</v>
      </c>
      <c r="M117" s="11">
        <v>0</v>
      </c>
      <c r="N117" s="10">
        <f t="shared" si="19"/>
        <v>0</v>
      </c>
      <c r="O117" s="10">
        <f t="shared" si="20"/>
        <v>77</v>
      </c>
      <c r="P117" s="11">
        <f t="shared" si="21"/>
        <v>0.12307790671653718</v>
      </c>
      <c r="Q117" s="10">
        <f t="shared" si="22"/>
        <v>625.62000000000012</v>
      </c>
      <c r="R117" s="10">
        <f t="shared" si="23"/>
        <v>3074.5639999999994</v>
      </c>
      <c r="S117" s="10">
        <f t="shared" si="24"/>
        <v>378.41090118602335</v>
      </c>
      <c r="T117" s="9" t="s">
        <v>76</v>
      </c>
      <c r="U117" s="10">
        <v>5699</v>
      </c>
      <c r="V117" s="10">
        <f t="shared" si="25"/>
        <v>3989.2999999999997</v>
      </c>
      <c r="W117" s="166">
        <v>490110</v>
      </c>
      <c r="X117" s="12" t="s">
        <v>25</v>
      </c>
      <c r="Y117" s="12">
        <f t="shared" si="26"/>
        <v>378.41090118602335</v>
      </c>
      <c r="Z117" s="13">
        <f t="shared" si="27"/>
        <v>378.41090118602335</v>
      </c>
      <c r="AA117" s="13">
        <f t="shared" si="28"/>
        <v>378.41090118602335</v>
      </c>
      <c r="AB117" s="13">
        <f t="shared" si="29"/>
        <v>77</v>
      </c>
      <c r="AC117" s="13">
        <f t="shared" si="30"/>
        <v>301.41090118602335</v>
      </c>
      <c r="AD117" s="14">
        <f t="shared" si="31"/>
        <v>0.79651748995955196</v>
      </c>
      <c r="AE117" s="14">
        <f t="shared" si="32"/>
        <v>3.9144272881301734</v>
      </c>
      <c r="AF117" s="13" t="str">
        <f>IF(AD117&gt;=Assumptions!$B$3,"OK","Review")</f>
        <v>OK</v>
      </c>
      <c r="AG117" s="13">
        <f>IFERROR(IF(Assumptions!$B$13="Cost Price",AB117,AA117)*SUMIF(Assumptions!$A$6:$A$10,X117,Assumptions!$B$6:$B$10),0)</f>
        <v>30.272872094881869</v>
      </c>
      <c r="AH117" s="13">
        <f>IFERROR(IF(Assumptions!$B$13="Cost Price",AB117,AA117)*SUMIF(Assumptions!$A$6:$A$10,X117,Assumptions!$C$6:$C$10),0)</f>
        <v>18.920545059301169</v>
      </c>
      <c r="AI117" s="13">
        <f>IFERROR(IF(Assumptions!$B$13="Cost Price",AB117,AA117)*SUMIF(Assumptions!$A$6:$A$10,X117,Assumptions!$D$6:$D$10),0)</f>
        <v>37.841090118602338</v>
      </c>
      <c r="AJ117" s="13">
        <v>58.883719829928708</v>
      </c>
      <c r="AK117" s="13">
        <f t="shared" si="33"/>
        <v>145.91822710271407</v>
      </c>
      <c r="AL117" s="14">
        <v>0.33</v>
      </c>
      <c r="AM117" s="13">
        <f t="shared" si="34"/>
        <v>155.49267408330928</v>
      </c>
      <c r="AN117" s="14">
        <f t="shared" si="35"/>
        <v>0.41090960539445587</v>
      </c>
      <c r="AO117" t="str">
        <f>IF(AN117&gt;=Assumptions!$B$3,"OK","Review")</f>
        <v>OK</v>
      </c>
    </row>
    <row r="118" spans="1:41" ht="15" customHeight="1">
      <c r="A118" s="9" t="s">
        <v>70</v>
      </c>
      <c r="B118" s="9" t="s">
        <v>42</v>
      </c>
      <c r="C118" s="9" t="s">
        <v>88</v>
      </c>
      <c r="D118" s="9" t="s">
        <v>197</v>
      </c>
      <c r="E118" s="9" t="s">
        <v>73</v>
      </c>
      <c r="F118" s="9" t="s">
        <v>90</v>
      </c>
      <c r="G118" s="9" t="s">
        <v>24</v>
      </c>
      <c r="H118" s="9" t="s">
        <v>75</v>
      </c>
      <c r="I118" s="9">
        <v>7000000228</v>
      </c>
      <c r="J118" s="10">
        <v>281.60000000000002</v>
      </c>
      <c r="K118" s="10">
        <v>10</v>
      </c>
      <c r="L118" s="10">
        <f t="shared" si="18"/>
        <v>291.60000000000002</v>
      </c>
      <c r="M118" s="11">
        <v>0.18</v>
      </c>
      <c r="N118" s="10">
        <f t="shared" si="19"/>
        <v>52.488</v>
      </c>
      <c r="O118" s="10">
        <f t="shared" si="20"/>
        <v>344.08800000000002</v>
      </c>
      <c r="P118" s="11">
        <f t="shared" si="21"/>
        <v>0.75232198142414852</v>
      </c>
      <c r="Q118" s="10">
        <f t="shared" si="22"/>
        <v>457.36800000000005</v>
      </c>
      <c r="R118" s="10">
        <f t="shared" si="23"/>
        <v>3074.5639999999994</v>
      </c>
      <c r="S118" s="10">
        <f t="shared" si="24"/>
        <v>344.08800000000002</v>
      </c>
      <c r="T118" s="9" t="s">
        <v>91</v>
      </c>
      <c r="U118" s="10">
        <v>5699</v>
      </c>
      <c r="V118" s="10">
        <f t="shared" si="25"/>
        <v>3989.2999999999997</v>
      </c>
      <c r="W118" s="166">
        <v>49119990</v>
      </c>
      <c r="X118" s="12" t="s">
        <v>25</v>
      </c>
      <c r="Y118" s="12">
        <f t="shared" si="26"/>
        <v>344.08800000000002</v>
      </c>
      <c r="Z118" s="13">
        <f t="shared" si="27"/>
        <v>344.08800000000002</v>
      </c>
      <c r="AA118" s="13">
        <f t="shared" si="28"/>
        <v>291.60000000000002</v>
      </c>
      <c r="AB118" s="13">
        <f t="shared" si="29"/>
        <v>281.60000000000002</v>
      </c>
      <c r="AC118" s="13">
        <f t="shared" si="30"/>
        <v>10</v>
      </c>
      <c r="AD118" s="14">
        <f t="shared" si="31"/>
        <v>3.4293552812071325E-2</v>
      </c>
      <c r="AE118" s="14">
        <f t="shared" si="32"/>
        <v>3.5511363636363633E-2</v>
      </c>
      <c r="AF118" s="13" t="str">
        <f>IF(AD118&gt;=Assumptions!$B$3,"OK","Review")</f>
        <v>Review</v>
      </c>
      <c r="AG118" s="13">
        <f>IFERROR(IF(Assumptions!$B$13="Cost Price",AB118,AA118)*SUMIF(Assumptions!$A$6:$A$10,X118,Assumptions!$B$6:$B$10),0)</f>
        <v>23.328000000000003</v>
      </c>
      <c r="AH118" s="13">
        <f>IFERROR(IF(Assumptions!$B$13="Cost Price",AB118,AA118)*SUMIF(Assumptions!$A$6:$A$10,X118,Assumptions!$C$6:$C$10),0)</f>
        <v>14.580000000000002</v>
      </c>
      <c r="AI118" s="13">
        <f>IFERROR(IF(Assumptions!$B$13="Cost Price",AB118,AA118)*SUMIF(Assumptions!$A$6:$A$10,X118,Assumptions!$D$6:$D$10),0)</f>
        <v>29.160000000000004</v>
      </c>
      <c r="AJ118" s="13">
        <v>29.160000000000004</v>
      </c>
      <c r="AK118" s="13">
        <f t="shared" si="33"/>
        <v>96.228000000000009</v>
      </c>
      <c r="AL118" s="14">
        <v>0.33</v>
      </c>
      <c r="AM118" s="13">
        <f t="shared" si="34"/>
        <v>-86.228000000000009</v>
      </c>
      <c r="AN118" s="14">
        <f t="shared" si="35"/>
        <v>-0.29570644718792866</v>
      </c>
      <c r="AO118" t="str">
        <f>IF(AN118&gt;=Assumptions!$B$3,"OK","Review")</f>
        <v>Review</v>
      </c>
    </row>
    <row r="119" spans="1:41" ht="15" customHeight="1">
      <c r="A119" s="9" t="s">
        <v>70</v>
      </c>
      <c r="B119" s="9" t="s">
        <v>42</v>
      </c>
      <c r="C119" s="9" t="s">
        <v>92</v>
      </c>
      <c r="D119" s="9" t="s">
        <v>93</v>
      </c>
      <c r="E119" s="9" t="s">
        <v>73</v>
      </c>
      <c r="F119" s="9" t="s">
        <v>94</v>
      </c>
      <c r="G119" s="9" t="s">
        <v>24</v>
      </c>
      <c r="H119" s="9" t="s">
        <v>75</v>
      </c>
      <c r="I119" s="9">
        <v>8400007</v>
      </c>
      <c r="J119" s="10">
        <v>96</v>
      </c>
      <c r="K119" s="10"/>
      <c r="L119" s="10">
        <f t="shared" si="18"/>
        <v>96</v>
      </c>
      <c r="M119" s="11">
        <v>0.18</v>
      </c>
      <c r="N119" s="10">
        <f t="shared" si="19"/>
        <v>17.28</v>
      </c>
      <c r="O119" s="10">
        <f t="shared" si="20"/>
        <v>113.28</v>
      </c>
      <c r="P119" s="11">
        <f t="shared" si="21"/>
        <v>0.24767801857585137</v>
      </c>
      <c r="Q119" s="10">
        <f t="shared" si="22"/>
        <v>457.36800000000005</v>
      </c>
      <c r="R119" s="10">
        <f t="shared" si="23"/>
        <v>3074.5639999999994</v>
      </c>
      <c r="S119" s="10">
        <f t="shared" si="24"/>
        <v>113.28</v>
      </c>
      <c r="T119" s="9" t="s">
        <v>91</v>
      </c>
      <c r="U119" s="10">
        <v>5699</v>
      </c>
      <c r="V119" s="10">
        <f t="shared" si="25"/>
        <v>3989.2999999999997</v>
      </c>
      <c r="W119" s="166">
        <v>999299</v>
      </c>
      <c r="X119" s="12" t="s">
        <v>25</v>
      </c>
      <c r="Y119" s="12">
        <f t="shared" si="26"/>
        <v>113.28</v>
      </c>
      <c r="Z119" s="13">
        <f t="shared" si="27"/>
        <v>113.28</v>
      </c>
      <c r="AA119" s="13">
        <f t="shared" si="28"/>
        <v>96</v>
      </c>
      <c r="AB119" s="13">
        <f t="shared" si="29"/>
        <v>96</v>
      </c>
      <c r="AC119" s="13">
        <f t="shared" si="30"/>
        <v>0</v>
      </c>
      <c r="AD119" s="14">
        <f t="shared" si="31"/>
        <v>0</v>
      </c>
      <c r="AE119" s="14">
        <f t="shared" si="32"/>
        <v>0</v>
      </c>
      <c r="AF119" s="13" t="str">
        <f>IF(AD119&gt;=Assumptions!$B$3,"OK","Review")</f>
        <v>Review</v>
      </c>
      <c r="AG119" s="13">
        <f>IFERROR(IF(Assumptions!$B$13="Cost Price",AB119,AA119)*SUMIF(Assumptions!$A$6:$A$10,X119,Assumptions!$B$6:$B$10),0)</f>
        <v>7.68</v>
      </c>
      <c r="AH119" s="13">
        <f>IFERROR(IF(Assumptions!$B$13="Cost Price",AB119,AA119)*SUMIF(Assumptions!$A$6:$A$10,X119,Assumptions!$C$6:$C$10),0)</f>
        <v>4.8000000000000007</v>
      </c>
      <c r="AI119" s="13">
        <f>IFERROR(IF(Assumptions!$B$13="Cost Price",AB119,AA119)*SUMIF(Assumptions!$A$6:$A$10,X119,Assumptions!$D$6:$D$10),0)</f>
        <v>9.6000000000000014</v>
      </c>
      <c r="AJ119" s="13">
        <v>9.6000000000000014</v>
      </c>
      <c r="AK119" s="13">
        <f t="shared" si="33"/>
        <v>31.680000000000003</v>
      </c>
      <c r="AL119" s="14">
        <v>0.33</v>
      </c>
      <c r="AM119" s="13">
        <f t="shared" si="34"/>
        <v>-31.680000000000003</v>
      </c>
      <c r="AN119" s="14">
        <f t="shared" si="35"/>
        <v>-0.33</v>
      </c>
      <c r="AO119" t="str">
        <f>IF(AN119&gt;=Assumptions!$B$3,"OK","Review")</f>
        <v>Review</v>
      </c>
    </row>
    <row r="120" spans="1:41" ht="15" customHeight="1">
      <c r="A120" s="9" t="s">
        <v>70</v>
      </c>
      <c r="B120" s="9" t="s">
        <v>43</v>
      </c>
      <c r="C120" s="9" t="s">
        <v>198</v>
      </c>
      <c r="D120" s="9" t="s">
        <v>199</v>
      </c>
      <c r="E120" s="9" t="s">
        <v>73</v>
      </c>
      <c r="F120" s="9" t="s">
        <v>74</v>
      </c>
      <c r="G120" s="9" t="s">
        <v>24</v>
      </c>
      <c r="H120" s="9" t="s">
        <v>75</v>
      </c>
      <c r="I120" s="9">
        <v>4000011865</v>
      </c>
      <c r="J120" s="10">
        <v>22.9</v>
      </c>
      <c r="K120" s="10"/>
      <c r="L120" s="10">
        <f t="shared" si="18"/>
        <v>22.9</v>
      </c>
      <c r="M120" s="11">
        <v>0</v>
      </c>
      <c r="N120" s="10">
        <f t="shared" si="19"/>
        <v>0</v>
      </c>
      <c r="O120" s="10">
        <f t="shared" si="20"/>
        <v>22.9</v>
      </c>
      <c r="P120" s="11">
        <f t="shared" si="21"/>
        <v>8.4405292838450469E-2</v>
      </c>
      <c r="Q120" s="10">
        <f t="shared" si="22"/>
        <v>271.31</v>
      </c>
      <c r="R120" s="10">
        <f t="shared" si="23"/>
        <v>1507.4359999999999</v>
      </c>
      <c r="S120" s="10">
        <f t="shared" si="24"/>
        <v>127.23557701522242</v>
      </c>
      <c r="T120" s="9" t="s">
        <v>76</v>
      </c>
      <c r="U120" s="10">
        <v>3999</v>
      </c>
      <c r="V120" s="10">
        <f t="shared" si="25"/>
        <v>2799.2999999999997</v>
      </c>
      <c r="W120" s="166">
        <v>490110</v>
      </c>
      <c r="X120" s="12" t="s">
        <v>25</v>
      </c>
      <c r="Y120" s="12">
        <f t="shared" si="26"/>
        <v>127.23557701522242</v>
      </c>
      <c r="Z120" s="13">
        <f t="shared" si="27"/>
        <v>127.23557701522242</v>
      </c>
      <c r="AA120" s="13">
        <f t="shared" si="28"/>
        <v>127.23557701522242</v>
      </c>
      <c r="AB120" s="13">
        <f t="shared" si="29"/>
        <v>22.9</v>
      </c>
      <c r="AC120" s="13">
        <f t="shared" si="30"/>
        <v>104.33557701522241</v>
      </c>
      <c r="AD120" s="14">
        <f t="shared" si="31"/>
        <v>0.82001889300772957</v>
      </c>
      <c r="AE120" s="14">
        <f t="shared" si="32"/>
        <v>4.5561387342891884</v>
      </c>
      <c r="AF120" s="13" t="str">
        <f>IF(AD120&gt;=Assumptions!$B$3,"OK","Review")</f>
        <v>OK</v>
      </c>
      <c r="AG120" s="13">
        <f>IFERROR(IF(Assumptions!$B$13="Cost Price",AB120,AA120)*SUMIF(Assumptions!$A$6:$A$10,X120,Assumptions!$B$6:$B$10),0)</f>
        <v>10.178846161217793</v>
      </c>
      <c r="AH120" s="13">
        <f>IFERROR(IF(Assumptions!$B$13="Cost Price",AB120,AA120)*SUMIF(Assumptions!$A$6:$A$10,X120,Assumptions!$C$6:$C$10),0)</f>
        <v>6.3617788507611213</v>
      </c>
      <c r="AI120" s="13">
        <f>IFERROR(IF(Assumptions!$B$13="Cost Price",AB120,AA120)*SUMIF(Assumptions!$A$6:$A$10,X120,Assumptions!$D$6:$D$10),0)</f>
        <v>12.723557701522243</v>
      </c>
      <c r="AJ120" s="13">
        <v>22.84966068335115</v>
      </c>
      <c r="AK120" s="13">
        <f t="shared" si="33"/>
        <v>52.113843396852303</v>
      </c>
      <c r="AL120" s="14">
        <v>0.33</v>
      </c>
      <c r="AM120" s="13">
        <f t="shared" si="34"/>
        <v>52.221733618370109</v>
      </c>
      <c r="AN120" s="14">
        <f t="shared" si="35"/>
        <v>0.41043342470260752</v>
      </c>
      <c r="AO120" t="str">
        <f>IF(AN120&gt;=Assumptions!$B$3,"OK","Review")</f>
        <v>OK</v>
      </c>
    </row>
    <row r="121" spans="1:41" ht="15" customHeight="1">
      <c r="A121" s="9" t="s">
        <v>70</v>
      </c>
      <c r="B121" s="9" t="s">
        <v>43</v>
      </c>
      <c r="C121" s="9" t="s">
        <v>200</v>
      </c>
      <c r="D121" s="9" t="s">
        <v>201</v>
      </c>
      <c r="E121" s="9" t="s">
        <v>73</v>
      </c>
      <c r="F121" s="9" t="s">
        <v>74</v>
      </c>
      <c r="G121" s="9" t="s">
        <v>24</v>
      </c>
      <c r="H121" s="9" t="s">
        <v>75</v>
      </c>
      <c r="I121" s="9">
        <v>4000011866</v>
      </c>
      <c r="J121" s="10">
        <v>12.46</v>
      </c>
      <c r="K121" s="10"/>
      <c r="L121" s="10">
        <f t="shared" si="18"/>
        <v>12.46</v>
      </c>
      <c r="M121" s="11">
        <v>0</v>
      </c>
      <c r="N121" s="10">
        <f t="shared" si="19"/>
        <v>0</v>
      </c>
      <c r="O121" s="10">
        <f t="shared" si="20"/>
        <v>12.46</v>
      </c>
      <c r="P121" s="11">
        <f t="shared" si="21"/>
        <v>4.5925325273672185E-2</v>
      </c>
      <c r="Q121" s="10">
        <f t="shared" si="22"/>
        <v>271.31</v>
      </c>
      <c r="R121" s="10">
        <f t="shared" si="23"/>
        <v>1507.4359999999999</v>
      </c>
      <c r="S121" s="10">
        <f t="shared" si="24"/>
        <v>69.229488629243306</v>
      </c>
      <c r="T121" s="9" t="s">
        <v>76</v>
      </c>
      <c r="U121" s="10">
        <v>3999</v>
      </c>
      <c r="V121" s="10">
        <f t="shared" si="25"/>
        <v>2799.2999999999997</v>
      </c>
      <c r="W121" s="166">
        <v>490110</v>
      </c>
      <c r="X121" s="12" t="s">
        <v>25</v>
      </c>
      <c r="Y121" s="12">
        <f t="shared" si="26"/>
        <v>69.229488629243306</v>
      </c>
      <c r="Z121" s="13">
        <f t="shared" si="27"/>
        <v>69.229488629243306</v>
      </c>
      <c r="AA121" s="13">
        <f t="shared" si="28"/>
        <v>69.229488629243306</v>
      </c>
      <c r="AB121" s="13">
        <f t="shared" si="29"/>
        <v>12.46</v>
      </c>
      <c r="AC121" s="13">
        <f t="shared" si="30"/>
        <v>56.769488629243305</v>
      </c>
      <c r="AD121" s="14">
        <f t="shared" si="31"/>
        <v>0.82001889300772968</v>
      </c>
      <c r="AE121" s="14">
        <f t="shared" si="32"/>
        <v>4.5561387342891893</v>
      </c>
      <c r="AF121" s="13" t="str">
        <f>IF(AD121&gt;=Assumptions!$B$3,"OK","Review")</f>
        <v>OK</v>
      </c>
      <c r="AG121" s="13">
        <f>IFERROR(IF(Assumptions!$B$13="Cost Price",AB121,AA121)*SUMIF(Assumptions!$A$6:$A$10,X121,Assumptions!$B$6:$B$10),0)</f>
        <v>5.5383590903394646</v>
      </c>
      <c r="AH121" s="13">
        <f>IFERROR(IF(Assumptions!$B$13="Cost Price",AB121,AA121)*SUMIF(Assumptions!$A$6:$A$10,X121,Assumptions!$C$6:$C$10),0)</f>
        <v>3.4614744314621655</v>
      </c>
      <c r="AI121" s="13">
        <f>IFERROR(IF(Assumptions!$B$13="Cost Price",AB121,AA121)*SUMIF(Assumptions!$A$6:$A$10,X121,Assumptions!$D$6:$D$10),0)</f>
        <v>6.922948862924331</v>
      </c>
      <c r="AJ121" s="13">
        <v>12.432610136006785</v>
      </c>
      <c r="AK121" s="13">
        <f t="shared" si="33"/>
        <v>28.355392520732746</v>
      </c>
      <c r="AL121" s="14">
        <v>0.33</v>
      </c>
      <c r="AM121" s="13">
        <f t="shared" si="34"/>
        <v>28.414096108510559</v>
      </c>
      <c r="AN121" s="14">
        <f t="shared" si="35"/>
        <v>0.41043342470260757</v>
      </c>
      <c r="AO121" t="str">
        <f>IF(AN121&gt;=Assumptions!$B$3,"OK","Review")</f>
        <v>OK</v>
      </c>
    </row>
    <row r="122" spans="1:41" ht="15" customHeight="1">
      <c r="A122" s="9" t="s">
        <v>70</v>
      </c>
      <c r="B122" s="9" t="s">
        <v>43</v>
      </c>
      <c r="C122" s="9" t="s">
        <v>202</v>
      </c>
      <c r="D122" s="9" t="s">
        <v>203</v>
      </c>
      <c r="E122" s="9" t="s">
        <v>73</v>
      </c>
      <c r="F122" s="9" t="s">
        <v>81</v>
      </c>
      <c r="G122" s="9" t="s">
        <v>24</v>
      </c>
      <c r="H122" s="9" t="s">
        <v>75</v>
      </c>
      <c r="I122" s="9">
        <v>4000011867</v>
      </c>
      <c r="J122" s="10">
        <v>42.11</v>
      </c>
      <c r="K122" s="10"/>
      <c r="L122" s="10">
        <f t="shared" si="18"/>
        <v>42.11</v>
      </c>
      <c r="M122" s="11">
        <v>0</v>
      </c>
      <c r="N122" s="10">
        <f t="shared" si="19"/>
        <v>0</v>
      </c>
      <c r="O122" s="10">
        <f t="shared" si="20"/>
        <v>42.11</v>
      </c>
      <c r="P122" s="11">
        <f t="shared" si="21"/>
        <v>0.15520990748590174</v>
      </c>
      <c r="Q122" s="10">
        <f t="shared" si="22"/>
        <v>271.31</v>
      </c>
      <c r="R122" s="10">
        <f t="shared" si="23"/>
        <v>1507.4359999999999</v>
      </c>
      <c r="S122" s="10">
        <f t="shared" si="24"/>
        <v>233.96900210091778</v>
      </c>
      <c r="T122" s="9" t="s">
        <v>76</v>
      </c>
      <c r="U122" s="10">
        <v>3999</v>
      </c>
      <c r="V122" s="10">
        <f t="shared" si="25"/>
        <v>2799.2999999999997</v>
      </c>
      <c r="W122" s="166">
        <v>490110</v>
      </c>
      <c r="X122" s="12" t="s">
        <v>25</v>
      </c>
      <c r="Y122" s="12">
        <f t="shared" si="26"/>
        <v>233.96900210091778</v>
      </c>
      <c r="Z122" s="13">
        <f t="shared" si="27"/>
        <v>233.96900210091778</v>
      </c>
      <c r="AA122" s="13">
        <f t="shared" si="28"/>
        <v>233.96900210091778</v>
      </c>
      <c r="AB122" s="13">
        <f t="shared" si="29"/>
        <v>42.11</v>
      </c>
      <c r="AC122" s="13">
        <f t="shared" si="30"/>
        <v>191.85900210091779</v>
      </c>
      <c r="AD122" s="14">
        <f t="shared" si="31"/>
        <v>0.82001889300772979</v>
      </c>
      <c r="AE122" s="14">
        <f t="shared" si="32"/>
        <v>4.5561387342891901</v>
      </c>
      <c r="AF122" s="13" t="str">
        <f>IF(AD122&gt;=Assumptions!$B$3,"OK","Review")</f>
        <v>OK</v>
      </c>
      <c r="AG122" s="13">
        <f>IFERROR(IF(Assumptions!$B$13="Cost Price",AB122,AA122)*SUMIF(Assumptions!$A$6:$A$10,X122,Assumptions!$B$6:$B$10),0)</f>
        <v>18.717520168073424</v>
      </c>
      <c r="AH122" s="13">
        <f>IFERROR(IF(Assumptions!$B$13="Cost Price",AB122,AA122)*SUMIF(Assumptions!$A$6:$A$10,X122,Assumptions!$C$6:$C$10),0)</f>
        <v>11.69845010504589</v>
      </c>
      <c r="AI122" s="13">
        <f>IFERROR(IF(Assumptions!$B$13="Cost Price",AB122,AA122)*SUMIF(Assumptions!$A$6:$A$10,X122,Assumptions!$D$6:$D$10),0)</f>
        <v>23.396900210091779</v>
      </c>
      <c r="AJ122" s="13">
        <v>42.017432811175418</v>
      </c>
      <c r="AK122" s="13">
        <f t="shared" si="33"/>
        <v>95.830303294386511</v>
      </c>
      <c r="AL122" s="14">
        <v>0.33</v>
      </c>
      <c r="AM122" s="13">
        <f t="shared" si="34"/>
        <v>96.028698806531281</v>
      </c>
      <c r="AN122" s="14">
        <f t="shared" si="35"/>
        <v>0.41043342470260763</v>
      </c>
      <c r="AO122" t="str">
        <f>IF(AN122&gt;=Assumptions!$B$3,"OK","Review")</f>
        <v>OK</v>
      </c>
    </row>
    <row r="123" spans="1:41" ht="15" customHeight="1">
      <c r="A123" s="9" t="s">
        <v>70</v>
      </c>
      <c r="B123" s="9" t="s">
        <v>43</v>
      </c>
      <c r="C123" s="9" t="s">
        <v>202</v>
      </c>
      <c r="D123" s="9" t="s">
        <v>204</v>
      </c>
      <c r="E123" s="9" t="s">
        <v>73</v>
      </c>
      <c r="F123" s="9" t="s">
        <v>74</v>
      </c>
      <c r="G123" s="9" t="s">
        <v>24</v>
      </c>
      <c r="H123" s="9" t="s">
        <v>75</v>
      </c>
      <c r="I123" s="9">
        <v>4000011868</v>
      </c>
      <c r="J123" s="10">
        <v>16.7</v>
      </c>
      <c r="K123" s="10"/>
      <c r="L123" s="10">
        <f t="shared" si="18"/>
        <v>16.7</v>
      </c>
      <c r="M123" s="11">
        <v>0</v>
      </c>
      <c r="N123" s="10">
        <f t="shared" si="19"/>
        <v>0</v>
      </c>
      <c r="O123" s="10">
        <f t="shared" si="20"/>
        <v>16.7</v>
      </c>
      <c r="P123" s="11">
        <f t="shared" si="21"/>
        <v>6.1553204821053406E-2</v>
      </c>
      <c r="Q123" s="10">
        <f t="shared" si="22"/>
        <v>271.31</v>
      </c>
      <c r="R123" s="10">
        <f t="shared" si="23"/>
        <v>1507.4359999999999</v>
      </c>
      <c r="S123" s="10">
        <f t="shared" si="24"/>
        <v>92.78751686262946</v>
      </c>
      <c r="T123" s="9" t="s">
        <v>76</v>
      </c>
      <c r="U123" s="10">
        <v>3999</v>
      </c>
      <c r="V123" s="10">
        <f t="shared" si="25"/>
        <v>2799.2999999999997</v>
      </c>
      <c r="W123" s="166">
        <v>490110</v>
      </c>
      <c r="X123" s="12" t="s">
        <v>25</v>
      </c>
      <c r="Y123" s="12">
        <f t="shared" si="26"/>
        <v>92.78751686262946</v>
      </c>
      <c r="Z123" s="13">
        <f t="shared" si="27"/>
        <v>92.78751686262946</v>
      </c>
      <c r="AA123" s="13">
        <f t="shared" si="28"/>
        <v>92.78751686262946</v>
      </c>
      <c r="AB123" s="13">
        <f t="shared" si="29"/>
        <v>16.7</v>
      </c>
      <c r="AC123" s="13">
        <f t="shared" si="30"/>
        <v>76.087516862629457</v>
      </c>
      <c r="AD123" s="14">
        <f t="shared" si="31"/>
        <v>0.82001889300772968</v>
      </c>
      <c r="AE123" s="14">
        <f t="shared" si="32"/>
        <v>4.5561387342891893</v>
      </c>
      <c r="AF123" s="13" t="str">
        <f>IF(AD123&gt;=Assumptions!$B$3,"OK","Review")</f>
        <v>OK</v>
      </c>
      <c r="AG123" s="13">
        <f>IFERROR(IF(Assumptions!$B$13="Cost Price",AB123,AA123)*SUMIF(Assumptions!$A$6:$A$10,X123,Assumptions!$B$6:$B$10),0)</f>
        <v>7.4230013490103568</v>
      </c>
      <c r="AH123" s="13">
        <f>IFERROR(IF(Assumptions!$B$13="Cost Price",AB123,AA123)*SUMIF(Assumptions!$A$6:$A$10,X123,Assumptions!$C$6:$C$10),0)</f>
        <v>4.6393758431314733</v>
      </c>
      <c r="AI123" s="13">
        <f>IFERROR(IF(Assumptions!$B$13="Cost Price",AB123,AA123)*SUMIF(Assumptions!$A$6:$A$10,X123,Assumptions!$D$6:$D$10),0)</f>
        <v>9.2787516862629467</v>
      </c>
      <c r="AJ123" s="13">
        <v>16.663289668644726</v>
      </c>
      <c r="AK123" s="13">
        <f t="shared" si="33"/>
        <v>38.004418547049504</v>
      </c>
      <c r="AL123" s="14">
        <v>0.33</v>
      </c>
      <c r="AM123" s="13">
        <f t="shared" si="34"/>
        <v>38.083098315579953</v>
      </c>
      <c r="AN123" s="14">
        <f t="shared" si="35"/>
        <v>0.41043342470260752</v>
      </c>
      <c r="AO123" t="str">
        <f>IF(AN123&gt;=Assumptions!$B$3,"OK","Review")</f>
        <v>OK</v>
      </c>
    </row>
    <row r="124" spans="1:41" ht="15" customHeight="1">
      <c r="A124" s="9" t="s">
        <v>70</v>
      </c>
      <c r="B124" s="9" t="s">
        <v>43</v>
      </c>
      <c r="C124" s="9" t="s">
        <v>205</v>
      </c>
      <c r="D124" s="9" t="s">
        <v>206</v>
      </c>
      <c r="E124" s="9" t="s">
        <v>73</v>
      </c>
      <c r="F124" s="9" t="s">
        <v>74</v>
      </c>
      <c r="G124" s="9" t="s">
        <v>24</v>
      </c>
      <c r="H124" s="9" t="s">
        <v>75</v>
      </c>
      <c r="I124" s="9">
        <v>4000011869</v>
      </c>
      <c r="J124" s="10">
        <v>37.69</v>
      </c>
      <c r="K124" s="10"/>
      <c r="L124" s="10">
        <f t="shared" si="18"/>
        <v>37.69</v>
      </c>
      <c r="M124" s="11">
        <v>0</v>
      </c>
      <c r="N124" s="10">
        <f t="shared" si="19"/>
        <v>0</v>
      </c>
      <c r="O124" s="10">
        <f t="shared" si="20"/>
        <v>37.69</v>
      </c>
      <c r="P124" s="11">
        <f t="shared" si="21"/>
        <v>0.13891858022188638</v>
      </c>
      <c r="Q124" s="10">
        <f t="shared" si="22"/>
        <v>271.31</v>
      </c>
      <c r="R124" s="10">
        <f t="shared" si="23"/>
        <v>1507.4359999999999</v>
      </c>
      <c r="S124" s="10">
        <f t="shared" si="24"/>
        <v>209.4108688953595</v>
      </c>
      <c r="T124" s="9" t="s">
        <v>76</v>
      </c>
      <c r="U124" s="10">
        <v>3999</v>
      </c>
      <c r="V124" s="10">
        <f t="shared" si="25"/>
        <v>2799.2999999999997</v>
      </c>
      <c r="W124" s="166">
        <v>490110</v>
      </c>
      <c r="X124" s="12" t="s">
        <v>25</v>
      </c>
      <c r="Y124" s="12">
        <f t="shared" si="26"/>
        <v>209.4108688953595</v>
      </c>
      <c r="Z124" s="13">
        <f t="shared" si="27"/>
        <v>209.4108688953595</v>
      </c>
      <c r="AA124" s="13">
        <f t="shared" si="28"/>
        <v>209.4108688953595</v>
      </c>
      <c r="AB124" s="13">
        <f t="shared" si="29"/>
        <v>37.69</v>
      </c>
      <c r="AC124" s="13">
        <f t="shared" si="30"/>
        <v>171.7208688953595</v>
      </c>
      <c r="AD124" s="14">
        <f t="shared" si="31"/>
        <v>0.82001889300772968</v>
      </c>
      <c r="AE124" s="14">
        <f t="shared" si="32"/>
        <v>4.5561387342891884</v>
      </c>
      <c r="AF124" s="13" t="str">
        <f>IF(AD124&gt;=Assumptions!$B$3,"OK","Review")</f>
        <v>OK</v>
      </c>
      <c r="AG124" s="13">
        <f>IFERROR(IF(Assumptions!$B$13="Cost Price",AB124,AA124)*SUMIF(Assumptions!$A$6:$A$10,X124,Assumptions!$B$6:$B$10),0)</f>
        <v>16.752869511628759</v>
      </c>
      <c r="AH124" s="13">
        <f>IFERROR(IF(Assumptions!$B$13="Cost Price",AB124,AA124)*SUMIF(Assumptions!$A$6:$A$10,X124,Assumptions!$C$6:$C$10),0)</f>
        <v>10.470543444767976</v>
      </c>
      <c r="AI124" s="13">
        <f>IFERROR(IF(Assumptions!$B$13="Cost Price",AB124,AA124)*SUMIF(Assumptions!$A$6:$A$10,X124,Assumptions!$D$6:$D$10),0)</f>
        <v>20.941086889535953</v>
      </c>
      <c r="AJ124" s="13">
        <v>37.607148958755673</v>
      </c>
      <c r="AK124" s="13">
        <f t="shared" si="33"/>
        <v>85.771648804688368</v>
      </c>
      <c r="AL124" s="14">
        <v>0.33</v>
      </c>
      <c r="AM124" s="13">
        <f t="shared" si="34"/>
        <v>85.949220090671133</v>
      </c>
      <c r="AN124" s="14">
        <f t="shared" si="35"/>
        <v>0.41043342470260746</v>
      </c>
      <c r="AO124" t="str">
        <f>IF(AN124&gt;=Assumptions!$B$3,"OK","Review")</f>
        <v>OK</v>
      </c>
    </row>
    <row r="125" spans="1:41" ht="15" customHeight="1">
      <c r="A125" s="9" t="s">
        <v>70</v>
      </c>
      <c r="B125" s="9" t="s">
        <v>43</v>
      </c>
      <c r="C125" s="9" t="s">
        <v>205</v>
      </c>
      <c r="D125" s="9" t="s">
        <v>207</v>
      </c>
      <c r="E125" s="9" t="s">
        <v>73</v>
      </c>
      <c r="F125" s="9" t="s">
        <v>81</v>
      </c>
      <c r="G125" s="9" t="s">
        <v>24</v>
      </c>
      <c r="H125" s="9" t="s">
        <v>75</v>
      </c>
      <c r="I125" s="9">
        <v>4000011870</v>
      </c>
      <c r="J125" s="10">
        <v>18.13</v>
      </c>
      <c r="K125" s="10"/>
      <c r="L125" s="10">
        <f t="shared" si="18"/>
        <v>18.13</v>
      </c>
      <c r="M125" s="11">
        <v>0</v>
      </c>
      <c r="N125" s="10">
        <f t="shared" si="19"/>
        <v>0</v>
      </c>
      <c r="O125" s="10">
        <f t="shared" si="20"/>
        <v>18.13</v>
      </c>
      <c r="P125" s="11">
        <f t="shared" si="21"/>
        <v>6.6823928347646597E-2</v>
      </c>
      <c r="Q125" s="10">
        <f t="shared" si="22"/>
        <v>271.31</v>
      </c>
      <c r="R125" s="10">
        <f t="shared" si="23"/>
        <v>1507.4359999999999</v>
      </c>
      <c r="S125" s="10">
        <f t="shared" si="24"/>
        <v>100.732795252663</v>
      </c>
      <c r="T125" s="9" t="s">
        <v>76</v>
      </c>
      <c r="U125" s="10">
        <v>3999</v>
      </c>
      <c r="V125" s="10">
        <f t="shared" si="25"/>
        <v>2799.2999999999997</v>
      </c>
      <c r="W125" s="166">
        <v>490110</v>
      </c>
      <c r="X125" s="12" t="s">
        <v>25</v>
      </c>
      <c r="Y125" s="12">
        <f t="shared" si="26"/>
        <v>100.732795252663</v>
      </c>
      <c r="Z125" s="13">
        <f t="shared" si="27"/>
        <v>100.732795252663</v>
      </c>
      <c r="AA125" s="13">
        <f t="shared" si="28"/>
        <v>100.732795252663</v>
      </c>
      <c r="AB125" s="13">
        <f t="shared" si="29"/>
        <v>18.13</v>
      </c>
      <c r="AC125" s="13">
        <f t="shared" si="30"/>
        <v>82.602795252663</v>
      </c>
      <c r="AD125" s="14">
        <f t="shared" si="31"/>
        <v>0.82001889300772968</v>
      </c>
      <c r="AE125" s="14">
        <f t="shared" si="32"/>
        <v>4.5561387342891893</v>
      </c>
      <c r="AF125" s="13" t="str">
        <f>IF(AD125&gt;=Assumptions!$B$3,"OK","Review")</f>
        <v>OK</v>
      </c>
      <c r="AG125" s="13">
        <f>IFERROR(IF(Assumptions!$B$13="Cost Price",AB125,AA125)*SUMIF(Assumptions!$A$6:$A$10,X125,Assumptions!$B$6:$B$10),0)</f>
        <v>8.058623620213039</v>
      </c>
      <c r="AH125" s="13">
        <f>IFERROR(IF(Assumptions!$B$13="Cost Price",AB125,AA125)*SUMIF(Assumptions!$A$6:$A$10,X125,Assumptions!$C$6:$C$10),0)</f>
        <v>5.0366397626331505</v>
      </c>
      <c r="AI125" s="13">
        <f>IFERROR(IF(Assumptions!$B$13="Cost Price",AB125,AA125)*SUMIF(Assumptions!$A$6:$A$10,X125,Assumptions!$D$6:$D$10),0)</f>
        <v>10.073279525266301</v>
      </c>
      <c r="AJ125" s="13">
        <v>18.090146209133465</v>
      </c>
      <c r="AK125" s="13">
        <f t="shared" si="33"/>
        <v>41.258689117245957</v>
      </c>
      <c r="AL125" s="14">
        <v>0.33</v>
      </c>
      <c r="AM125" s="13">
        <f t="shared" si="34"/>
        <v>41.344106135417043</v>
      </c>
      <c r="AN125" s="14">
        <f t="shared" si="35"/>
        <v>0.41043342470260757</v>
      </c>
      <c r="AO125" t="str">
        <f>IF(AN125&gt;=Assumptions!$B$3,"OK","Review")</f>
        <v>OK</v>
      </c>
    </row>
    <row r="126" spans="1:41" ht="15" customHeight="1">
      <c r="A126" s="9" t="s">
        <v>70</v>
      </c>
      <c r="B126" s="9" t="s">
        <v>43</v>
      </c>
      <c r="C126" s="9" t="s">
        <v>202</v>
      </c>
      <c r="D126" s="9" t="s">
        <v>208</v>
      </c>
      <c r="E126" s="9" t="s">
        <v>73</v>
      </c>
      <c r="F126" s="9" t="s">
        <v>74</v>
      </c>
      <c r="G126" s="9" t="s">
        <v>24</v>
      </c>
      <c r="H126" s="9" t="s">
        <v>84</v>
      </c>
      <c r="I126" s="9">
        <v>4000011871</v>
      </c>
      <c r="J126" s="10">
        <v>42.11</v>
      </c>
      <c r="K126" s="10"/>
      <c r="L126" s="10">
        <f t="shared" si="18"/>
        <v>42.11</v>
      </c>
      <c r="M126" s="11">
        <v>0</v>
      </c>
      <c r="N126" s="10">
        <f t="shared" si="19"/>
        <v>0</v>
      </c>
      <c r="O126" s="10">
        <f t="shared" si="20"/>
        <v>42.11</v>
      </c>
      <c r="P126" s="11">
        <f t="shared" si="21"/>
        <v>0.15520990748590174</v>
      </c>
      <c r="Q126" s="10">
        <f t="shared" si="22"/>
        <v>271.31</v>
      </c>
      <c r="R126" s="10">
        <f t="shared" si="23"/>
        <v>1507.4359999999999</v>
      </c>
      <c r="S126" s="10">
        <f t="shared" si="24"/>
        <v>233.96900210091778</v>
      </c>
      <c r="T126" s="9" t="s">
        <v>76</v>
      </c>
      <c r="U126" s="10">
        <v>3999</v>
      </c>
      <c r="V126" s="10">
        <f t="shared" si="25"/>
        <v>2799.2999999999997</v>
      </c>
      <c r="W126" s="166">
        <v>490110</v>
      </c>
      <c r="X126" s="12" t="s">
        <v>25</v>
      </c>
      <c r="Y126" s="12">
        <f t="shared" si="26"/>
        <v>233.96900210091778</v>
      </c>
      <c r="Z126" s="13">
        <f t="shared" si="27"/>
        <v>233.96900210091778</v>
      </c>
      <c r="AA126" s="13">
        <f t="shared" si="28"/>
        <v>233.96900210091778</v>
      </c>
      <c r="AB126" s="13">
        <f t="shared" si="29"/>
        <v>42.11</v>
      </c>
      <c r="AC126" s="13">
        <f t="shared" si="30"/>
        <v>191.85900210091779</v>
      </c>
      <c r="AD126" s="14">
        <f t="shared" si="31"/>
        <v>0.82001889300772979</v>
      </c>
      <c r="AE126" s="14">
        <f t="shared" si="32"/>
        <v>4.5561387342891901</v>
      </c>
      <c r="AF126" s="13" t="str">
        <f>IF(AD126&gt;=Assumptions!$B$3,"OK","Review")</f>
        <v>OK</v>
      </c>
      <c r="AG126" s="13">
        <f>IFERROR(IF(Assumptions!$B$13="Cost Price",AB126,AA126)*SUMIF(Assumptions!$A$6:$A$10,X126,Assumptions!$B$6:$B$10),0)</f>
        <v>18.717520168073424</v>
      </c>
      <c r="AH126" s="13">
        <f>IFERROR(IF(Assumptions!$B$13="Cost Price",AB126,AA126)*SUMIF(Assumptions!$A$6:$A$10,X126,Assumptions!$C$6:$C$10),0)</f>
        <v>11.69845010504589</v>
      </c>
      <c r="AI126" s="13">
        <f>IFERROR(IF(Assumptions!$B$13="Cost Price",AB126,AA126)*SUMIF(Assumptions!$A$6:$A$10,X126,Assumptions!$D$6:$D$10),0)</f>
        <v>23.396900210091779</v>
      </c>
      <c r="AJ126" s="13">
        <v>42.017432811175418</v>
      </c>
      <c r="AK126" s="13">
        <f t="shared" si="33"/>
        <v>95.830303294386511</v>
      </c>
      <c r="AL126" s="14">
        <v>0.33</v>
      </c>
      <c r="AM126" s="13">
        <f t="shared" si="34"/>
        <v>96.028698806531281</v>
      </c>
      <c r="AN126" s="14">
        <f t="shared" si="35"/>
        <v>0.41043342470260763</v>
      </c>
      <c r="AO126" t="str">
        <f>IF(AN126&gt;=Assumptions!$B$3,"OK","Review")</f>
        <v>OK</v>
      </c>
    </row>
    <row r="127" spans="1:41" ht="15" customHeight="1">
      <c r="A127" s="9" t="s">
        <v>70</v>
      </c>
      <c r="B127" s="9" t="s">
        <v>43</v>
      </c>
      <c r="C127" s="9" t="s">
        <v>202</v>
      </c>
      <c r="D127" s="9" t="s">
        <v>209</v>
      </c>
      <c r="E127" s="9" t="s">
        <v>73</v>
      </c>
      <c r="F127" s="9" t="s">
        <v>74</v>
      </c>
      <c r="G127" s="9" t="s">
        <v>24</v>
      </c>
      <c r="H127" s="9" t="s">
        <v>84</v>
      </c>
      <c r="I127" s="9">
        <v>4000011873</v>
      </c>
      <c r="J127" s="10">
        <v>18.13</v>
      </c>
      <c r="K127" s="10"/>
      <c r="L127" s="10">
        <f t="shared" si="18"/>
        <v>18.13</v>
      </c>
      <c r="M127" s="11">
        <v>0</v>
      </c>
      <c r="N127" s="10">
        <f t="shared" si="19"/>
        <v>0</v>
      </c>
      <c r="O127" s="10">
        <f t="shared" si="20"/>
        <v>18.13</v>
      </c>
      <c r="P127" s="11">
        <f t="shared" si="21"/>
        <v>6.6823928347646597E-2</v>
      </c>
      <c r="Q127" s="10">
        <f t="shared" si="22"/>
        <v>271.31</v>
      </c>
      <c r="R127" s="10">
        <f t="shared" si="23"/>
        <v>1507.4359999999999</v>
      </c>
      <c r="S127" s="10">
        <f t="shared" si="24"/>
        <v>100.732795252663</v>
      </c>
      <c r="T127" s="9" t="s">
        <v>76</v>
      </c>
      <c r="U127" s="10">
        <v>3999</v>
      </c>
      <c r="V127" s="10">
        <f t="shared" si="25"/>
        <v>2799.2999999999997</v>
      </c>
      <c r="W127" s="166">
        <v>490110</v>
      </c>
      <c r="X127" s="12" t="s">
        <v>25</v>
      </c>
      <c r="Y127" s="12">
        <f t="shared" si="26"/>
        <v>100.732795252663</v>
      </c>
      <c r="Z127" s="13">
        <f t="shared" si="27"/>
        <v>100.732795252663</v>
      </c>
      <c r="AA127" s="13">
        <f t="shared" si="28"/>
        <v>100.732795252663</v>
      </c>
      <c r="AB127" s="13">
        <f t="shared" si="29"/>
        <v>18.13</v>
      </c>
      <c r="AC127" s="13">
        <f t="shared" si="30"/>
        <v>82.602795252663</v>
      </c>
      <c r="AD127" s="14">
        <f t="shared" si="31"/>
        <v>0.82001889300772968</v>
      </c>
      <c r="AE127" s="14">
        <f t="shared" si="32"/>
        <v>4.5561387342891893</v>
      </c>
      <c r="AF127" s="13" t="str">
        <f>IF(AD127&gt;=Assumptions!$B$3,"OK","Review")</f>
        <v>OK</v>
      </c>
      <c r="AG127" s="13">
        <f>IFERROR(IF(Assumptions!$B$13="Cost Price",AB127,AA127)*SUMIF(Assumptions!$A$6:$A$10,X127,Assumptions!$B$6:$B$10),0)</f>
        <v>8.058623620213039</v>
      </c>
      <c r="AH127" s="13">
        <f>IFERROR(IF(Assumptions!$B$13="Cost Price",AB127,AA127)*SUMIF(Assumptions!$A$6:$A$10,X127,Assumptions!$C$6:$C$10),0)</f>
        <v>5.0366397626331505</v>
      </c>
      <c r="AI127" s="13">
        <f>IFERROR(IF(Assumptions!$B$13="Cost Price",AB127,AA127)*SUMIF(Assumptions!$A$6:$A$10,X127,Assumptions!$D$6:$D$10),0)</f>
        <v>10.073279525266301</v>
      </c>
      <c r="AJ127" s="13">
        <v>18.090146209133465</v>
      </c>
      <c r="AK127" s="13">
        <f t="shared" si="33"/>
        <v>41.258689117245957</v>
      </c>
      <c r="AL127" s="14">
        <v>0.33</v>
      </c>
      <c r="AM127" s="13">
        <f t="shared" si="34"/>
        <v>41.344106135417043</v>
      </c>
      <c r="AN127" s="14">
        <f t="shared" si="35"/>
        <v>0.41043342470260757</v>
      </c>
      <c r="AO127" t="str">
        <f>IF(AN127&gt;=Assumptions!$B$3,"OK","Review")</f>
        <v>OK</v>
      </c>
    </row>
    <row r="128" spans="1:41" ht="15" customHeight="1">
      <c r="A128" s="9" t="s">
        <v>70</v>
      </c>
      <c r="B128" s="9" t="s">
        <v>43</v>
      </c>
      <c r="C128" s="9" t="s">
        <v>205</v>
      </c>
      <c r="D128" s="9" t="s">
        <v>210</v>
      </c>
      <c r="E128" s="9" t="s">
        <v>73</v>
      </c>
      <c r="F128" s="9" t="s">
        <v>81</v>
      </c>
      <c r="G128" s="9" t="s">
        <v>24</v>
      </c>
      <c r="H128" s="9" t="s">
        <v>84</v>
      </c>
      <c r="I128" s="9">
        <v>4000011874</v>
      </c>
      <c r="J128" s="10">
        <v>44.38</v>
      </c>
      <c r="K128" s="10"/>
      <c r="L128" s="10">
        <f t="shared" si="18"/>
        <v>44.38</v>
      </c>
      <c r="M128" s="11">
        <v>0</v>
      </c>
      <c r="N128" s="10">
        <f t="shared" si="19"/>
        <v>0</v>
      </c>
      <c r="O128" s="10">
        <f t="shared" si="20"/>
        <v>44.38</v>
      </c>
      <c r="P128" s="11">
        <f t="shared" si="21"/>
        <v>0.16357672035678744</v>
      </c>
      <c r="Q128" s="10">
        <f t="shared" si="22"/>
        <v>271.31</v>
      </c>
      <c r="R128" s="10">
        <f t="shared" si="23"/>
        <v>1507.4359999999999</v>
      </c>
      <c r="S128" s="10">
        <f t="shared" si="24"/>
        <v>246.58143702775422</v>
      </c>
      <c r="T128" s="9" t="s">
        <v>76</v>
      </c>
      <c r="U128" s="10">
        <v>3999</v>
      </c>
      <c r="V128" s="10">
        <f t="shared" si="25"/>
        <v>2799.2999999999997</v>
      </c>
      <c r="W128" s="166">
        <v>490110</v>
      </c>
      <c r="X128" s="12" t="s">
        <v>25</v>
      </c>
      <c r="Y128" s="12">
        <f t="shared" si="26"/>
        <v>246.58143702775422</v>
      </c>
      <c r="Z128" s="13">
        <f t="shared" si="27"/>
        <v>246.58143702775422</v>
      </c>
      <c r="AA128" s="13">
        <f t="shared" si="28"/>
        <v>246.58143702775422</v>
      </c>
      <c r="AB128" s="13">
        <f t="shared" si="29"/>
        <v>44.38</v>
      </c>
      <c r="AC128" s="13">
        <f t="shared" si="30"/>
        <v>202.20143702775422</v>
      </c>
      <c r="AD128" s="14">
        <f t="shared" si="31"/>
        <v>0.82001889300772968</v>
      </c>
      <c r="AE128" s="14">
        <f t="shared" si="32"/>
        <v>4.5561387342891893</v>
      </c>
      <c r="AF128" s="13" t="str">
        <f>IF(AD128&gt;=Assumptions!$B$3,"OK","Review")</f>
        <v>OK</v>
      </c>
      <c r="AG128" s="13">
        <f>IFERROR(IF(Assumptions!$B$13="Cost Price",AB128,AA128)*SUMIF(Assumptions!$A$6:$A$10,X128,Assumptions!$B$6:$B$10),0)</f>
        <v>19.726514962220339</v>
      </c>
      <c r="AH128" s="13">
        <f>IFERROR(IF(Assumptions!$B$13="Cost Price",AB128,AA128)*SUMIF(Assumptions!$A$6:$A$10,X128,Assumptions!$C$6:$C$10),0)</f>
        <v>12.329071851387711</v>
      </c>
      <c r="AI128" s="13">
        <f>IFERROR(IF(Assumptions!$B$13="Cost Price",AB128,AA128)*SUMIF(Assumptions!$A$6:$A$10,X128,Assumptions!$D$6:$D$10),0)</f>
        <v>24.658143702775423</v>
      </c>
      <c r="AJ128" s="13">
        <v>44.282442843979226</v>
      </c>
      <c r="AK128" s="13">
        <f t="shared" si="33"/>
        <v>100.9961733603627</v>
      </c>
      <c r="AL128" s="14">
        <v>0.33</v>
      </c>
      <c r="AM128" s="13">
        <f t="shared" si="34"/>
        <v>101.20526366739152</v>
      </c>
      <c r="AN128" s="14">
        <f t="shared" si="35"/>
        <v>0.41043342470260752</v>
      </c>
      <c r="AO128" t="str">
        <f>IF(AN128&gt;=Assumptions!$B$3,"OK","Review")</f>
        <v>OK</v>
      </c>
    </row>
    <row r="129" spans="1:41" ht="15" customHeight="1">
      <c r="A129" s="9" t="s">
        <v>70</v>
      </c>
      <c r="B129" s="9" t="s">
        <v>43</v>
      </c>
      <c r="C129" s="9" t="s">
        <v>205</v>
      </c>
      <c r="D129" s="9" t="s">
        <v>211</v>
      </c>
      <c r="E129" s="9" t="s">
        <v>73</v>
      </c>
      <c r="F129" s="9" t="s">
        <v>81</v>
      </c>
      <c r="G129" s="9" t="s">
        <v>24</v>
      </c>
      <c r="H129" s="9" t="s">
        <v>84</v>
      </c>
      <c r="I129" s="9">
        <v>4000011875</v>
      </c>
      <c r="J129" s="10">
        <v>16.7</v>
      </c>
      <c r="K129" s="10"/>
      <c r="L129" s="10">
        <f t="shared" si="18"/>
        <v>16.7</v>
      </c>
      <c r="M129" s="11">
        <v>0</v>
      </c>
      <c r="N129" s="10">
        <f t="shared" si="19"/>
        <v>0</v>
      </c>
      <c r="O129" s="10">
        <f t="shared" si="20"/>
        <v>16.7</v>
      </c>
      <c r="P129" s="11">
        <f t="shared" si="21"/>
        <v>6.1553204821053406E-2</v>
      </c>
      <c r="Q129" s="10">
        <f t="shared" si="22"/>
        <v>271.31</v>
      </c>
      <c r="R129" s="10">
        <f t="shared" si="23"/>
        <v>1507.4359999999999</v>
      </c>
      <c r="S129" s="10">
        <f t="shared" si="24"/>
        <v>92.78751686262946</v>
      </c>
      <c r="T129" s="9" t="s">
        <v>76</v>
      </c>
      <c r="U129" s="10">
        <v>3999</v>
      </c>
      <c r="V129" s="10">
        <f t="shared" si="25"/>
        <v>2799.2999999999997</v>
      </c>
      <c r="W129" s="166">
        <v>490110</v>
      </c>
      <c r="X129" s="12" t="s">
        <v>25</v>
      </c>
      <c r="Y129" s="12">
        <f t="shared" si="26"/>
        <v>92.78751686262946</v>
      </c>
      <c r="Z129" s="13">
        <f t="shared" si="27"/>
        <v>92.78751686262946</v>
      </c>
      <c r="AA129" s="13">
        <f t="shared" si="28"/>
        <v>92.78751686262946</v>
      </c>
      <c r="AB129" s="13">
        <f t="shared" si="29"/>
        <v>16.7</v>
      </c>
      <c r="AC129" s="13">
        <f t="shared" si="30"/>
        <v>76.087516862629457</v>
      </c>
      <c r="AD129" s="14">
        <f t="shared" si="31"/>
        <v>0.82001889300772968</v>
      </c>
      <c r="AE129" s="14">
        <f t="shared" si="32"/>
        <v>4.5561387342891893</v>
      </c>
      <c r="AF129" s="13" t="str">
        <f>IF(AD129&gt;=Assumptions!$B$3,"OK","Review")</f>
        <v>OK</v>
      </c>
      <c r="AG129" s="13">
        <f>IFERROR(IF(Assumptions!$B$13="Cost Price",AB129,AA129)*SUMIF(Assumptions!$A$6:$A$10,X129,Assumptions!$B$6:$B$10),0)</f>
        <v>7.4230013490103568</v>
      </c>
      <c r="AH129" s="13">
        <f>IFERROR(IF(Assumptions!$B$13="Cost Price",AB129,AA129)*SUMIF(Assumptions!$A$6:$A$10,X129,Assumptions!$C$6:$C$10),0)</f>
        <v>4.6393758431314733</v>
      </c>
      <c r="AI129" s="13">
        <f>IFERROR(IF(Assumptions!$B$13="Cost Price",AB129,AA129)*SUMIF(Assumptions!$A$6:$A$10,X129,Assumptions!$D$6:$D$10),0)</f>
        <v>9.2787516862629467</v>
      </c>
      <c r="AJ129" s="13">
        <v>16.663289668644726</v>
      </c>
      <c r="AK129" s="13">
        <f t="shared" si="33"/>
        <v>38.004418547049504</v>
      </c>
      <c r="AL129" s="14">
        <v>0.33</v>
      </c>
      <c r="AM129" s="13">
        <f t="shared" si="34"/>
        <v>38.083098315579953</v>
      </c>
      <c r="AN129" s="14">
        <f t="shared" si="35"/>
        <v>0.41043342470260752</v>
      </c>
      <c r="AO129" t="str">
        <f>IF(AN129&gt;=Assumptions!$B$3,"OK","Review")</f>
        <v>OK</v>
      </c>
    </row>
    <row r="130" spans="1:41" ht="15" customHeight="1">
      <c r="A130" s="9" t="s">
        <v>70</v>
      </c>
      <c r="B130" s="9" t="s">
        <v>43</v>
      </c>
      <c r="C130" s="9" t="s">
        <v>88</v>
      </c>
      <c r="D130" s="9" t="s">
        <v>212</v>
      </c>
      <c r="E130" s="9" t="s">
        <v>73</v>
      </c>
      <c r="F130" s="9" t="s">
        <v>90</v>
      </c>
      <c r="G130" s="9" t="s">
        <v>24</v>
      </c>
      <c r="H130" s="9" t="s">
        <v>75</v>
      </c>
      <c r="I130" s="9">
        <v>7000000219</v>
      </c>
      <c r="J130" s="10">
        <v>441.4</v>
      </c>
      <c r="K130" s="10">
        <v>10</v>
      </c>
      <c r="L130" s="10">
        <f t="shared" ref="L130:L193" si="36">J130+K130</f>
        <v>451.4</v>
      </c>
      <c r="M130" s="11">
        <v>0.18</v>
      </c>
      <c r="N130" s="10">
        <f t="shared" ref="N130:N193" si="37">M130*L130</f>
        <v>81.251999999999995</v>
      </c>
      <c r="O130" s="10">
        <f t="shared" ref="O130:O193" si="38">L130+N130</f>
        <v>532.65199999999993</v>
      </c>
      <c r="P130" s="11">
        <f t="shared" ref="P130:P193" si="39">IFERROR(O130/Q130,"")</f>
        <v>0.82462550237486298</v>
      </c>
      <c r="Q130" s="10">
        <f t="shared" ref="Q130:Q193" si="40">SUMIFS(O:O,T:T,T130,B:B,B130,A:A,A130,G:G,G130,E:E,E130)</f>
        <v>645.9319999999999</v>
      </c>
      <c r="R130" s="10">
        <f t="shared" ref="R130:R193" si="41">V130-SUMIFS(Q:Q,A:A,A130,B:B,B130,G:G,G130,E:E,E130,T:T,"Fixed Price ( Base Price with GST)")</f>
        <v>1507.4359999999999</v>
      </c>
      <c r="S130" s="10">
        <f t="shared" ref="S130:S193" si="42">IF(T130="Fixed Price ( Base Price with GST)",O130,P130*R130)</f>
        <v>532.65199999999993</v>
      </c>
      <c r="T130" s="9" t="s">
        <v>91</v>
      </c>
      <c r="U130" s="10">
        <v>3999</v>
      </c>
      <c r="V130" s="10">
        <f t="shared" ref="V130:V193" si="43">IFERROR(U130*(1-30%),0)</f>
        <v>2799.2999999999997</v>
      </c>
      <c r="W130" s="166">
        <v>49119990</v>
      </c>
      <c r="X130" s="12" t="s">
        <v>25</v>
      </c>
      <c r="Y130" s="12">
        <f t="shared" ref="Y130:Y193" si="44">IFERROR(S130,0)</f>
        <v>532.65199999999993</v>
      </c>
      <c r="Z130" s="13">
        <f t="shared" ref="Z130:Z193" si="45">IF(ISNUMBER(S130),S130,0)</f>
        <v>532.65199999999993</v>
      </c>
      <c r="AA130" s="13">
        <f t="shared" ref="AA130:AA193" si="46">IFERROR(Z130/(1+M130),Z130)</f>
        <v>451.4</v>
      </c>
      <c r="AB130" s="13">
        <f t="shared" ref="AB130:AB193" si="47">IF(ISNUMBER(J130),J130,0)</f>
        <v>441.4</v>
      </c>
      <c r="AC130" s="13">
        <f t="shared" ref="AC130:AC193" si="48">AA130-AB130</f>
        <v>10</v>
      </c>
      <c r="AD130" s="14">
        <f t="shared" ref="AD130:AD193" si="49">IFERROR(AC130/AA130,0)</f>
        <v>2.2153300841825433E-2</v>
      </c>
      <c r="AE130" s="14">
        <f t="shared" ref="AE130:AE193" si="50">IFERROR(AC130/AB130,0)</f>
        <v>2.2655188038060717E-2</v>
      </c>
      <c r="AF130" s="13" t="str">
        <f>IF(AD130&gt;=Assumptions!$B$3,"OK","Review")</f>
        <v>Review</v>
      </c>
      <c r="AG130" s="13">
        <f>IFERROR(IF(Assumptions!$B$13="Cost Price",AB130,AA130)*SUMIF(Assumptions!$A$6:$A$10,X130,Assumptions!$B$6:$B$10),0)</f>
        <v>36.112000000000002</v>
      </c>
      <c r="AH130" s="13">
        <f>IFERROR(IF(Assumptions!$B$13="Cost Price",AB130,AA130)*SUMIF(Assumptions!$A$6:$A$10,X130,Assumptions!$C$6:$C$10),0)</f>
        <v>22.57</v>
      </c>
      <c r="AI130" s="13">
        <f>IFERROR(IF(Assumptions!$B$13="Cost Price",AB130,AA130)*SUMIF(Assumptions!$A$6:$A$10,X130,Assumptions!$D$6:$D$10),0)</f>
        <v>45.14</v>
      </c>
      <c r="AJ130" s="13">
        <v>45.14</v>
      </c>
      <c r="AK130" s="13">
        <f t="shared" ref="AK130:AK193" si="51">SUM(AG130:AJ130)</f>
        <v>148.96199999999999</v>
      </c>
      <c r="AL130" s="14">
        <v>0.33</v>
      </c>
      <c r="AM130" s="13">
        <f t="shared" ref="AM130:AM193" si="52">AC130-AK130</f>
        <v>-138.96199999999999</v>
      </c>
      <c r="AN130" s="14">
        <f t="shared" ref="AN130:AN193" si="53">IFERROR(AM130/AA130,0)</f>
        <v>-0.30784669915817459</v>
      </c>
      <c r="AO130" t="str">
        <f>IF(AN130&gt;=Assumptions!$B$3,"OK","Review")</f>
        <v>Review</v>
      </c>
    </row>
    <row r="131" spans="1:41" ht="15" customHeight="1">
      <c r="A131" s="9" t="s">
        <v>70</v>
      </c>
      <c r="B131" s="9" t="s">
        <v>43</v>
      </c>
      <c r="C131" s="9" t="s">
        <v>92</v>
      </c>
      <c r="D131" s="9" t="s">
        <v>93</v>
      </c>
      <c r="E131" s="9" t="s">
        <v>73</v>
      </c>
      <c r="F131" s="9" t="s">
        <v>94</v>
      </c>
      <c r="G131" s="9" t="s">
        <v>24</v>
      </c>
      <c r="H131" s="9" t="s">
        <v>75</v>
      </c>
      <c r="I131" s="9">
        <v>8400007</v>
      </c>
      <c r="J131" s="10">
        <v>96</v>
      </c>
      <c r="K131" s="10"/>
      <c r="L131" s="10">
        <f t="shared" si="36"/>
        <v>96</v>
      </c>
      <c r="M131" s="11">
        <v>0.18</v>
      </c>
      <c r="N131" s="10">
        <f t="shared" si="37"/>
        <v>17.28</v>
      </c>
      <c r="O131" s="10">
        <f t="shared" si="38"/>
        <v>113.28</v>
      </c>
      <c r="P131" s="11">
        <f t="shared" si="39"/>
        <v>0.17537449762513704</v>
      </c>
      <c r="Q131" s="10">
        <f t="shared" si="40"/>
        <v>645.9319999999999</v>
      </c>
      <c r="R131" s="10">
        <f t="shared" si="41"/>
        <v>1507.4359999999999</v>
      </c>
      <c r="S131" s="10">
        <f t="shared" si="42"/>
        <v>113.28</v>
      </c>
      <c r="T131" s="9" t="s">
        <v>91</v>
      </c>
      <c r="U131" s="10">
        <v>3999</v>
      </c>
      <c r="V131" s="10">
        <f t="shared" si="43"/>
        <v>2799.2999999999997</v>
      </c>
      <c r="W131" s="166">
        <v>999299</v>
      </c>
      <c r="X131" s="12" t="s">
        <v>25</v>
      </c>
      <c r="Y131" s="12">
        <f t="shared" si="44"/>
        <v>113.28</v>
      </c>
      <c r="Z131" s="13">
        <f t="shared" si="45"/>
        <v>113.28</v>
      </c>
      <c r="AA131" s="13">
        <f t="shared" si="46"/>
        <v>96</v>
      </c>
      <c r="AB131" s="13">
        <f t="shared" si="47"/>
        <v>96</v>
      </c>
      <c r="AC131" s="13">
        <f t="shared" si="48"/>
        <v>0</v>
      </c>
      <c r="AD131" s="14">
        <f t="shared" si="49"/>
        <v>0</v>
      </c>
      <c r="AE131" s="14">
        <f t="shared" si="50"/>
        <v>0</v>
      </c>
      <c r="AF131" s="13" t="str">
        <f>IF(AD131&gt;=Assumptions!$B$3,"OK","Review")</f>
        <v>Review</v>
      </c>
      <c r="AG131" s="13">
        <f>IFERROR(IF(Assumptions!$B$13="Cost Price",AB131,AA131)*SUMIF(Assumptions!$A$6:$A$10,X131,Assumptions!$B$6:$B$10),0)</f>
        <v>7.68</v>
      </c>
      <c r="AH131" s="13">
        <f>IFERROR(IF(Assumptions!$B$13="Cost Price",AB131,AA131)*SUMIF(Assumptions!$A$6:$A$10,X131,Assumptions!$C$6:$C$10),0)</f>
        <v>4.8000000000000007</v>
      </c>
      <c r="AI131" s="13">
        <f>IFERROR(IF(Assumptions!$B$13="Cost Price",AB131,AA131)*SUMIF(Assumptions!$A$6:$A$10,X131,Assumptions!$D$6:$D$10),0)</f>
        <v>9.6000000000000014</v>
      </c>
      <c r="AJ131" s="13">
        <v>9.6000000000000014</v>
      </c>
      <c r="AK131" s="13">
        <f t="shared" si="51"/>
        <v>31.680000000000003</v>
      </c>
      <c r="AL131" s="14">
        <v>0.33</v>
      </c>
      <c r="AM131" s="13">
        <f t="shared" si="52"/>
        <v>-31.680000000000003</v>
      </c>
      <c r="AN131" s="14">
        <f t="shared" si="53"/>
        <v>-0.33</v>
      </c>
      <c r="AO131" t="str">
        <f>IF(AN131&gt;=Assumptions!$B$3,"OK","Review")</f>
        <v>Review</v>
      </c>
    </row>
    <row r="132" spans="1:41" ht="15" customHeight="1">
      <c r="A132" s="9" t="s">
        <v>70</v>
      </c>
      <c r="B132" s="9" t="s">
        <v>44</v>
      </c>
      <c r="C132" s="9" t="s">
        <v>213</v>
      </c>
      <c r="D132" s="9" t="s">
        <v>214</v>
      </c>
      <c r="E132" s="9" t="s">
        <v>73</v>
      </c>
      <c r="F132" s="9" t="s">
        <v>74</v>
      </c>
      <c r="G132" s="9" t="s">
        <v>24</v>
      </c>
      <c r="H132" s="9" t="s">
        <v>75</v>
      </c>
      <c r="I132" s="9">
        <v>4000011876</v>
      </c>
      <c r="J132" s="10">
        <v>40.57</v>
      </c>
      <c r="K132" s="10"/>
      <c r="L132" s="10">
        <f t="shared" si="36"/>
        <v>40.57</v>
      </c>
      <c r="M132" s="11">
        <v>0</v>
      </c>
      <c r="N132" s="10">
        <f t="shared" si="37"/>
        <v>0</v>
      </c>
      <c r="O132" s="10">
        <f t="shared" si="38"/>
        <v>40.57</v>
      </c>
      <c r="P132" s="11">
        <f t="shared" si="39"/>
        <v>0.12725447758853237</v>
      </c>
      <c r="Q132" s="10">
        <f t="shared" si="40"/>
        <v>318.81</v>
      </c>
      <c r="R132" s="10">
        <f t="shared" si="41"/>
        <v>1733.5239999999997</v>
      </c>
      <c r="S132" s="10">
        <f t="shared" si="42"/>
        <v>220.59869100718294</v>
      </c>
      <c r="T132" s="9" t="s">
        <v>76</v>
      </c>
      <c r="U132" s="10">
        <v>3999</v>
      </c>
      <c r="V132" s="10">
        <f t="shared" si="43"/>
        <v>2799.2999999999997</v>
      </c>
      <c r="W132" s="166">
        <v>490110</v>
      </c>
      <c r="X132" s="12" t="s">
        <v>25</v>
      </c>
      <c r="Y132" s="12">
        <f t="shared" si="44"/>
        <v>220.59869100718294</v>
      </c>
      <c r="Z132" s="13">
        <f t="shared" si="45"/>
        <v>220.59869100718294</v>
      </c>
      <c r="AA132" s="13">
        <f t="shared" si="46"/>
        <v>220.59869100718294</v>
      </c>
      <c r="AB132" s="13">
        <f t="shared" si="47"/>
        <v>40.57</v>
      </c>
      <c r="AC132" s="13">
        <f t="shared" si="48"/>
        <v>180.02869100718294</v>
      </c>
      <c r="AD132" s="14">
        <f t="shared" si="49"/>
        <v>0.81609138379393653</v>
      </c>
      <c r="AE132" s="14">
        <f t="shared" si="50"/>
        <v>4.4374831404284683</v>
      </c>
      <c r="AF132" s="13" t="str">
        <f>IF(AD132&gt;=Assumptions!$B$3,"OK","Review")</f>
        <v>OK</v>
      </c>
      <c r="AG132" s="13">
        <f>IFERROR(IF(Assumptions!$B$13="Cost Price",AB132,AA132)*SUMIF(Assumptions!$A$6:$A$10,X132,Assumptions!$B$6:$B$10),0)</f>
        <v>17.647895280574634</v>
      </c>
      <c r="AH132" s="13">
        <f>IFERROR(IF(Assumptions!$B$13="Cost Price",AB132,AA132)*SUMIF(Assumptions!$A$6:$A$10,X132,Assumptions!$C$6:$C$10),0)</f>
        <v>11.029934550359147</v>
      </c>
      <c r="AI132" s="13">
        <f>IFERROR(IF(Assumptions!$B$13="Cost Price",AB132,AA132)*SUMIF(Assumptions!$A$6:$A$10,X132,Assumptions!$D$6:$D$10),0)</f>
        <v>22.059869100718295</v>
      </c>
      <c r="AJ132" s="13">
        <v>37.326588777014528</v>
      </c>
      <c r="AK132" s="13">
        <f t="shared" si="51"/>
        <v>88.064287708666598</v>
      </c>
      <c r="AL132" s="14">
        <v>0.33</v>
      </c>
      <c r="AM132" s="13">
        <f t="shared" si="52"/>
        <v>91.964403298516345</v>
      </c>
      <c r="AN132" s="14">
        <f t="shared" si="53"/>
        <v>0.41688553489885344</v>
      </c>
      <c r="AO132" t="str">
        <f>IF(AN132&gt;=Assumptions!$B$3,"OK","Review")</f>
        <v>OK</v>
      </c>
    </row>
    <row r="133" spans="1:41" ht="15" customHeight="1">
      <c r="A133" s="9" t="s">
        <v>70</v>
      </c>
      <c r="B133" s="9" t="s">
        <v>44</v>
      </c>
      <c r="C133" s="9" t="s">
        <v>200</v>
      </c>
      <c r="D133" s="9" t="s">
        <v>215</v>
      </c>
      <c r="E133" s="9" t="s">
        <v>73</v>
      </c>
      <c r="F133" s="9" t="s">
        <v>74</v>
      </c>
      <c r="G133" s="9" t="s">
        <v>24</v>
      </c>
      <c r="H133" s="9" t="s">
        <v>75</v>
      </c>
      <c r="I133" s="9">
        <v>4000011820</v>
      </c>
      <c r="J133" s="10">
        <v>12.36</v>
      </c>
      <c r="K133" s="10"/>
      <c r="L133" s="10">
        <f t="shared" si="36"/>
        <v>12.36</v>
      </c>
      <c r="M133" s="11">
        <v>0</v>
      </c>
      <c r="N133" s="10">
        <f t="shared" si="37"/>
        <v>0</v>
      </c>
      <c r="O133" s="10">
        <f t="shared" si="38"/>
        <v>12.36</v>
      </c>
      <c r="P133" s="11">
        <f t="shared" si="39"/>
        <v>3.8769172861578993E-2</v>
      </c>
      <c r="Q133" s="10">
        <f t="shared" si="40"/>
        <v>318.81</v>
      </c>
      <c r="R133" s="10">
        <f t="shared" si="41"/>
        <v>1733.5239999999997</v>
      </c>
      <c r="S133" s="10">
        <f t="shared" si="42"/>
        <v>67.207291615695851</v>
      </c>
      <c r="T133" s="9" t="s">
        <v>76</v>
      </c>
      <c r="U133" s="10">
        <v>3999</v>
      </c>
      <c r="V133" s="10">
        <f t="shared" si="43"/>
        <v>2799.2999999999997</v>
      </c>
      <c r="W133" s="166">
        <v>490110</v>
      </c>
      <c r="X133" s="12" t="s">
        <v>25</v>
      </c>
      <c r="Y133" s="12">
        <f t="shared" si="44"/>
        <v>67.207291615695851</v>
      </c>
      <c r="Z133" s="13">
        <f t="shared" si="45"/>
        <v>67.207291615695851</v>
      </c>
      <c r="AA133" s="13">
        <f t="shared" si="46"/>
        <v>67.207291615695851</v>
      </c>
      <c r="AB133" s="13">
        <f t="shared" si="47"/>
        <v>12.36</v>
      </c>
      <c r="AC133" s="13">
        <f t="shared" si="48"/>
        <v>54.847291615695852</v>
      </c>
      <c r="AD133" s="14">
        <f t="shared" si="49"/>
        <v>0.81609138379393642</v>
      </c>
      <c r="AE133" s="14">
        <f t="shared" si="50"/>
        <v>4.4374831404284674</v>
      </c>
      <c r="AF133" s="13" t="str">
        <f>IF(AD133&gt;=Assumptions!$B$3,"OK","Review")</f>
        <v>OK</v>
      </c>
      <c r="AG133" s="13">
        <f>IFERROR(IF(Assumptions!$B$13="Cost Price",AB133,AA133)*SUMIF(Assumptions!$A$6:$A$10,X133,Assumptions!$B$6:$B$10),0)</f>
        <v>5.3765833292556682</v>
      </c>
      <c r="AH133" s="13">
        <f>IFERROR(IF(Assumptions!$B$13="Cost Price",AB133,AA133)*SUMIF(Assumptions!$A$6:$A$10,X133,Assumptions!$C$6:$C$10),0)</f>
        <v>3.3603645807847928</v>
      </c>
      <c r="AI133" s="13">
        <f>IFERROR(IF(Assumptions!$B$13="Cost Price",AB133,AA133)*SUMIF(Assumptions!$A$6:$A$10,X133,Assumptions!$D$6:$D$10),0)</f>
        <v>6.7207291615695857</v>
      </c>
      <c r="AJ133" s="13">
        <v>11.37186682977322</v>
      </c>
      <c r="AK133" s="13">
        <f t="shared" si="51"/>
        <v>26.829543901383268</v>
      </c>
      <c r="AL133" s="14">
        <v>0.33</v>
      </c>
      <c r="AM133" s="13">
        <f t="shared" si="52"/>
        <v>28.017747714312584</v>
      </c>
      <c r="AN133" s="14">
        <f t="shared" si="53"/>
        <v>0.41688553489885333</v>
      </c>
      <c r="AO133" t="str">
        <f>IF(AN133&gt;=Assumptions!$B$3,"OK","Review")</f>
        <v>OK</v>
      </c>
    </row>
    <row r="134" spans="1:41" ht="15" customHeight="1">
      <c r="A134" s="9" t="s">
        <v>70</v>
      </c>
      <c r="B134" s="9" t="s">
        <v>44</v>
      </c>
      <c r="C134" s="9" t="s">
        <v>205</v>
      </c>
      <c r="D134" s="9" t="s">
        <v>216</v>
      </c>
      <c r="E134" s="9" t="s">
        <v>73</v>
      </c>
      <c r="F134" s="9" t="s">
        <v>81</v>
      </c>
      <c r="G134" s="9" t="s">
        <v>24</v>
      </c>
      <c r="H134" s="9" t="s">
        <v>75</v>
      </c>
      <c r="I134" s="9">
        <v>4000011821</v>
      </c>
      <c r="J134" s="10">
        <v>46.45</v>
      </c>
      <c r="K134" s="10"/>
      <c r="L134" s="10">
        <f t="shared" si="36"/>
        <v>46.45</v>
      </c>
      <c r="M134" s="11">
        <v>0</v>
      </c>
      <c r="N134" s="10">
        <f t="shared" si="37"/>
        <v>0</v>
      </c>
      <c r="O134" s="10">
        <f t="shared" si="38"/>
        <v>46.45</v>
      </c>
      <c r="P134" s="11">
        <f t="shared" si="39"/>
        <v>0.14569806467802141</v>
      </c>
      <c r="Q134" s="10">
        <f t="shared" si="40"/>
        <v>318.81</v>
      </c>
      <c r="R134" s="10">
        <f t="shared" si="41"/>
        <v>1733.5239999999997</v>
      </c>
      <c r="S134" s="10">
        <f t="shared" si="42"/>
        <v>252.57109187290231</v>
      </c>
      <c r="T134" s="9" t="s">
        <v>76</v>
      </c>
      <c r="U134" s="10">
        <v>3999</v>
      </c>
      <c r="V134" s="10">
        <f t="shared" si="43"/>
        <v>2799.2999999999997</v>
      </c>
      <c r="W134" s="166">
        <v>490110</v>
      </c>
      <c r="X134" s="12" t="s">
        <v>25</v>
      </c>
      <c r="Y134" s="12">
        <f t="shared" si="44"/>
        <v>252.57109187290231</v>
      </c>
      <c r="Z134" s="13">
        <f t="shared" si="45"/>
        <v>252.57109187290231</v>
      </c>
      <c r="AA134" s="13">
        <f t="shared" si="46"/>
        <v>252.57109187290231</v>
      </c>
      <c r="AB134" s="13">
        <f t="shared" si="47"/>
        <v>46.45</v>
      </c>
      <c r="AC134" s="13">
        <f t="shared" si="48"/>
        <v>206.1210918729023</v>
      </c>
      <c r="AD134" s="14">
        <f t="shared" si="49"/>
        <v>0.81609138379393642</v>
      </c>
      <c r="AE134" s="14">
        <f t="shared" si="50"/>
        <v>4.4374831404284665</v>
      </c>
      <c r="AF134" s="13" t="str">
        <f>IF(AD134&gt;=Assumptions!$B$3,"OK","Review")</f>
        <v>OK</v>
      </c>
      <c r="AG134" s="13">
        <f>IFERROR(IF(Assumptions!$B$13="Cost Price",AB134,AA134)*SUMIF(Assumptions!$A$6:$A$10,X134,Assumptions!$B$6:$B$10),0)</f>
        <v>20.205687349832186</v>
      </c>
      <c r="AH134" s="13">
        <f>IFERROR(IF(Assumptions!$B$13="Cost Price",AB134,AA134)*SUMIF(Assumptions!$A$6:$A$10,X134,Assumptions!$C$6:$C$10),0)</f>
        <v>12.628554593645116</v>
      </c>
      <c r="AI134" s="13">
        <f>IFERROR(IF(Assumptions!$B$13="Cost Price",AB134,AA134)*SUMIF(Assumptions!$A$6:$A$10,X134,Assumptions!$D$6:$D$10),0)</f>
        <v>25.257109187290233</v>
      </c>
      <c r="AJ134" s="13">
        <v>42.736506006712467</v>
      </c>
      <c r="AK134" s="13">
        <f t="shared" si="51"/>
        <v>100.82785713748001</v>
      </c>
      <c r="AL134" s="14">
        <v>0.33</v>
      </c>
      <c r="AM134" s="13">
        <f t="shared" si="52"/>
        <v>105.29323473542229</v>
      </c>
      <c r="AN134" s="14">
        <f t="shared" si="53"/>
        <v>0.41688553489885327</v>
      </c>
      <c r="AO134" t="str">
        <f>IF(AN134&gt;=Assumptions!$B$3,"OK","Review")</f>
        <v>OK</v>
      </c>
    </row>
    <row r="135" spans="1:41" ht="15" customHeight="1">
      <c r="A135" s="9" t="s">
        <v>70</v>
      </c>
      <c r="B135" s="9" t="s">
        <v>44</v>
      </c>
      <c r="C135" s="9" t="s">
        <v>205</v>
      </c>
      <c r="D135" s="9" t="s">
        <v>217</v>
      </c>
      <c r="E135" s="9" t="s">
        <v>73</v>
      </c>
      <c r="F135" s="9" t="s">
        <v>74</v>
      </c>
      <c r="G135" s="9" t="s">
        <v>24</v>
      </c>
      <c r="H135" s="9" t="s">
        <v>75</v>
      </c>
      <c r="I135" s="9">
        <v>4000011822</v>
      </c>
      <c r="J135" s="10">
        <v>18.12</v>
      </c>
      <c r="K135" s="10"/>
      <c r="L135" s="10">
        <f t="shared" si="36"/>
        <v>18.12</v>
      </c>
      <c r="M135" s="11">
        <v>0</v>
      </c>
      <c r="N135" s="10">
        <f t="shared" si="37"/>
        <v>0</v>
      </c>
      <c r="O135" s="10">
        <f t="shared" si="38"/>
        <v>18.12</v>
      </c>
      <c r="P135" s="11">
        <f t="shared" si="39"/>
        <v>5.6836360214547854E-2</v>
      </c>
      <c r="Q135" s="10">
        <f t="shared" si="40"/>
        <v>318.81</v>
      </c>
      <c r="R135" s="10">
        <f t="shared" si="41"/>
        <v>1733.5239999999997</v>
      </c>
      <c r="S135" s="10">
        <f t="shared" si="42"/>
        <v>98.527194504563838</v>
      </c>
      <c r="T135" s="9" t="s">
        <v>76</v>
      </c>
      <c r="U135" s="10">
        <v>3999</v>
      </c>
      <c r="V135" s="10">
        <f t="shared" si="43"/>
        <v>2799.2999999999997</v>
      </c>
      <c r="W135" s="166">
        <v>490110</v>
      </c>
      <c r="X135" s="12" t="s">
        <v>25</v>
      </c>
      <c r="Y135" s="12">
        <f t="shared" si="44"/>
        <v>98.527194504563838</v>
      </c>
      <c r="Z135" s="13">
        <f t="shared" si="45"/>
        <v>98.527194504563838</v>
      </c>
      <c r="AA135" s="13">
        <f t="shared" si="46"/>
        <v>98.527194504563838</v>
      </c>
      <c r="AB135" s="13">
        <f t="shared" si="47"/>
        <v>18.12</v>
      </c>
      <c r="AC135" s="13">
        <f t="shared" si="48"/>
        <v>80.407194504563833</v>
      </c>
      <c r="AD135" s="14">
        <f t="shared" si="49"/>
        <v>0.81609138379393642</v>
      </c>
      <c r="AE135" s="14">
        <f t="shared" si="50"/>
        <v>4.4374831404284674</v>
      </c>
      <c r="AF135" s="13" t="str">
        <f>IF(AD135&gt;=Assumptions!$B$3,"OK","Review")</f>
        <v>OK</v>
      </c>
      <c r="AG135" s="13">
        <f>IFERROR(IF(Assumptions!$B$13="Cost Price",AB135,AA135)*SUMIF(Assumptions!$A$6:$A$10,X135,Assumptions!$B$6:$B$10),0)</f>
        <v>7.8821755603651074</v>
      </c>
      <c r="AH135" s="13">
        <f>IFERROR(IF(Assumptions!$B$13="Cost Price",AB135,AA135)*SUMIF(Assumptions!$A$6:$A$10,X135,Assumptions!$C$6:$C$10),0)</f>
        <v>4.9263597252281919</v>
      </c>
      <c r="AI135" s="13">
        <f>IFERROR(IF(Assumptions!$B$13="Cost Price",AB135,AA135)*SUMIF(Assumptions!$A$6:$A$10,X135,Assumptions!$D$6:$D$10),0)</f>
        <v>9.8527194504563838</v>
      </c>
      <c r="AJ135" s="13">
        <v>16.671377585395692</v>
      </c>
      <c r="AK135" s="13">
        <f t="shared" si="51"/>
        <v>39.332632321445374</v>
      </c>
      <c r="AL135" s="14">
        <v>0.33</v>
      </c>
      <c r="AM135" s="13">
        <f t="shared" si="52"/>
        <v>41.074562183118459</v>
      </c>
      <c r="AN135" s="14">
        <f t="shared" si="53"/>
        <v>0.41688553489885333</v>
      </c>
      <c r="AO135" t="str">
        <f>IF(AN135&gt;=Assumptions!$B$3,"OK","Review")</f>
        <v>OK</v>
      </c>
    </row>
    <row r="136" spans="1:41" ht="15" customHeight="1">
      <c r="A136" s="9" t="s">
        <v>70</v>
      </c>
      <c r="B136" s="9" t="s">
        <v>44</v>
      </c>
      <c r="C136" s="9" t="s">
        <v>202</v>
      </c>
      <c r="D136" s="9" t="s">
        <v>218</v>
      </c>
      <c r="E136" s="9" t="s">
        <v>73</v>
      </c>
      <c r="F136" s="9" t="s">
        <v>74</v>
      </c>
      <c r="G136" s="9" t="s">
        <v>24</v>
      </c>
      <c r="H136" s="9" t="s">
        <v>75</v>
      </c>
      <c r="I136" s="9">
        <v>4000011823</v>
      </c>
      <c r="J136" s="10">
        <v>46.45</v>
      </c>
      <c r="K136" s="10"/>
      <c r="L136" s="10">
        <f t="shared" si="36"/>
        <v>46.45</v>
      </c>
      <c r="M136" s="11">
        <v>0</v>
      </c>
      <c r="N136" s="10">
        <f t="shared" si="37"/>
        <v>0</v>
      </c>
      <c r="O136" s="10">
        <f t="shared" si="38"/>
        <v>46.45</v>
      </c>
      <c r="P136" s="11">
        <f t="shared" si="39"/>
        <v>0.14569806467802141</v>
      </c>
      <c r="Q136" s="10">
        <f t="shared" si="40"/>
        <v>318.81</v>
      </c>
      <c r="R136" s="10">
        <f t="shared" si="41"/>
        <v>1733.5239999999997</v>
      </c>
      <c r="S136" s="10">
        <f t="shared" si="42"/>
        <v>252.57109187290231</v>
      </c>
      <c r="T136" s="9" t="s">
        <v>76</v>
      </c>
      <c r="U136" s="10">
        <v>3999</v>
      </c>
      <c r="V136" s="10">
        <f t="shared" si="43"/>
        <v>2799.2999999999997</v>
      </c>
      <c r="W136" s="166">
        <v>490110</v>
      </c>
      <c r="X136" s="12" t="s">
        <v>25</v>
      </c>
      <c r="Y136" s="12">
        <f t="shared" si="44"/>
        <v>252.57109187290231</v>
      </c>
      <c r="Z136" s="13">
        <f t="shared" si="45"/>
        <v>252.57109187290231</v>
      </c>
      <c r="AA136" s="13">
        <f t="shared" si="46"/>
        <v>252.57109187290231</v>
      </c>
      <c r="AB136" s="13">
        <f t="shared" si="47"/>
        <v>46.45</v>
      </c>
      <c r="AC136" s="13">
        <f t="shared" si="48"/>
        <v>206.1210918729023</v>
      </c>
      <c r="AD136" s="14">
        <f t="shared" si="49"/>
        <v>0.81609138379393642</v>
      </c>
      <c r="AE136" s="14">
        <f t="shared" si="50"/>
        <v>4.4374831404284665</v>
      </c>
      <c r="AF136" s="13" t="str">
        <f>IF(AD136&gt;=Assumptions!$B$3,"OK","Review")</f>
        <v>OK</v>
      </c>
      <c r="AG136" s="13">
        <f>IFERROR(IF(Assumptions!$B$13="Cost Price",AB136,AA136)*SUMIF(Assumptions!$A$6:$A$10,X136,Assumptions!$B$6:$B$10),0)</f>
        <v>20.205687349832186</v>
      </c>
      <c r="AH136" s="13">
        <f>IFERROR(IF(Assumptions!$B$13="Cost Price",AB136,AA136)*SUMIF(Assumptions!$A$6:$A$10,X136,Assumptions!$C$6:$C$10),0)</f>
        <v>12.628554593645116</v>
      </c>
      <c r="AI136" s="13">
        <f>IFERROR(IF(Assumptions!$B$13="Cost Price",AB136,AA136)*SUMIF(Assumptions!$A$6:$A$10,X136,Assumptions!$D$6:$D$10),0)</f>
        <v>25.257109187290233</v>
      </c>
      <c r="AJ136" s="13">
        <v>42.736506006712467</v>
      </c>
      <c r="AK136" s="13">
        <f t="shared" si="51"/>
        <v>100.82785713748001</v>
      </c>
      <c r="AL136" s="14">
        <v>0.33</v>
      </c>
      <c r="AM136" s="13">
        <f t="shared" si="52"/>
        <v>105.29323473542229</v>
      </c>
      <c r="AN136" s="14">
        <f t="shared" si="53"/>
        <v>0.41688553489885327</v>
      </c>
      <c r="AO136" t="str">
        <f>IF(AN136&gt;=Assumptions!$B$3,"OK","Review")</f>
        <v>OK</v>
      </c>
    </row>
    <row r="137" spans="1:41" ht="15" customHeight="1">
      <c r="A137" s="9" t="s">
        <v>70</v>
      </c>
      <c r="B137" s="9" t="s">
        <v>44</v>
      </c>
      <c r="C137" s="9" t="s">
        <v>202</v>
      </c>
      <c r="D137" s="9" t="s">
        <v>219</v>
      </c>
      <c r="E137" s="9" t="s">
        <v>73</v>
      </c>
      <c r="F137" s="9" t="s">
        <v>81</v>
      </c>
      <c r="G137" s="9" t="s">
        <v>24</v>
      </c>
      <c r="H137" s="9" t="s">
        <v>75</v>
      </c>
      <c r="I137" s="9">
        <v>4000011824</v>
      </c>
      <c r="J137" s="10">
        <v>19.66</v>
      </c>
      <c r="K137" s="10"/>
      <c r="L137" s="10">
        <f t="shared" si="36"/>
        <v>19.66</v>
      </c>
      <c r="M137" s="11">
        <v>0</v>
      </c>
      <c r="N137" s="10">
        <f t="shared" si="37"/>
        <v>0</v>
      </c>
      <c r="O137" s="10">
        <f t="shared" si="38"/>
        <v>19.66</v>
      </c>
      <c r="P137" s="11">
        <f t="shared" si="39"/>
        <v>6.1666823499890215E-2</v>
      </c>
      <c r="Q137" s="10">
        <f t="shared" si="40"/>
        <v>318.81</v>
      </c>
      <c r="R137" s="10">
        <f t="shared" si="41"/>
        <v>1733.5239999999997</v>
      </c>
      <c r="S137" s="10">
        <f t="shared" si="42"/>
        <v>106.90091854082367</v>
      </c>
      <c r="T137" s="9" t="s">
        <v>76</v>
      </c>
      <c r="U137" s="10">
        <v>3999</v>
      </c>
      <c r="V137" s="10">
        <f t="shared" si="43"/>
        <v>2799.2999999999997</v>
      </c>
      <c r="W137" s="166">
        <v>490110</v>
      </c>
      <c r="X137" s="12" t="s">
        <v>25</v>
      </c>
      <c r="Y137" s="12">
        <f t="shared" si="44"/>
        <v>106.90091854082367</v>
      </c>
      <c r="Z137" s="13">
        <f t="shared" si="45"/>
        <v>106.90091854082367</v>
      </c>
      <c r="AA137" s="13">
        <f t="shared" si="46"/>
        <v>106.90091854082367</v>
      </c>
      <c r="AB137" s="13">
        <f t="shared" si="47"/>
        <v>19.66</v>
      </c>
      <c r="AC137" s="13">
        <f t="shared" si="48"/>
        <v>87.240918540823671</v>
      </c>
      <c r="AD137" s="14">
        <f t="shared" si="49"/>
        <v>0.81609138379393653</v>
      </c>
      <c r="AE137" s="14">
        <f t="shared" si="50"/>
        <v>4.4374831404284674</v>
      </c>
      <c r="AF137" s="13" t="str">
        <f>IF(AD137&gt;=Assumptions!$B$3,"OK","Review")</f>
        <v>OK</v>
      </c>
      <c r="AG137" s="13">
        <f>IFERROR(IF(Assumptions!$B$13="Cost Price",AB137,AA137)*SUMIF(Assumptions!$A$6:$A$10,X137,Assumptions!$B$6:$B$10),0)</f>
        <v>8.5520734832658931</v>
      </c>
      <c r="AH137" s="13">
        <f>IFERROR(IF(Assumptions!$B$13="Cost Price",AB137,AA137)*SUMIF(Assumptions!$A$6:$A$10,X137,Assumptions!$C$6:$C$10),0)</f>
        <v>5.3450459270411841</v>
      </c>
      <c r="AI137" s="13">
        <f>IFERROR(IF(Assumptions!$B$13="Cost Price",AB137,AA137)*SUMIF(Assumptions!$A$6:$A$10,X137,Assumptions!$D$6:$D$10),0)</f>
        <v>10.690091854082368</v>
      </c>
      <c r="AJ137" s="13">
        <v>18.0882606693642</v>
      </c>
      <c r="AK137" s="13">
        <f t="shared" si="51"/>
        <v>42.675471933753641</v>
      </c>
      <c r="AL137" s="14">
        <v>0.33</v>
      </c>
      <c r="AM137" s="13">
        <f t="shared" si="52"/>
        <v>44.565446607070029</v>
      </c>
      <c r="AN137" s="14">
        <f t="shared" si="53"/>
        <v>0.41688553489885338</v>
      </c>
      <c r="AO137" t="str">
        <f>IF(AN137&gt;=Assumptions!$B$3,"OK","Review")</f>
        <v>OK</v>
      </c>
    </row>
    <row r="138" spans="1:41" ht="15" customHeight="1">
      <c r="A138" s="9" t="s">
        <v>70</v>
      </c>
      <c r="B138" s="9" t="s">
        <v>44</v>
      </c>
      <c r="C138" s="9" t="s">
        <v>202</v>
      </c>
      <c r="D138" s="9" t="s">
        <v>220</v>
      </c>
      <c r="E138" s="9" t="s">
        <v>73</v>
      </c>
      <c r="F138" s="9" t="s">
        <v>74</v>
      </c>
      <c r="G138" s="9" t="s">
        <v>24</v>
      </c>
      <c r="H138" s="9" t="s">
        <v>84</v>
      </c>
      <c r="I138" s="9">
        <v>4000011825</v>
      </c>
      <c r="J138" s="10">
        <v>48.71</v>
      </c>
      <c r="K138" s="10"/>
      <c r="L138" s="10">
        <f t="shared" si="36"/>
        <v>48.71</v>
      </c>
      <c r="M138" s="11">
        <v>0</v>
      </c>
      <c r="N138" s="10">
        <f t="shared" si="37"/>
        <v>0</v>
      </c>
      <c r="O138" s="10">
        <f t="shared" si="38"/>
        <v>48.71</v>
      </c>
      <c r="P138" s="11">
        <f t="shared" si="39"/>
        <v>0.15278692638248487</v>
      </c>
      <c r="Q138" s="10">
        <f t="shared" si="40"/>
        <v>318.81</v>
      </c>
      <c r="R138" s="10">
        <f t="shared" si="41"/>
        <v>1733.5239999999997</v>
      </c>
      <c r="S138" s="10">
        <f t="shared" si="42"/>
        <v>264.85980377027062</v>
      </c>
      <c r="T138" s="9" t="s">
        <v>76</v>
      </c>
      <c r="U138" s="10">
        <v>3999</v>
      </c>
      <c r="V138" s="10">
        <f t="shared" si="43"/>
        <v>2799.2999999999997</v>
      </c>
      <c r="W138" s="166">
        <v>490110</v>
      </c>
      <c r="X138" s="12" t="s">
        <v>25</v>
      </c>
      <c r="Y138" s="12">
        <f t="shared" si="44"/>
        <v>264.85980377027062</v>
      </c>
      <c r="Z138" s="13">
        <f t="shared" si="45"/>
        <v>264.85980377027062</v>
      </c>
      <c r="AA138" s="13">
        <f t="shared" si="46"/>
        <v>264.85980377027062</v>
      </c>
      <c r="AB138" s="13">
        <f t="shared" si="47"/>
        <v>48.71</v>
      </c>
      <c r="AC138" s="13">
        <f t="shared" si="48"/>
        <v>216.14980377027061</v>
      </c>
      <c r="AD138" s="14">
        <f t="shared" si="49"/>
        <v>0.81609138379393642</v>
      </c>
      <c r="AE138" s="14">
        <f t="shared" si="50"/>
        <v>4.4374831404284665</v>
      </c>
      <c r="AF138" s="13" t="str">
        <f>IF(AD138&gt;=Assumptions!$B$3,"OK","Review")</f>
        <v>OK</v>
      </c>
      <c r="AG138" s="13">
        <f>IFERROR(IF(Assumptions!$B$13="Cost Price",AB138,AA138)*SUMIF(Assumptions!$A$6:$A$10,X138,Assumptions!$B$6:$B$10),0)</f>
        <v>21.188784301621649</v>
      </c>
      <c r="AH138" s="13">
        <f>IFERROR(IF(Assumptions!$B$13="Cost Price",AB138,AA138)*SUMIF(Assumptions!$A$6:$A$10,X138,Assumptions!$C$6:$C$10),0)</f>
        <v>13.242990188513531</v>
      </c>
      <c r="AI138" s="13">
        <f>IFERROR(IF(Assumptions!$B$13="Cost Price",AB138,AA138)*SUMIF(Assumptions!$A$6:$A$10,X138,Assumptions!$D$6:$D$10),0)</f>
        <v>26.485980377027062</v>
      </c>
      <c r="AJ138" s="13">
        <v>44.815827935133782</v>
      </c>
      <c r="AK138" s="13">
        <f t="shared" si="51"/>
        <v>105.73358280229603</v>
      </c>
      <c r="AL138" s="14">
        <v>0.33</v>
      </c>
      <c r="AM138" s="13">
        <f t="shared" si="52"/>
        <v>110.41622096797458</v>
      </c>
      <c r="AN138" s="14">
        <f t="shared" si="53"/>
        <v>0.41688553489885327</v>
      </c>
      <c r="AO138" t="str">
        <f>IF(AN138&gt;=Assumptions!$B$3,"OK","Review")</f>
        <v>OK</v>
      </c>
    </row>
    <row r="139" spans="1:41" ht="15" customHeight="1">
      <c r="A139" s="9" t="s">
        <v>70</v>
      </c>
      <c r="B139" s="9" t="s">
        <v>44</v>
      </c>
      <c r="C139" s="9" t="s">
        <v>202</v>
      </c>
      <c r="D139" s="9" t="s">
        <v>221</v>
      </c>
      <c r="E139" s="9" t="s">
        <v>73</v>
      </c>
      <c r="F139" s="9" t="s">
        <v>74</v>
      </c>
      <c r="G139" s="9" t="s">
        <v>24</v>
      </c>
      <c r="H139" s="9" t="s">
        <v>84</v>
      </c>
      <c r="I139" s="9">
        <v>4000011827</v>
      </c>
      <c r="J139" s="10">
        <v>19.66</v>
      </c>
      <c r="K139" s="10"/>
      <c r="L139" s="10">
        <f t="shared" si="36"/>
        <v>19.66</v>
      </c>
      <c r="M139" s="11">
        <v>0</v>
      </c>
      <c r="N139" s="10">
        <f t="shared" si="37"/>
        <v>0</v>
      </c>
      <c r="O139" s="10">
        <f t="shared" si="38"/>
        <v>19.66</v>
      </c>
      <c r="P139" s="11">
        <f t="shared" si="39"/>
        <v>6.1666823499890215E-2</v>
      </c>
      <c r="Q139" s="10">
        <f t="shared" si="40"/>
        <v>318.81</v>
      </c>
      <c r="R139" s="10">
        <f t="shared" si="41"/>
        <v>1733.5239999999997</v>
      </c>
      <c r="S139" s="10">
        <f t="shared" si="42"/>
        <v>106.90091854082367</v>
      </c>
      <c r="T139" s="9" t="s">
        <v>76</v>
      </c>
      <c r="U139" s="10">
        <v>3999</v>
      </c>
      <c r="V139" s="10">
        <f t="shared" si="43"/>
        <v>2799.2999999999997</v>
      </c>
      <c r="W139" s="166">
        <v>490110</v>
      </c>
      <c r="X139" s="12" t="s">
        <v>25</v>
      </c>
      <c r="Y139" s="12">
        <f t="shared" si="44"/>
        <v>106.90091854082367</v>
      </c>
      <c r="Z139" s="13">
        <f t="shared" si="45"/>
        <v>106.90091854082367</v>
      </c>
      <c r="AA139" s="13">
        <f t="shared" si="46"/>
        <v>106.90091854082367</v>
      </c>
      <c r="AB139" s="13">
        <f t="shared" si="47"/>
        <v>19.66</v>
      </c>
      <c r="AC139" s="13">
        <f t="shared" si="48"/>
        <v>87.240918540823671</v>
      </c>
      <c r="AD139" s="14">
        <f t="shared" si="49"/>
        <v>0.81609138379393653</v>
      </c>
      <c r="AE139" s="14">
        <f t="shared" si="50"/>
        <v>4.4374831404284674</v>
      </c>
      <c r="AF139" s="13" t="str">
        <f>IF(AD139&gt;=Assumptions!$B$3,"OK","Review")</f>
        <v>OK</v>
      </c>
      <c r="AG139" s="13">
        <f>IFERROR(IF(Assumptions!$B$13="Cost Price",AB139,AA139)*SUMIF(Assumptions!$A$6:$A$10,X139,Assumptions!$B$6:$B$10),0)</f>
        <v>8.5520734832658931</v>
      </c>
      <c r="AH139" s="13">
        <f>IFERROR(IF(Assumptions!$B$13="Cost Price",AB139,AA139)*SUMIF(Assumptions!$A$6:$A$10,X139,Assumptions!$C$6:$C$10),0)</f>
        <v>5.3450459270411841</v>
      </c>
      <c r="AI139" s="13">
        <f>IFERROR(IF(Assumptions!$B$13="Cost Price",AB139,AA139)*SUMIF(Assumptions!$A$6:$A$10,X139,Assumptions!$D$6:$D$10),0)</f>
        <v>10.690091854082368</v>
      </c>
      <c r="AJ139" s="13">
        <v>18.0882606693642</v>
      </c>
      <c r="AK139" s="13">
        <f t="shared" si="51"/>
        <v>42.675471933753641</v>
      </c>
      <c r="AL139" s="14">
        <v>0.33</v>
      </c>
      <c r="AM139" s="13">
        <f t="shared" si="52"/>
        <v>44.565446607070029</v>
      </c>
      <c r="AN139" s="14">
        <f t="shared" si="53"/>
        <v>0.41688553489885338</v>
      </c>
      <c r="AO139" t="str">
        <f>IF(AN139&gt;=Assumptions!$B$3,"OK","Review")</f>
        <v>OK</v>
      </c>
    </row>
    <row r="140" spans="1:41" ht="15" customHeight="1">
      <c r="A140" s="9" t="s">
        <v>70</v>
      </c>
      <c r="B140" s="9" t="s">
        <v>44</v>
      </c>
      <c r="C140" s="9" t="s">
        <v>205</v>
      </c>
      <c r="D140" s="9" t="s">
        <v>222</v>
      </c>
      <c r="E140" s="9" t="s">
        <v>73</v>
      </c>
      <c r="F140" s="9" t="s">
        <v>81</v>
      </c>
      <c r="G140" s="9" t="s">
        <v>24</v>
      </c>
      <c r="H140" s="9" t="s">
        <v>84</v>
      </c>
      <c r="I140" s="9">
        <v>4000011828</v>
      </c>
      <c r="J140" s="10">
        <v>48.71</v>
      </c>
      <c r="K140" s="10"/>
      <c r="L140" s="10">
        <f t="shared" si="36"/>
        <v>48.71</v>
      </c>
      <c r="M140" s="11">
        <v>0</v>
      </c>
      <c r="N140" s="10">
        <f t="shared" si="37"/>
        <v>0</v>
      </c>
      <c r="O140" s="10">
        <f t="shared" si="38"/>
        <v>48.71</v>
      </c>
      <c r="P140" s="11">
        <f t="shared" si="39"/>
        <v>0.15278692638248487</v>
      </c>
      <c r="Q140" s="10">
        <f t="shared" si="40"/>
        <v>318.81</v>
      </c>
      <c r="R140" s="10">
        <f t="shared" si="41"/>
        <v>1733.5239999999997</v>
      </c>
      <c r="S140" s="10">
        <f t="shared" si="42"/>
        <v>264.85980377027062</v>
      </c>
      <c r="T140" s="9" t="s">
        <v>76</v>
      </c>
      <c r="U140" s="10">
        <v>3999</v>
      </c>
      <c r="V140" s="10">
        <f t="shared" si="43"/>
        <v>2799.2999999999997</v>
      </c>
      <c r="W140" s="166">
        <v>490110</v>
      </c>
      <c r="X140" s="12" t="s">
        <v>25</v>
      </c>
      <c r="Y140" s="12">
        <f t="shared" si="44"/>
        <v>264.85980377027062</v>
      </c>
      <c r="Z140" s="13">
        <f t="shared" si="45"/>
        <v>264.85980377027062</v>
      </c>
      <c r="AA140" s="13">
        <f t="shared" si="46"/>
        <v>264.85980377027062</v>
      </c>
      <c r="AB140" s="13">
        <f t="shared" si="47"/>
        <v>48.71</v>
      </c>
      <c r="AC140" s="13">
        <f t="shared" si="48"/>
        <v>216.14980377027061</v>
      </c>
      <c r="AD140" s="14">
        <f t="shared" si="49"/>
        <v>0.81609138379393642</v>
      </c>
      <c r="AE140" s="14">
        <f t="shared" si="50"/>
        <v>4.4374831404284665</v>
      </c>
      <c r="AF140" s="13" t="str">
        <f>IF(AD140&gt;=Assumptions!$B$3,"OK","Review")</f>
        <v>OK</v>
      </c>
      <c r="AG140" s="13">
        <f>IFERROR(IF(Assumptions!$B$13="Cost Price",AB140,AA140)*SUMIF(Assumptions!$A$6:$A$10,X140,Assumptions!$B$6:$B$10),0)</f>
        <v>21.188784301621649</v>
      </c>
      <c r="AH140" s="13">
        <f>IFERROR(IF(Assumptions!$B$13="Cost Price",AB140,AA140)*SUMIF(Assumptions!$A$6:$A$10,X140,Assumptions!$C$6:$C$10),0)</f>
        <v>13.242990188513531</v>
      </c>
      <c r="AI140" s="13">
        <f>IFERROR(IF(Assumptions!$B$13="Cost Price",AB140,AA140)*SUMIF(Assumptions!$A$6:$A$10,X140,Assumptions!$D$6:$D$10),0)</f>
        <v>26.485980377027062</v>
      </c>
      <c r="AJ140" s="13">
        <v>44.815827935133782</v>
      </c>
      <c r="AK140" s="13">
        <f t="shared" si="51"/>
        <v>105.73358280229603</v>
      </c>
      <c r="AL140" s="14">
        <v>0.33</v>
      </c>
      <c r="AM140" s="13">
        <f t="shared" si="52"/>
        <v>110.41622096797458</v>
      </c>
      <c r="AN140" s="14">
        <f t="shared" si="53"/>
        <v>0.41688553489885327</v>
      </c>
      <c r="AO140" t="str">
        <f>IF(AN140&gt;=Assumptions!$B$3,"OK","Review")</f>
        <v>OK</v>
      </c>
    </row>
    <row r="141" spans="1:41" ht="15" customHeight="1">
      <c r="A141" s="9" t="s">
        <v>70</v>
      </c>
      <c r="B141" s="9" t="s">
        <v>44</v>
      </c>
      <c r="C141" s="9" t="s">
        <v>205</v>
      </c>
      <c r="D141" s="9" t="s">
        <v>223</v>
      </c>
      <c r="E141" s="9" t="s">
        <v>73</v>
      </c>
      <c r="F141" s="9" t="s">
        <v>81</v>
      </c>
      <c r="G141" s="9" t="s">
        <v>24</v>
      </c>
      <c r="H141" s="9" t="s">
        <v>84</v>
      </c>
      <c r="I141" s="9">
        <v>4000011829</v>
      </c>
      <c r="J141" s="10">
        <v>18.12</v>
      </c>
      <c r="K141" s="10"/>
      <c r="L141" s="10">
        <f t="shared" si="36"/>
        <v>18.12</v>
      </c>
      <c r="M141" s="11">
        <v>0</v>
      </c>
      <c r="N141" s="10">
        <f t="shared" si="37"/>
        <v>0</v>
      </c>
      <c r="O141" s="10">
        <f t="shared" si="38"/>
        <v>18.12</v>
      </c>
      <c r="P141" s="11">
        <f t="shared" si="39"/>
        <v>5.6836360214547854E-2</v>
      </c>
      <c r="Q141" s="10">
        <f t="shared" si="40"/>
        <v>318.81</v>
      </c>
      <c r="R141" s="10">
        <f t="shared" si="41"/>
        <v>1733.5239999999997</v>
      </c>
      <c r="S141" s="10">
        <f t="shared" si="42"/>
        <v>98.527194504563838</v>
      </c>
      <c r="T141" s="9" t="s">
        <v>76</v>
      </c>
      <c r="U141" s="10">
        <v>3999</v>
      </c>
      <c r="V141" s="10">
        <f t="shared" si="43"/>
        <v>2799.2999999999997</v>
      </c>
      <c r="W141" s="166">
        <v>490110</v>
      </c>
      <c r="X141" s="12" t="s">
        <v>25</v>
      </c>
      <c r="Y141" s="12">
        <f t="shared" si="44"/>
        <v>98.527194504563838</v>
      </c>
      <c r="Z141" s="13">
        <f t="shared" si="45"/>
        <v>98.527194504563838</v>
      </c>
      <c r="AA141" s="13">
        <f t="shared" si="46"/>
        <v>98.527194504563838</v>
      </c>
      <c r="AB141" s="13">
        <f t="shared" si="47"/>
        <v>18.12</v>
      </c>
      <c r="AC141" s="13">
        <f t="shared" si="48"/>
        <v>80.407194504563833</v>
      </c>
      <c r="AD141" s="14">
        <f t="shared" si="49"/>
        <v>0.81609138379393642</v>
      </c>
      <c r="AE141" s="14">
        <f t="shared" si="50"/>
        <v>4.4374831404284674</v>
      </c>
      <c r="AF141" s="13" t="str">
        <f>IF(AD141&gt;=Assumptions!$B$3,"OK","Review")</f>
        <v>OK</v>
      </c>
      <c r="AG141" s="13">
        <f>IFERROR(IF(Assumptions!$B$13="Cost Price",AB141,AA141)*SUMIF(Assumptions!$A$6:$A$10,X141,Assumptions!$B$6:$B$10),0)</f>
        <v>7.8821755603651074</v>
      </c>
      <c r="AH141" s="13">
        <f>IFERROR(IF(Assumptions!$B$13="Cost Price",AB141,AA141)*SUMIF(Assumptions!$A$6:$A$10,X141,Assumptions!$C$6:$C$10),0)</f>
        <v>4.9263597252281919</v>
      </c>
      <c r="AI141" s="13">
        <f>IFERROR(IF(Assumptions!$B$13="Cost Price",AB141,AA141)*SUMIF(Assumptions!$A$6:$A$10,X141,Assumptions!$D$6:$D$10),0)</f>
        <v>9.8527194504563838</v>
      </c>
      <c r="AJ141" s="13">
        <v>16.671377585395692</v>
      </c>
      <c r="AK141" s="13">
        <f t="shared" si="51"/>
        <v>39.332632321445374</v>
      </c>
      <c r="AL141" s="14">
        <v>0.33</v>
      </c>
      <c r="AM141" s="13">
        <f t="shared" si="52"/>
        <v>41.074562183118459</v>
      </c>
      <c r="AN141" s="14">
        <f t="shared" si="53"/>
        <v>0.41688553489885333</v>
      </c>
      <c r="AO141" t="str">
        <f>IF(AN141&gt;=Assumptions!$B$3,"OK","Review")</f>
        <v>OK</v>
      </c>
    </row>
    <row r="142" spans="1:41" ht="15" customHeight="1">
      <c r="A142" s="9" t="s">
        <v>70</v>
      </c>
      <c r="B142" s="9" t="s">
        <v>44</v>
      </c>
      <c r="C142" s="9" t="s">
        <v>88</v>
      </c>
      <c r="D142" s="9" t="s">
        <v>224</v>
      </c>
      <c r="E142" s="9" t="s">
        <v>73</v>
      </c>
      <c r="F142" s="9" t="s">
        <v>90</v>
      </c>
      <c r="G142" s="9" t="s">
        <v>24</v>
      </c>
      <c r="H142" s="9" t="s">
        <v>75</v>
      </c>
      <c r="I142" s="9">
        <v>7000000220</v>
      </c>
      <c r="J142" s="10">
        <v>345.6</v>
      </c>
      <c r="K142" s="10">
        <v>10</v>
      </c>
      <c r="L142" s="10">
        <f t="shared" si="36"/>
        <v>355.6</v>
      </c>
      <c r="M142" s="11">
        <v>0.18</v>
      </c>
      <c r="N142" s="10">
        <f t="shared" si="37"/>
        <v>64.007999999999996</v>
      </c>
      <c r="O142" s="10">
        <f t="shared" si="38"/>
        <v>419.608</v>
      </c>
      <c r="P142" s="11">
        <f t="shared" si="39"/>
        <v>0.78742249778565099</v>
      </c>
      <c r="Q142" s="10">
        <f t="shared" si="40"/>
        <v>532.88800000000003</v>
      </c>
      <c r="R142" s="10">
        <f t="shared" si="41"/>
        <v>1733.5239999999997</v>
      </c>
      <c r="S142" s="10">
        <f t="shared" si="42"/>
        <v>419.608</v>
      </c>
      <c r="T142" s="9" t="s">
        <v>91</v>
      </c>
      <c r="U142" s="10">
        <v>3999</v>
      </c>
      <c r="V142" s="10">
        <f t="shared" si="43"/>
        <v>2799.2999999999997</v>
      </c>
      <c r="W142" s="166">
        <v>49119990</v>
      </c>
      <c r="X142" s="12" t="s">
        <v>25</v>
      </c>
      <c r="Y142" s="12">
        <f t="shared" si="44"/>
        <v>419.608</v>
      </c>
      <c r="Z142" s="13">
        <f t="shared" si="45"/>
        <v>419.608</v>
      </c>
      <c r="AA142" s="13">
        <f t="shared" si="46"/>
        <v>355.6</v>
      </c>
      <c r="AB142" s="13">
        <f t="shared" si="47"/>
        <v>345.6</v>
      </c>
      <c r="AC142" s="13">
        <f t="shared" si="48"/>
        <v>10</v>
      </c>
      <c r="AD142" s="14">
        <f t="shared" si="49"/>
        <v>2.8121484814398197E-2</v>
      </c>
      <c r="AE142" s="14">
        <f t="shared" si="50"/>
        <v>2.8935185185185182E-2</v>
      </c>
      <c r="AF142" s="13" t="str">
        <f>IF(AD142&gt;=Assumptions!$B$3,"OK","Review")</f>
        <v>Review</v>
      </c>
      <c r="AG142" s="13">
        <f>IFERROR(IF(Assumptions!$B$13="Cost Price",AB142,AA142)*SUMIF(Assumptions!$A$6:$A$10,X142,Assumptions!$B$6:$B$10),0)</f>
        <v>28.448000000000004</v>
      </c>
      <c r="AH142" s="13">
        <f>IFERROR(IF(Assumptions!$B$13="Cost Price",AB142,AA142)*SUMIF(Assumptions!$A$6:$A$10,X142,Assumptions!$C$6:$C$10),0)</f>
        <v>17.78</v>
      </c>
      <c r="AI142" s="13">
        <f>IFERROR(IF(Assumptions!$B$13="Cost Price",AB142,AA142)*SUMIF(Assumptions!$A$6:$A$10,X142,Assumptions!$D$6:$D$10),0)</f>
        <v>35.56</v>
      </c>
      <c r="AJ142" s="13">
        <v>35.56</v>
      </c>
      <c r="AK142" s="13">
        <f t="shared" si="51"/>
        <v>117.34800000000001</v>
      </c>
      <c r="AL142" s="14">
        <v>0.33</v>
      </c>
      <c r="AM142" s="13">
        <f t="shared" si="52"/>
        <v>-107.34800000000001</v>
      </c>
      <c r="AN142" s="14">
        <f t="shared" si="53"/>
        <v>-0.30187851518560183</v>
      </c>
      <c r="AO142" t="str">
        <f>IF(AN142&gt;=Assumptions!$B$3,"OK","Review")</f>
        <v>Review</v>
      </c>
    </row>
    <row r="143" spans="1:41" ht="15" customHeight="1">
      <c r="A143" s="9" t="s">
        <v>70</v>
      </c>
      <c r="B143" s="9" t="s">
        <v>44</v>
      </c>
      <c r="C143" s="9" t="s">
        <v>92</v>
      </c>
      <c r="D143" s="9" t="s">
        <v>93</v>
      </c>
      <c r="E143" s="9" t="s">
        <v>73</v>
      </c>
      <c r="F143" s="9" t="s">
        <v>94</v>
      </c>
      <c r="G143" s="9" t="s">
        <v>24</v>
      </c>
      <c r="H143" s="9" t="s">
        <v>75</v>
      </c>
      <c r="I143" s="9">
        <v>8400007</v>
      </c>
      <c r="J143" s="10">
        <v>96</v>
      </c>
      <c r="K143" s="10"/>
      <c r="L143" s="10">
        <f t="shared" si="36"/>
        <v>96</v>
      </c>
      <c r="M143" s="11">
        <v>0.18</v>
      </c>
      <c r="N143" s="10">
        <f t="shared" si="37"/>
        <v>17.28</v>
      </c>
      <c r="O143" s="10">
        <f t="shared" si="38"/>
        <v>113.28</v>
      </c>
      <c r="P143" s="11">
        <f t="shared" si="39"/>
        <v>0.21257750221434896</v>
      </c>
      <c r="Q143" s="10">
        <f t="shared" si="40"/>
        <v>532.88800000000003</v>
      </c>
      <c r="R143" s="10">
        <f t="shared" si="41"/>
        <v>1733.5239999999997</v>
      </c>
      <c r="S143" s="10">
        <f t="shared" si="42"/>
        <v>113.28</v>
      </c>
      <c r="T143" s="9" t="s">
        <v>91</v>
      </c>
      <c r="U143" s="10">
        <v>3999</v>
      </c>
      <c r="V143" s="10">
        <f t="shared" si="43"/>
        <v>2799.2999999999997</v>
      </c>
      <c r="W143" s="166">
        <v>999299</v>
      </c>
      <c r="X143" s="12" t="s">
        <v>25</v>
      </c>
      <c r="Y143" s="12">
        <f t="shared" si="44"/>
        <v>113.28</v>
      </c>
      <c r="Z143" s="13">
        <f t="shared" si="45"/>
        <v>113.28</v>
      </c>
      <c r="AA143" s="13">
        <f t="shared" si="46"/>
        <v>96</v>
      </c>
      <c r="AB143" s="13">
        <f t="shared" si="47"/>
        <v>96</v>
      </c>
      <c r="AC143" s="13">
        <f t="shared" si="48"/>
        <v>0</v>
      </c>
      <c r="AD143" s="14">
        <f t="shared" si="49"/>
        <v>0</v>
      </c>
      <c r="AE143" s="14">
        <f t="shared" si="50"/>
        <v>0</v>
      </c>
      <c r="AF143" s="13" t="str">
        <f>IF(AD143&gt;=Assumptions!$B$3,"OK","Review")</f>
        <v>Review</v>
      </c>
      <c r="AG143" s="13">
        <f>IFERROR(IF(Assumptions!$B$13="Cost Price",AB143,AA143)*SUMIF(Assumptions!$A$6:$A$10,X143,Assumptions!$B$6:$B$10),0)</f>
        <v>7.68</v>
      </c>
      <c r="AH143" s="13">
        <f>IFERROR(IF(Assumptions!$B$13="Cost Price",AB143,AA143)*SUMIF(Assumptions!$A$6:$A$10,X143,Assumptions!$C$6:$C$10),0)</f>
        <v>4.8000000000000007</v>
      </c>
      <c r="AI143" s="13">
        <f>IFERROR(IF(Assumptions!$B$13="Cost Price",AB143,AA143)*SUMIF(Assumptions!$A$6:$A$10,X143,Assumptions!$D$6:$D$10),0)</f>
        <v>9.6000000000000014</v>
      </c>
      <c r="AJ143" s="13">
        <v>9.6000000000000014</v>
      </c>
      <c r="AK143" s="13">
        <f t="shared" si="51"/>
        <v>31.680000000000003</v>
      </c>
      <c r="AL143" s="14">
        <v>0.33</v>
      </c>
      <c r="AM143" s="13">
        <f t="shared" si="52"/>
        <v>-31.680000000000003</v>
      </c>
      <c r="AN143" s="14">
        <f t="shared" si="53"/>
        <v>-0.33</v>
      </c>
      <c r="AO143" t="str">
        <f>IF(AN143&gt;=Assumptions!$B$3,"OK","Review")</f>
        <v>Review</v>
      </c>
    </row>
    <row r="144" spans="1:41" ht="15" customHeight="1">
      <c r="A144" s="9" t="s">
        <v>70</v>
      </c>
      <c r="B144" s="9" t="s">
        <v>45</v>
      </c>
      <c r="C144" s="9" t="s">
        <v>198</v>
      </c>
      <c r="D144" s="9" t="s">
        <v>225</v>
      </c>
      <c r="E144" s="9" t="s">
        <v>73</v>
      </c>
      <c r="F144" s="9" t="s">
        <v>74</v>
      </c>
      <c r="G144" s="9" t="s">
        <v>24</v>
      </c>
      <c r="H144" s="9" t="s">
        <v>75</v>
      </c>
      <c r="I144" s="9">
        <v>4000011830</v>
      </c>
      <c r="J144" s="10">
        <v>16.68</v>
      </c>
      <c r="K144" s="10"/>
      <c r="L144" s="10">
        <f t="shared" si="36"/>
        <v>16.68</v>
      </c>
      <c r="M144" s="11">
        <v>0</v>
      </c>
      <c r="N144" s="10">
        <f t="shared" si="37"/>
        <v>0</v>
      </c>
      <c r="O144" s="10">
        <f t="shared" si="38"/>
        <v>16.68</v>
      </c>
      <c r="P144" s="11">
        <f t="shared" si="39"/>
        <v>6.6356367108246814E-2</v>
      </c>
      <c r="Q144" s="10">
        <f t="shared" si="40"/>
        <v>251.36999999999998</v>
      </c>
      <c r="R144" s="10">
        <f t="shared" si="41"/>
        <v>1750.5159999999998</v>
      </c>
      <c r="S144" s="10">
        <f t="shared" si="42"/>
        <v>116.15788232485977</v>
      </c>
      <c r="T144" s="9" t="s">
        <v>76</v>
      </c>
      <c r="U144" s="10">
        <v>3999</v>
      </c>
      <c r="V144" s="10">
        <f t="shared" si="43"/>
        <v>2799.2999999999997</v>
      </c>
      <c r="W144" s="166">
        <v>490110</v>
      </c>
      <c r="X144" s="12" t="s">
        <v>25</v>
      </c>
      <c r="Y144" s="12">
        <f t="shared" si="44"/>
        <v>116.15788232485977</v>
      </c>
      <c r="Z144" s="13">
        <f t="shared" si="45"/>
        <v>116.15788232485977</v>
      </c>
      <c r="AA144" s="13">
        <f t="shared" si="46"/>
        <v>116.15788232485977</v>
      </c>
      <c r="AB144" s="13">
        <f t="shared" si="47"/>
        <v>16.68</v>
      </c>
      <c r="AC144" s="13">
        <f t="shared" si="48"/>
        <v>99.477882324859763</v>
      </c>
      <c r="AD144" s="14">
        <f t="shared" si="49"/>
        <v>0.85640234079551392</v>
      </c>
      <c r="AE144" s="14">
        <f t="shared" si="50"/>
        <v>5.9639018180371561</v>
      </c>
      <c r="AF144" s="13" t="str">
        <f>IF(AD144&gt;=Assumptions!$B$3,"OK","Review")</f>
        <v>OK</v>
      </c>
      <c r="AG144" s="13">
        <f>IFERROR(IF(Assumptions!$B$13="Cost Price",AB144,AA144)*SUMIF(Assumptions!$A$6:$A$10,X144,Assumptions!$B$6:$B$10),0)</f>
        <v>9.2926305859887819</v>
      </c>
      <c r="AH144" s="13">
        <f>IFERROR(IF(Assumptions!$B$13="Cost Price",AB144,AA144)*SUMIF(Assumptions!$A$6:$A$10,X144,Assumptions!$C$6:$C$10),0)</f>
        <v>5.8078941162429887</v>
      </c>
      <c r="AI144" s="13">
        <f>IFERROR(IF(Assumptions!$B$13="Cost Price",AB144,AA144)*SUMIF(Assumptions!$A$6:$A$10,X144,Assumptions!$D$6:$D$10),0)</f>
        <v>11.615788232485977</v>
      </c>
      <c r="AJ144" s="13">
        <v>19.576561594462351</v>
      </c>
      <c r="AK144" s="13">
        <f t="shared" si="51"/>
        <v>46.292874529180096</v>
      </c>
      <c r="AL144" s="14">
        <v>0.33</v>
      </c>
      <c r="AM144" s="13">
        <f t="shared" si="52"/>
        <v>53.185007795679667</v>
      </c>
      <c r="AN144" s="14">
        <f t="shared" si="53"/>
        <v>0.45786826284364146</v>
      </c>
      <c r="AO144" t="str">
        <f>IF(AN144&gt;=Assumptions!$B$3,"OK","Review")</f>
        <v>OK</v>
      </c>
    </row>
    <row r="145" spans="1:41" ht="15" customHeight="1">
      <c r="A145" s="9" t="s">
        <v>70</v>
      </c>
      <c r="B145" s="9" t="s">
        <v>45</v>
      </c>
      <c r="C145" s="9" t="s">
        <v>200</v>
      </c>
      <c r="D145" s="9" t="s">
        <v>226</v>
      </c>
      <c r="E145" s="9" t="s">
        <v>73</v>
      </c>
      <c r="F145" s="9" t="s">
        <v>74</v>
      </c>
      <c r="G145" s="9" t="s">
        <v>24</v>
      </c>
      <c r="H145" s="9" t="s">
        <v>75</v>
      </c>
      <c r="I145" s="9">
        <v>4000011831</v>
      </c>
      <c r="J145" s="10">
        <v>14.95</v>
      </c>
      <c r="K145" s="10"/>
      <c r="L145" s="10">
        <f t="shared" si="36"/>
        <v>14.95</v>
      </c>
      <c r="M145" s="11">
        <v>0</v>
      </c>
      <c r="N145" s="10">
        <f t="shared" si="37"/>
        <v>0</v>
      </c>
      <c r="O145" s="10">
        <f t="shared" si="38"/>
        <v>14.95</v>
      </c>
      <c r="P145" s="11">
        <f t="shared" si="39"/>
        <v>5.9474082030473011E-2</v>
      </c>
      <c r="Q145" s="10">
        <f t="shared" si="40"/>
        <v>251.36999999999998</v>
      </c>
      <c r="R145" s="10">
        <f t="shared" si="41"/>
        <v>1750.5159999999998</v>
      </c>
      <c r="S145" s="10">
        <f t="shared" si="42"/>
        <v>104.11033217965549</v>
      </c>
      <c r="T145" s="9" t="s">
        <v>76</v>
      </c>
      <c r="U145" s="10">
        <v>3999</v>
      </c>
      <c r="V145" s="10">
        <f t="shared" si="43"/>
        <v>2799.2999999999997</v>
      </c>
      <c r="W145" s="166">
        <v>490110</v>
      </c>
      <c r="X145" s="12" t="s">
        <v>25</v>
      </c>
      <c r="Y145" s="12">
        <f t="shared" si="44"/>
        <v>104.11033217965549</v>
      </c>
      <c r="Z145" s="13">
        <f t="shared" si="45"/>
        <v>104.11033217965549</v>
      </c>
      <c r="AA145" s="13">
        <f t="shared" si="46"/>
        <v>104.11033217965549</v>
      </c>
      <c r="AB145" s="13">
        <f t="shared" si="47"/>
        <v>14.95</v>
      </c>
      <c r="AC145" s="13">
        <f t="shared" si="48"/>
        <v>89.160332179655484</v>
      </c>
      <c r="AD145" s="14">
        <f t="shared" si="49"/>
        <v>0.85640234079551403</v>
      </c>
      <c r="AE145" s="14">
        <f t="shared" si="50"/>
        <v>5.9639018180371561</v>
      </c>
      <c r="AF145" s="13" t="str">
        <f>IF(AD145&gt;=Assumptions!$B$3,"OK","Review")</f>
        <v>OK</v>
      </c>
      <c r="AG145" s="13">
        <f>IFERROR(IF(Assumptions!$B$13="Cost Price",AB145,AA145)*SUMIF(Assumptions!$A$6:$A$10,X145,Assumptions!$B$6:$B$10),0)</f>
        <v>8.3288265743724388</v>
      </c>
      <c r="AH145" s="13">
        <f>IFERROR(IF(Assumptions!$B$13="Cost Price",AB145,AA145)*SUMIF(Assumptions!$A$6:$A$10,X145,Assumptions!$C$6:$C$10),0)</f>
        <v>5.2055166089827747</v>
      </c>
      <c r="AI145" s="13">
        <f>IFERROR(IF(Assumptions!$B$13="Cost Price",AB145,AA145)*SUMIF(Assumptions!$A$6:$A$10,X145,Assumptions!$D$6:$D$10),0)</f>
        <v>10.411033217965549</v>
      </c>
      <c r="AJ145" s="13">
        <v>17.546138839161397</v>
      </c>
      <c r="AK145" s="13">
        <f t="shared" si="51"/>
        <v>41.491515240482158</v>
      </c>
      <c r="AL145" s="14">
        <v>0.33</v>
      </c>
      <c r="AM145" s="13">
        <f t="shared" si="52"/>
        <v>47.668816939173325</v>
      </c>
      <c r="AN145" s="14">
        <f t="shared" si="53"/>
        <v>0.45786826284364152</v>
      </c>
      <c r="AO145" t="str">
        <f>IF(AN145&gt;=Assumptions!$B$3,"OK","Review")</f>
        <v>OK</v>
      </c>
    </row>
    <row r="146" spans="1:41" ht="15" customHeight="1">
      <c r="A146" s="9" t="s">
        <v>70</v>
      </c>
      <c r="B146" s="9" t="s">
        <v>45</v>
      </c>
      <c r="C146" s="9" t="s">
        <v>202</v>
      </c>
      <c r="D146" s="9" t="s">
        <v>227</v>
      </c>
      <c r="E146" s="9" t="s">
        <v>73</v>
      </c>
      <c r="F146" s="9" t="s">
        <v>81</v>
      </c>
      <c r="G146" s="9" t="s">
        <v>24</v>
      </c>
      <c r="H146" s="9" t="s">
        <v>75</v>
      </c>
      <c r="I146" s="9">
        <v>4000011832</v>
      </c>
      <c r="J146" s="10">
        <v>29.82</v>
      </c>
      <c r="K146" s="10"/>
      <c r="L146" s="10">
        <f t="shared" si="36"/>
        <v>29.82</v>
      </c>
      <c r="M146" s="11">
        <v>0</v>
      </c>
      <c r="N146" s="10">
        <f t="shared" si="37"/>
        <v>0</v>
      </c>
      <c r="O146" s="10">
        <f t="shared" si="38"/>
        <v>29.82</v>
      </c>
      <c r="P146" s="11">
        <f t="shared" si="39"/>
        <v>0.11862990810359232</v>
      </c>
      <c r="Q146" s="10">
        <f t="shared" si="40"/>
        <v>251.36999999999998</v>
      </c>
      <c r="R146" s="10">
        <f t="shared" si="41"/>
        <v>1750.5159999999998</v>
      </c>
      <c r="S146" s="10">
        <f t="shared" si="42"/>
        <v>207.663552213868</v>
      </c>
      <c r="T146" s="9" t="s">
        <v>76</v>
      </c>
      <c r="U146" s="10">
        <v>3999</v>
      </c>
      <c r="V146" s="10">
        <f t="shared" si="43"/>
        <v>2799.2999999999997</v>
      </c>
      <c r="W146" s="166">
        <v>490110</v>
      </c>
      <c r="X146" s="12" t="s">
        <v>25</v>
      </c>
      <c r="Y146" s="12">
        <f t="shared" si="44"/>
        <v>207.663552213868</v>
      </c>
      <c r="Z146" s="13">
        <f t="shared" si="45"/>
        <v>207.663552213868</v>
      </c>
      <c r="AA146" s="13">
        <f t="shared" si="46"/>
        <v>207.663552213868</v>
      </c>
      <c r="AB146" s="13">
        <f t="shared" si="47"/>
        <v>29.82</v>
      </c>
      <c r="AC146" s="13">
        <f t="shared" si="48"/>
        <v>177.84355221386801</v>
      </c>
      <c r="AD146" s="14">
        <f t="shared" si="49"/>
        <v>0.85640234079551403</v>
      </c>
      <c r="AE146" s="14">
        <f t="shared" si="50"/>
        <v>5.9639018180371561</v>
      </c>
      <c r="AF146" s="13" t="str">
        <f>IF(AD146&gt;=Assumptions!$B$3,"OK","Review")</f>
        <v>OK</v>
      </c>
      <c r="AG146" s="13">
        <f>IFERROR(IF(Assumptions!$B$13="Cost Price",AB146,AA146)*SUMIF(Assumptions!$A$6:$A$10,X146,Assumptions!$B$6:$B$10),0)</f>
        <v>16.613084177109439</v>
      </c>
      <c r="AH146" s="13">
        <f>IFERROR(IF(Assumptions!$B$13="Cost Price",AB146,AA146)*SUMIF(Assumptions!$A$6:$A$10,X146,Assumptions!$C$6:$C$10),0)</f>
        <v>10.383177610693402</v>
      </c>
      <c r="AI146" s="13">
        <f>IFERROR(IF(Assumptions!$B$13="Cost Price",AB146,AA146)*SUMIF(Assumptions!$A$6:$A$10,X146,Assumptions!$D$6:$D$10),0)</f>
        <v>20.766355221386803</v>
      </c>
      <c r="AJ146" s="13">
        <v>34.998385296574774</v>
      </c>
      <c r="AK146" s="13">
        <f t="shared" si="51"/>
        <v>82.761002305764407</v>
      </c>
      <c r="AL146" s="14">
        <v>0.33</v>
      </c>
      <c r="AM146" s="13">
        <f t="shared" si="52"/>
        <v>95.082549908103601</v>
      </c>
      <c r="AN146" s="14">
        <f t="shared" si="53"/>
        <v>0.45786826284364157</v>
      </c>
      <c r="AO146" t="str">
        <f>IF(AN146&gt;=Assumptions!$B$3,"OK","Review")</f>
        <v>OK</v>
      </c>
    </row>
    <row r="147" spans="1:41" ht="15" customHeight="1">
      <c r="A147" s="9" t="s">
        <v>70</v>
      </c>
      <c r="B147" s="9" t="s">
        <v>45</v>
      </c>
      <c r="C147" s="9" t="s">
        <v>202</v>
      </c>
      <c r="D147" s="9" t="s">
        <v>228</v>
      </c>
      <c r="E147" s="9" t="s">
        <v>73</v>
      </c>
      <c r="F147" s="9" t="s">
        <v>74</v>
      </c>
      <c r="G147" s="9" t="s">
        <v>24</v>
      </c>
      <c r="H147" s="9" t="s">
        <v>75</v>
      </c>
      <c r="I147" s="9">
        <v>4000011833</v>
      </c>
      <c r="J147" s="10">
        <v>12.45</v>
      </c>
      <c r="K147" s="10"/>
      <c r="L147" s="10">
        <f t="shared" si="36"/>
        <v>12.45</v>
      </c>
      <c r="M147" s="11">
        <v>0</v>
      </c>
      <c r="N147" s="10">
        <f t="shared" si="37"/>
        <v>0</v>
      </c>
      <c r="O147" s="10">
        <f t="shared" si="38"/>
        <v>12.45</v>
      </c>
      <c r="P147" s="11">
        <f t="shared" si="39"/>
        <v>4.9528583363169829E-2</v>
      </c>
      <c r="Q147" s="10">
        <f t="shared" si="40"/>
        <v>251.36999999999998</v>
      </c>
      <c r="R147" s="10">
        <f t="shared" si="41"/>
        <v>1750.5159999999998</v>
      </c>
      <c r="S147" s="10">
        <f t="shared" si="42"/>
        <v>86.700577634562592</v>
      </c>
      <c r="T147" s="9" t="s">
        <v>76</v>
      </c>
      <c r="U147" s="10">
        <v>3999</v>
      </c>
      <c r="V147" s="10">
        <f t="shared" si="43"/>
        <v>2799.2999999999997</v>
      </c>
      <c r="W147" s="166">
        <v>490110</v>
      </c>
      <c r="X147" s="12" t="s">
        <v>25</v>
      </c>
      <c r="Y147" s="12">
        <f t="shared" si="44"/>
        <v>86.700577634562592</v>
      </c>
      <c r="Z147" s="13">
        <f t="shared" si="45"/>
        <v>86.700577634562592</v>
      </c>
      <c r="AA147" s="13">
        <f t="shared" si="46"/>
        <v>86.700577634562592</v>
      </c>
      <c r="AB147" s="13">
        <f t="shared" si="47"/>
        <v>12.45</v>
      </c>
      <c r="AC147" s="13">
        <f t="shared" si="48"/>
        <v>74.250577634562589</v>
      </c>
      <c r="AD147" s="14">
        <f t="shared" si="49"/>
        <v>0.85640234079551392</v>
      </c>
      <c r="AE147" s="14">
        <f t="shared" si="50"/>
        <v>5.9639018180371561</v>
      </c>
      <c r="AF147" s="13" t="str">
        <f>IF(AD147&gt;=Assumptions!$B$3,"OK","Review")</f>
        <v>OK</v>
      </c>
      <c r="AG147" s="13">
        <f>IFERROR(IF(Assumptions!$B$13="Cost Price",AB147,AA147)*SUMIF(Assumptions!$A$6:$A$10,X147,Assumptions!$B$6:$B$10),0)</f>
        <v>6.9360462107650074</v>
      </c>
      <c r="AH147" s="13">
        <f>IFERROR(IF(Assumptions!$B$13="Cost Price",AB147,AA147)*SUMIF(Assumptions!$A$6:$A$10,X147,Assumptions!$C$6:$C$10),0)</f>
        <v>4.3350288817281299</v>
      </c>
      <c r="AI147" s="13">
        <f>IFERROR(IF(Assumptions!$B$13="Cost Price",AB147,AA147)*SUMIF(Assumptions!$A$6:$A$10,X147,Assumptions!$D$6:$D$10),0)</f>
        <v>8.6700577634562599</v>
      </c>
      <c r="AJ147" s="13">
        <v>14.612001909535747</v>
      </c>
      <c r="AK147" s="13">
        <f t="shared" si="51"/>
        <v>34.553134765485147</v>
      </c>
      <c r="AL147" s="14">
        <v>0.33</v>
      </c>
      <c r="AM147" s="13">
        <f t="shared" si="52"/>
        <v>39.697442869077442</v>
      </c>
      <c r="AN147" s="14">
        <f t="shared" si="53"/>
        <v>0.4578682628436414</v>
      </c>
      <c r="AO147" t="str">
        <f>IF(AN147&gt;=Assumptions!$B$3,"OK","Review")</f>
        <v>OK</v>
      </c>
    </row>
    <row r="148" spans="1:41" ht="15" customHeight="1">
      <c r="A148" s="9" t="s">
        <v>70</v>
      </c>
      <c r="B148" s="9" t="s">
        <v>45</v>
      </c>
      <c r="C148" s="9" t="s">
        <v>205</v>
      </c>
      <c r="D148" s="9" t="s">
        <v>229</v>
      </c>
      <c r="E148" s="9" t="s">
        <v>73</v>
      </c>
      <c r="F148" s="9" t="s">
        <v>74</v>
      </c>
      <c r="G148" s="9" t="s">
        <v>24</v>
      </c>
      <c r="H148" s="9" t="s">
        <v>75</v>
      </c>
      <c r="I148" s="9">
        <v>4000011834</v>
      </c>
      <c r="J148" s="10">
        <v>39.03</v>
      </c>
      <c r="K148" s="10"/>
      <c r="L148" s="10">
        <f t="shared" si="36"/>
        <v>39.03</v>
      </c>
      <c r="M148" s="11">
        <v>0</v>
      </c>
      <c r="N148" s="10">
        <f t="shared" si="37"/>
        <v>0</v>
      </c>
      <c r="O148" s="10">
        <f t="shared" si="38"/>
        <v>39.03</v>
      </c>
      <c r="P148" s="11">
        <f t="shared" si="39"/>
        <v>0.15526912519393724</v>
      </c>
      <c r="Q148" s="10">
        <f t="shared" si="40"/>
        <v>251.36999999999998</v>
      </c>
      <c r="R148" s="10">
        <f t="shared" si="41"/>
        <v>1750.5159999999998</v>
      </c>
      <c r="S148" s="10">
        <f t="shared" si="42"/>
        <v>271.80108795799021</v>
      </c>
      <c r="T148" s="9" t="s">
        <v>76</v>
      </c>
      <c r="U148" s="10">
        <v>3999</v>
      </c>
      <c r="V148" s="10">
        <f t="shared" si="43"/>
        <v>2799.2999999999997</v>
      </c>
      <c r="W148" s="166">
        <v>490110</v>
      </c>
      <c r="X148" s="12" t="s">
        <v>25</v>
      </c>
      <c r="Y148" s="12">
        <f t="shared" si="44"/>
        <v>271.80108795799021</v>
      </c>
      <c r="Z148" s="13">
        <f t="shared" si="45"/>
        <v>271.80108795799021</v>
      </c>
      <c r="AA148" s="13">
        <f t="shared" si="46"/>
        <v>271.80108795799021</v>
      </c>
      <c r="AB148" s="13">
        <f t="shared" si="47"/>
        <v>39.03</v>
      </c>
      <c r="AC148" s="13">
        <f t="shared" si="48"/>
        <v>232.7710879579902</v>
      </c>
      <c r="AD148" s="14">
        <f t="shared" si="49"/>
        <v>0.85640234079551403</v>
      </c>
      <c r="AE148" s="14">
        <f t="shared" si="50"/>
        <v>5.9639018180371561</v>
      </c>
      <c r="AF148" s="13" t="str">
        <f>IF(AD148&gt;=Assumptions!$B$3,"OK","Review")</f>
        <v>OK</v>
      </c>
      <c r="AG148" s="13">
        <f>IFERROR(IF(Assumptions!$B$13="Cost Price",AB148,AA148)*SUMIF(Assumptions!$A$6:$A$10,X148,Assumptions!$B$6:$B$10),0)</f>
        <v>21.744087036639218</v>
      </c>
      <c r="AH148" s="13">
        <f>IFERROR(IF(Assumptions!$B$13="Cost Price",AB148,AA148)*SUMIF(Assumptions!$A$6:$A$10,X148,Assumptions!$C$6:$C$10),0)</f>
        <v>13.590054397899511</v>
      </c>
      <c r="AI148" s="13">
        <f>IFERROR(IF(Assumptions!$B$13="Cost Price",AB148,AA148)*SUMIF(Assumptions!$A$6:$A$10,X148,Assumptions!$D$6:$D$10),0)</f>
        <v>27.180108795799022</v>
      </c>
      <c r="AJ148" s="13">
        <v>45.807745745315685</v>
      </c>
      <c r="AK148" s="13">
        <f t="shared" si="51"/>
        <v>108.32199597565344</v>
      </c>
      <c r="AL148" s="14">
        <v>0.33</v>
      </c>
      <c r="AM148" s="13">
        <f t="shared" si="52"/>
        <v>124.44909198233677</v>
      </c>
      <c r="AN148" s="14">
        <f t="shared" si="53"/>
        <v>0.45786826284364146</v>
      </c>
      <c r="AO148" t="str">
        <f>IF(AN148&gt;=Assumptions!$B$3,"OK","Review")</f>
        <v>OK</v>
      </c>
    </row>
    <row r="149" spans="1:41" ht="15" customHeight="1">
      <c r="A149" s="9" t="s">
        <v>70</v>
      </c>
      <c r="B149" s="9" t="s">
        <v>45</v>
      </c>
      <c r="C149" s="9" t="s">
        <v>205</v>
      </c>
      <c r="D149" s="9" t="s">
        <v>230</v>
      </c>
      <c r="E149" s="9" t="s">
        <v>73</v>
      </c>
      <c r="F149" s="9" t="s">
        <v>81</v>
      </c>
      <c r="G149" s="9" t="s">
        <v>24</v>
      </c>
      <c r="H149" s="9" t="s">
        <v>75</v>
      </c>
      <c r="I149" s="9">
        <v>4000011835</v>
      </c>
      <c r="J149" s="10">
        <v>14.04</v>
      </c>
      <c r="K149" s="10"/>
      <c r="L149" s="10">
        <f t="shared" si="36"/>
        <v>14.04</v>
      </c>
      <c r="M149" s="11">
        <v>0</v>
      </c>
      <c r="N149" s="10">
        <f t="shared" si="37"/>
        <v>0</v>
      </c>
      <c r="O149" s="10">
        <f t="shared" si="38"/>
        <v>14.04</v>
      </c>
      <c r="P149" s="11">
        <f t="shared" si="39"/>
        <v>5.5853920515574654E-2</v>
      </c>
      <c r="Q149" s="10">
        <f t="shared" si="40"/>
        <v>251.36999999999998</v>
      </c>
      <c r="R149" s="10">
        <f t="shared" si="41"/>
        <v>1750.5159999999998</v>
      </c>
      <c r="S149" s="10">
        <f t="shared" si="42"/>
        <v>97.773181525241668</v>
      </c>
      <c r="T149" s="9" t="s">
        <v>76</v>
      </c>
      <c r="U149" s="10">
        <v>3999</v>
      </c>
      <c r="V149" s="10">
        <f t="shared" si="43"/>
        <v>2799.2999999999997</v>
      </c>
      <c r="W149" s="166">
        <v>490110</v>
      </c>
      <c r="X149" s="12" t="s">
        <v>25</v>
      </c>
      <c r="Y149" s="12">
        <f t="shared" si="44"/>
        <v>97.773181525241668</v>
      </c>
      <c r="Z149" s="13">
        <f t="shared" si="45"/>
        <v>97.773181525241668</v>
      </c>
      <c r="AA149" s="13">
        <f t="shared" si="46"/>
        <v>97.773181525241668</v>
      </c>
      <c r="AB149" s="13">
        <f t="shared" si="47"/>
        <v>14.04</v>
      </c>
      <c r="AC149" s="13">
        <f t="shared" si="48"/>
        <v>83.733181525241662</v>
      </c>
      <c r="AD149" s="14">
        <f t="shared" si="49"/>
        <v>0.85640234079551392</v>
      </c>
      <c r="AE149" s="14">
        <f t="shared" si="50"/>
        <v>5.9639018180371561</v>
      </c>
      <c r="AF149" s="13" t="str">
        <f>IF(AD149&gt;=Assumptions!$B$3,"OK","Review")</f>
        <v>OK</v>
      </c>
      <c r="AG149" s="13">
        <f>IFERROR(IF(Assumptions!$B$13="Cost Price",AB149,AA149)*SUMIF(Assumptions!$A$6:$A$10,X149,Assumptions!$B$6:$B$10),0)</f>
        <v>7.8218545220193336</v>
      </c>
      <c r="AH149" s="13">
        <f>IFERROR(IF(Assumptions!$B$13="Cost Price",AB149,AA149)*SUMIF(Assumptions!$A$6:$A$10,X149,Assumptions!$C$6:$C$10),0)</f>
        <v>4.8886590762620834</v>
      </c>
      <c r="AI149" s="13">
        <f>IFERROR(IF(Assumptions!$B$13="Cost Price",AB149,AA149)*SUMIF(Assumptions!$A$6:$A$10,X149,Assumptions!$D$6:$D$10),0)</f>
        <v>9.7773181525241668</v>
      </c>
      <c r="AJ149" s="13">
        <v>16.478112996777664</v>
      </c>
      <c r="AK149" s="13">
        <f t="shared" si="51"/>
        <v>38.965944747583251</v>
      </c>
      <c r="AL149" s="14">
        <v>0.33</v>
      </c>
      <c r="AM149" s="13">
        <f t="shared" si="52"/>
        <v>44.767236777658411</v>
      </c>
      <c r="AN149" s="14">
        <f t="shared" si="53"/>
        <v>0.45786826284364135</v>
      </c>
      <c r="AO149" t="str">
        <f>IF(AN149&gt;=Assumptions!$B$3,"OK","Review")</f>
        <v>OK</v>
      </c>
    </row>
    <row r="150" spans="1:41" ht="15" customHeight="1">
      <c r="A150" s="9" t="s">
        <v>70</v>
      </c>
      <c r="B150" s="9" t="s">
        <v>45</v>
      </c>
      <c r="C150" s="9" t="s">
        <v>202</v>
      </c>
      <c r="D150" s="9" t="s">
        <v>231</v>
      </c>
      <c r="E150" s="9" t="s">
        <v>73</v>
      </c>
      <c r="F150" s="9" t="s">
        <v>74</v>
      </c>
      <c r="G150" s="9" t="s">
        <v>24</v>
      </c>
      <c r="H150" s="9" t="s">
        <v>84</v>
      </c>
      <c r="I150" s="9">
        <v>4000011836</v>
      </c>
      <c r="J150" s="10">
        <v>36.79</v>
      </c>
      <c r="K150" s="10"/>
      <c r="L150" s="10">
        <f t="shared" si="36"/>
        <v>36.79</v>
      </c>
      <c r="M150" s="11">
        <v>0</v>
      </c>
      <c r="N150" s="10">
        <f t="shared" si="37"/>
        <v>0</v>
      </c>
      <c r="O150" s="10">
        <f t="shared" si="38"/>
        <v>36.79</v>
      </c>
      <c r="P150" s="11">
        <f t="shared" si="39"/>
        <v>0.14635795838803359</v>
      </c>
      <c r="Q150" s="10">
        <f t="shared" si="40"/>
        <v>251.36999999999998</v>
      </c>
      <c r="R150" s="10">
        <f t="shared" si="41"/>
        <v>1750.5159999999998</v>
      </c>
      <c r="S150" s="10">
        <f t="shared" si="42"/>
        <v>256.201947885587</v>
      </c>
      <c r="T150" s="9" t="s">
        <v>76</v>
      </c>
      <c r="U150" s="10">
        <v>3999</v>
      </c>
      <c r="V150" s="10">
        <f t="shared" si="43"/>
        <v>2799.2999999999997</v>
      </c>
      <c r="W150" s="166">
        <v>490110</v>
      </c>
      <c r="X150" s="12" t="s">
        <v>25</v>
      </c>
      <c r="Y150" s="12">
        <f t="shared" si="44"/>
        <v>256.201947885587</v>
      </c>
      <c r="Z150" s="13">
        <f t="shared" si="45"/>
        <v>256.201947885587</v>
      </c>
      <c r="AA150" s="13">
        <f t="shared" si="46"/>
        <v>256.201947885587</v>
      </c>
      <c r="AB150" s="13">
        <f t="shared" si="47"/>
        <v>36.79</v>
      </c>
      <c r="AC150" s="13">
        <f t="shared" si="48"/>
        <v>219.41194788558701</v>
      </c>
      <c r="AD150" s="14">
        <f t="shared" si="49"/>
        <v>0.85640234079551403</v>
      </c>
      <c r="AE150" s="14">
        <f t="shared" si="50"/>
        <v>5.963901818037157</v>
      </c>
      <c r="AF150" s="13" t="str">
        <f>IF(AD150&gt;=Assumptions!$B$3,"OK","Review")</f>
        <v>OK</v>
      </c>
      <c r="AG150" s="13">
        <f>IFERROR(IF(Assumptions!$B$13="Cost Price",AB150,AA150)*SUMIF(Assumptions!$A$6:$A$10,X150,Assumptions!$B$6:$B$10),0)</f>
        <v>20.496155830846959</v>
      </c>
      <c r="AH150" s="13">
        <f>IFERROR(IF(Assumptions!$B$13="Cost Price",AB150,AA150)*SUMIF(Assumptions!$A$6:$A$10,X150,Assumptions!$C$6:$C$10),0)</f>
        <v>12.810097394279351</v>
      </c>
      <c r="AI150" s="13">
        <f>IFERROR(IF(Assumptions!$B$13="Cost Price",AB150,AA150)*SUMIF(Assumptions!$A$6:$A$10,X150,Assumptions!$D$6:$D$10),0)</f>
        <v>25.620194788558702</v>
      </c>
      <c r="AJ150" s="13">
        <v>43.178759056371099</v>
      </c>
      <c r="AK150" s="13">
        <f t="shared" si="51"/>
        <v>102.10520707005611</v>
      </c>
      <c r="AL150" s="14">
        <v>0.33</v>
      </c>
      <c r="AM150" s="13">
        <f t="shared" si="52"/>
        <v>117.3067408155309</v>
      </c>
      <c r="AN150" s="14">
        <f t="shared" si="53"/>
        <v>0.45786826284364152</v>
      </c>
      <c r="AO150" t="str">
        <f>IF(AN150&gt;=Assumptions!$B$3,"OK","Review")</f>
        <v>OK</v>
      </c>
    </row>
    <row r="151" spans="1:41" ht="15" customHeight="1">
      <c r="A151" s="9" t="s">
        <v>70</v>
      </c>
      <c r="B151" s="9" t="s">
        <v>45</v>
      </c>
      <c r="C151" s="9" t="s">
        <v>202</v>
      </c>
      <c r="D151" s="9" t="s">
        <v>232</v>
      </c>
      <c r="E151" s="9" t="s">
        <v>73</v>
      </c>
      <c r="F151" s="9" t="s">
        <v>74</v>
      </c>
      <c r="G151" s="9" t="s">
        <v>24</v>
      </c>
      <c r="H151" s="9" t="s">
        <v>84</v>
      </c>
      <c r="I151" s="9">
        <v>4000011838</v>
      </c>
      <c r="J151" s="10">
        <v>14.04</v>
      </c>
      <c r="K151" s="10"/>
      <c r="L151" s="10">
        <f t="shared" si="36"/>
        <v>14.04</v>
      </c>
      <c r="M151" s="11">
        <v>0</v>
      </c>
      <c r="N151" s="10">
        <f t="shared" si="37"/>
        <v>0</v>
      </c>
      <c r="O151" s="10">
        <f t="shared" si="38"/>
        <v>14.04</v>
      </c>
      <c r="P151" s="11">
        <f t="shared" si="39"/>
        <v>5.5853920515574654E-2</v>
      </c>
      <c r="Q151" s="10">
        <f t="shared" si="40"/>
        <v>251.36999999999998</v>
      </c>
      <c r="R151" s="10">
        <f t="shared" si="41"/>
        <v>1750.5159999999998</v>
      </c>
      <c r="S151" s="10">
        <f t="shared" si="42"/>
        <v>97.773181525241668</v>
      </c>
      <c r="T151" s="9" t="s">
        <v>76</v>
      </c>
      <c r="U151" s="10">
        <v>3999</v>
      </c>
      <c r="V151" s="10">
        <f t="shared" si="43"/>
        <v>2799.2999999999997</v>
      </c>
      <c r="W151" s="166">
        <v>490110</v>
      </c>
      <c r="X151" s="12" t="s">
        <v>25</v>
      </c>
      <c r="Y151" s="12">
        <f t="shared" si="44"/>
        <v>97.773181525241668</v>
      </c>
      <c r="Z151" s="13">
        <f t="shared" si="45"/>
        <v>97.773181525241668</v>
      </c>
      <c r="AA151" s="13">
        <f t="shared" si="46"/>
        <v>97.773181525241668</v>
      </c>
      <c r="AB151" s="13">
        <f t="shared" si="47"/>
        <v>14.04</v>
      </c>
      <c r="AC151" s="13">
        <f t="shared" si="48"/>
        <v>83.733181525241662</v>
      </c>
      <c r="AD151" s="14">
        <f t="shared" si="49"/>
        <v>0.85640234079551392</v>
      </c>
      <c r="AE151" s="14">
        <f t="shared" si="50"/>
        <v>5.9639018180371561</v>
      </c>
      <c r="AF151" s="13" t="str">
        <f>IF(AD151&gt;=Assumptions!$B$3,"OK","Review")</f>
        <v>OK</v>
      </c>
      <c r="AG151" s="13">
        <f>IFERROR(IF(Assumptions!$B$13="Cost Price",AB151,AA151)*SUMIF(Assumptions!$A$6:$A$10,X151,Assumptions!$B$6:$B$10),0)</f>
        <v>7.8218545220193336</v>
      </c>
      <c r="AH151" s="13">
        <f>IFERROR(IF(Assumptions!$B$13="Cost Price",AB151,AA151)*SUMIF(Assumptions!$A$6:$A$10,X151,Assumptions!$C$6:$C$10),0)</f>
        <v>4.8886590762620834</v>
      </c>
      <c r="AI151" s="13">
        <f>IFERROR(IF(Assumptions!$B$13="Cost Price",AB151,AA151)*SUMIF(Assumptions!$A$6:$A$10,X151,Assumptions!$D$6:$D$10),0)</f>
        <v>9.7773181525241668</v>
      </c>
      <c r="AJ151" s="13">
        <v>16.478112996777664</v>
      </c>
      <c r="AK151" s="13">
        <f t="shared" si="51"/>
        <v>38.965944747583251</v>
      </c>
      <c r="AL151" s="14">
        <v>0.33</v>
      </c>
      <c r="AM151" s="13">
        <f t="shared" si="52"/>
        <v>44.767236777658411</v>
      </c>
      <c r="AN151" s="14">
        <f t="shared" si="53"/>
        <v>0.45786826284364135</v>
      </c>
      <c r="AO151" t="str">
        <f>IF(AN151&gt;=Assumptions!$B$3,"OK","Review")</f>
        <v>OK</v>
      </c>
    </row>
    <row r="152" spans="1:41" ht="15" customHeight="1">
      <c r="A152" s="9" t="s">
        <v>70</v>
      </c>
      <c r="B152" s="9" t="s">
        <v>45</v>
      </c>
      <c r="C152" s="9" t="s">
        <v>205</v>
      </c>
      <c r="D152" s="9" t="s">
        <v>233</v>
      </c>
      <c r="E152" s="9" t="s">
        <v>73</v>
      </c>
      <c r="F152" s="9" t="s">
        <v>81</v>
      </c>
      <c r="G152" s="9" t="s">
        <v>24</v>
      </c>
      <c r="H152" s="9" t="s">
        <v>84</v>
      </c>
      <c r="I152" s="9">
        <v>4000011839</v>
      </c>
      <c r="J152" s="10">
        <v>58.1</v>
      </c>
      <c r="K152" s="10"/>
      <c r="L152" s="10">
        <f t="shared" si="36"/>
        <v>58.1</v>
      </c>
      <c r="M152" s="11">
        <v>0</v>
      </c>
      <c r="N152" s="10">
        <f t="shared" si="37"/>
        <v>0</v>
      </c>
      <c r="O152" s="10">
        <f t="shared" si="38"/>
        <v>58.1</v>
      </c>
      <c r="P152" s="11">
        <f t="shared" si="39"/>
        <v>0.23113338902812589</v>
      </c>
      <c r="Q152" s="10">
        <f t="shared" si="40"/>
        <v>251.36999999999998</v>
      </c>
      <c r="R152" s="10">
        <f t="shared" si="41"/>
        <v>1750.5159999999998</v>
      </c>
      <c r="S152" s="10">
        <f t="shared" si="42"/>
        <v>404.60269562795878</v>
      </c>
      <c r="T152" s="9" t="s">
        <v>76</v>
      </c>
      <c r="U152" s="10">
        <v>3999</v>
      </c>
      <c r="V152" s="10">
        <f t="shared" si="43"/>
        <v>2799.2999999999997</v>
      </c>
      <c r="W152" s="166">
        <v>490110</v>
      </c>
      <c r="X152" s="12" t="s">
        <v>25</v>
      </c>
      <c r="Y152" s="12">
        <f t="shared" si="44"/>
        <v>404.60269562795878</v>
      </c>
      <c r="Z152" s="13">
        <f t="shared" si="45"/>
        <v>404.60269562795878</v>
      </c>
      <c r="AA152" s="13">
        <f t="shared" si="46"/>
        <v>404.60269562795878</v>
      </c>
      <c r="AB152" s="13">
        <f t="shared" si="47"/>
        <v>58.1</v>
      </c>
      <c r="AC152" s="13">
        <f t="shared" si="48"/>
        <v>346.50269562795876</v>
      </c>
      <c r="AD152" s="14">
        <f t="shared" si="49"/>
        <v>0.85640234079551392</v>
      </c>
      <c r="AE152" s="14">
        <f t="shared" si="50"/>
        <v>5.9639018180371561</v>
      </c>
      <c r="AF152" s="13" t="str">
        <f>IF(AD152&gt;=Assumptions!$B$3,"OK","Review")</f>
        <v>OK</v>
      </c>
      <c r="AG152" s="13">
        <f>IFERROR(IF(Assumptions!$B$13="Cost Price",AB152,AA152)*SUMIF(Assumptions!$A$6:$A$10,X152,Assumptions!$B$6:$B$10),0)</f>
        <v>32.368215650236706</v>
      </c>
      <c r="AH152" s="13">
        <f>IFERROR(IF(Assumptions!$B$13="Cost Price",AB152,AA152)*SUMIF(Assumptions!$A$6:$A$10,X152,Assumptions!$C$6:$C$10),0)</f>
        <v>20.23013478139794</v>
      </c>
      <c r="AI152" s="13">
        <f>IFERROR(IF(Assumptions!$B$13="Cost Price",AB152,AA152)*SUMIF(Assumptions!$A$6:$A$10,X152,Assumptions!$D$6:$D$10),0)</f>
        <v>40.460269562795879</v>
      </c>
      <c r="AJ152" s="13">
        <v>68.189342244500153</v>
      </c>
      <c r="AK152" s="13">
        <f t="shared" si="51"/>
        <v>161.24796223893068</v>
      </c>
      <c r="AL152" s="14">
        <v>0.33</v>
      </c>
      <c r="AM152" s="13">
        <f t="shared" si="52"/>
        <v>185.25473338902808</v>
      </c>
      <c r="AN152" s="14">
        <f t="shared" si="53"/>
        <v>0.4578682628436414</v>
      </c>
      <c r="AO152" t="str">
        <f>IF(AN152&gt;=Assumptions!$B$3,"OK","Review")</f>
        <v>OK</v>
      </c>
    </row>
    <row r="153" spans="1:41" ht="15" customHeight="1">
      <c r="A153" s="9" t="s">
        <v>70</v>
      </c>
      <c r="B153" s="9" t="s">
        <v>45</v>
      </c>
      <c r="C153" s="9" t="s">
        <v>205</v>
      </c>
      <c r="D153" s="9" t="s">
        <v>234</v>
      </c>
      <c r="E153" s="9" t="s">
        <v>73</v>
      </c>
      <c r="F153" s="9" t="s">
        <v>81</v>
      </c>
      <c r="G153" s="9" t="s">
        <v>24</v>
      </c>
      <c r="H153" s="9" t="s">
        <v>84</v>
      </c>
      <c r="I153" s="9">
        <v>4000011840</v>
      </c>
      <c r="J153" s="10">
        <v>15.47</v>
      </c>
      <c r="K153" s="10"/>
      <c r="L153" s="10">
        <f t="shared" si="36"/>
        <v>15.47</v>
      </c>
      <c r="M153" s="11">
        <v>0</v>
      </c>
      <c r="N153" s="10">
        <f t="shared" si="37"/>
        <v>0</v>
      </c>
      <c r="O153" s="10">
        <f t="shared" si="38"/>
        <v>15.47</v>
      </c>
      <c r="P153" s="11">
        <f t="shared" si="39"/>
        <v>6.154274575327208E-2</v>
      </c>
      <c r="Q153" s="10">
        <f t="shared" si="40"/>
        <v>251.36999999999998</v>
      </c>
      <c r="R153" s="10">
        <f t="shared" si="41"/>
        <v>1750.5159999999998</v>
      </c>
      <c r="S153" s="10">
        <f t="shared" si="42"/>
        <v>107.73156112503482</v>
      </c>
      <c r="T153" s="9" t="s">
        <v>76</v>
      </c>
      <c r="U153" s="10">
        <v>3999</v>
      </c>
      <c r="V153" s="10">
        <f t="shared" si="43"/>
        <v>2799.2999999999997</v>
      </c>
      <c r="W153" s="166">
        <v>490110</v>
      </c>
      <c r="X153" s="12" t="s">
        <v>25</v>
      </c>
      <c r="Y153" s="12">
        <f t="shared" si="44"/>
        <v>107.73156112503482</v>
      </c>
      <c r="Z153" s="13">
        <f t="shared" si="45"/>
        <v>107.73156112503482</v>
      </c>
      <c r="AA153" s="13">
        <f t="shared" si="46"/>
        <v>107.73156112503482</v>
      </c>
      <c r="AB153" s="13">
        <f t="shared" si="47"/>
        <v>15.47</v>
      </c>
      <c r="AC153" s="13">
        <f t="shared" si="48"/>
        <v>92.261561125034817</v>
      </c>
      <c r="AD153" s="14">
        <f t="shared" si="49"/>
        <v>0.85640234079551403</v>
      </c>
      <c r="AE153" s="14">
        <f t="shared" si="50"/>
        <v>5.963901818037157</v>
      </c>
      <c r="AF153" s="13" t="str">
        <f>IF(AD153&gt;=Assumptions!$B$3,"OK","Review")</f>
        <v>OK</v>
      </c>
      <c r="AG153" s="13">
        <f>IFERROR(IF(Assumptions!$B$13="Cost Price",AB153,AA153)*SUMIF(Assumptions!$A$6:$A$10,X153,Assumptions!$B$6:$B$10),0)</f>
        <v>8.6185248900027851</v>
      </c>
      <c r="AH153" s="13">
        <f>IFERROR(IF(Assumptions!$B$13="Cost Price",AB153,AA153)*SUMIF(Assumptions!$A$6:$A$10,X153,Assumptions!$C$6:$C$10),0)</f>
        <v>5.3865780562517411</v>
      </c>
      <c r="AI153" s="13">
        <f>IFERROR(IF(Assumptions!$B$13="Cost Price",AB153,AA153)*SUMIF(Assumptions!$A$6:$A$10,X153,Assumptions!$D$6:$D$10),0)</f>
        <v>10.773156112503482</v>
      </c>
      <c r="AJ153" s="13">
        <v>18.156439320523539</v>
      </c>
      <c r="AK153" s="13">
        <f t="shared" si="51"/>
        <v>42.934698379281549</v>
      </c>
      <c r="AL153" s="14">
        <v>0.33</v>
      </c>
      <c r="AM153" s="13">
        <f t="shared" si="52"/>
        <v>49.326862745753267</v>
      </c>
      <c r="AN153" s="14">
        <f t="shared" si="53"/>
        <v>0.45786826284364146</v>
      </c>
      <c r="AO153" t="str">
        <f>IF(AN153&gt;=Assumptions!$B$3,"OK","Review")</f>
        <v>OK</v>
      </c>
    </row>
    <row r="154" spans="1:41" ht="15" customHeight="1">
      <c r="A154" s="9" t="s">
        <v>70</v>
      </c>
      <c r="B154" s="9" t="s">
        <v>45</v>
      </c>
      <c r="C154" s="9" t="s">
        <v>88</v>
      </c>
      <c r="D154" s="9" t="s">
        <v>235</v>
      </c>
      <c r="E154" s="9" t="s">
        <v>73</v>
      </c>
      <c r="F154" s="9" t="s">
        <v>90</v>
      </c>
      <c r="G154" s="9" t="s">
        <v>24</v>
      </c>
      <c r="H154" s="9" t="s">
        <v>75</v>
      </c>
      <c r="I154" s="9">
        <v>7000000221</v>
      </c>
      <c r="J154" s="10">
        <v>338.4</v>
      </c>
      <c r="K154" s="10">
        <v>10</v>
      </c>
      <c r="L154" s="10">
        <f t="shared" si="36"/>
        <v>348.4</v>
      </c>
      <c r="M154" s="11">
        <v>0.18</v>
      </c>
      <c r="N154" s="10">
        <f t="shared" si="37"/>
        <v>62.711999999999996</v>
      </c>
      <c r="O154" s="10">
        <f t="shared" si="38"/>
        <v>411.11199999999997</v>
      </c>
      <c r="P154" s="11">
        <f t="shared" si="39"/>
        <v>0.78397839783978396</v>
      </c>
      <c r="Q154" s="10">
        <f t="shared" si="40"/>
        <v>524.39199999999994</v>
      </c>
      <c r="R154" s="10">
        <f t="shared" si="41"/>
        <v>1750.5159999999998</v>
      </c>
      <c r="S154" s="10">
        <f t="shared" si="42"/>
        <v>411.11199999999997</v>
      </c>
      <c r="T154" s="9" t="s">
        <v>91</v>
      </c>
      <c r="U154" s="10">
        <v>3999</v>
      </c>
      <c r="V154" s="10">
        <f t="shared" si="43"/>
        <v>2799.2999999999997</v>
      </c>
      <c r="W154" s="166">
        <v>49119990</v>
      </c>
      <c r="X154" s="12" t="s">
        <v>25</v>
      </c>
      <c r="Y154" s="12">
        <f t="shared" si="44"/>
        <v>411.11199999999997</v>
      </c>
      <c r="Z154" s="13">
        <f t="shared" si="45"/>
        <v>411.11199999999997</v>
      </c>
      <c r="AA154" s="13">
        <f t="shared" si="46"/>
        <v>348.4</v>
      </c>
      <c r="AB154" s="13">
        <f t="shared" si="47"/>
        <v>338.4</v>
      </c>
      <c r="AC154" s="13">
        <f t="shared" si="48"/>
        <v>10</v>
      </c>
      <c r="AD154" s="14">
        <f t="shared" si="49"/>
        <v>2.8702640642939151E-2</v>
      </c>
      <c r="AE154" s="14">
        <f t="shared" si="50"/>
        <v>2.955082742316785E-2</v>
      </c>
      <c r="AF154" s="13" t="str">
        <f>IF(AD154&gt;=Assumptions!$B$3,"OK","Review")</f>
        <v>Review</v>
      </c>
      <c r="AG154" s="13">
        <f>IFERROR(IF(Assumptions!$B$13="Cost Price",AB154,AA154)*SUMIF(Assumptions!$A$6:$A$10,X154,Assumptions!$B$6:$B$10),0)</f>
        <v>27.872</v>
      </c>
      <c r="AH154" s="13">
        <f>IFERROR(IF(Assumptions!$B$13="Cost Price",AB154,AA154)*SUMIF(Assumptions!$A$6:$A$10,X154,Assumptions!$C$6:$C$10),0)</f>
        <v>17.419999999999998</v>
      </c>
      <c r="AI154" s="13">
        <f>IFERROR(IF(Assumptions!$B$13="Cost Price",AB154,AA154)*SUMIF(Assumptions!$A$6:$A$10,X154,Assumptions!$D$6:$D$10),0)</f>
        <v>34.839999999999996</v>
      </c>
      <c r="AJ154" s="13">
        <v>34.839999999999996</v>
      </c>
      <c r="AK154" s="13">
        <f t="shared" si="51"/>
        <v>114.97200000000001</v>
      </c>
      <c r="AL154" s="14">
        <v>0.33</v>
      </c>
      <c r="AM154" s="13">
        <f t="shared" si="52"/>
        <v>-104.97200000000001</v>
      </c>
      <c r="AN154" s="14">
        <f t="shared" si="53"/>
        <v>-0.30129735935706087</v>
      </c>
      <c r="AO154" t="str">
        <f>IF(AN154&gt;=Assumptions!$B$3,"OK","Review")</f>
        <v>Review</v>
      </c>
    </row>
    <row r="155" spans="1:41" ht="15" customHeight="1">
      <c r="A155" s="9" t="s">
        <v>70</v>
      </c>
      <c r="B155" s="9" t="s">
        <v>45</v>
      </c>
      <c r="C155" s="9" t="s">
        <v>92</v>
      </c>
      <c r="D155" s="9" t="s">
        <v>93</v>
      </c>
      <c r="E155" s="9" t="s">
        <v>73</v>
      </c>
      <c r="F155" s="9" t="s">
        <v>94</v>
      </c>
      <c r="G155" s="9" t="s">
        <v>24</v>
      </c>
      <c r="H155" s="9" t="s">
        <v>75</v>
      </c>
      <c r="I155" s="9">
        <v>8400007</v>
      </c>
      <c r="J155" s="10">
        <v>96</v>
      </c>
      <c r="K155" s="10"/>
      <c r="L155" s="10">
        <f t="shared" si="36"/>
        <v>96</v>
      </c>
      <c r="M155" s="11">
        <v>0.18</v>
      </c>
      <c r="N155" s="10">
        <f t="shared" si="37"/>
        <v>17.28</v>
      </c>
      <c r="O155" s="10">
        <f t="shared" si="38"/>
        <v>113.28</v>
      </c>
      <c r="P155" s="11">
        <f t="shared" si="39"/>
        <v>0.21602160216021604</v>
      </c>
      <c r="Q155" s="10">
        <f t="shared" si="40"/>
        <v>524.39199999999994</v>
      </c>
      <c r="R155" s="10">
        <f t="shared" si="41"/>
        <v>1750.5159999999998</v>
      </c>
      <c r="S155" s="10">
        <f t="shared" si="42"/>
        <v>113.28</v>
      </c>
      <c r="T155" s="9" t="s">
        <v>91</v>
      </c>
      <c r="U155" s="10">
        <v>3999</v>
      </c>
      <c r="V155" s="10">
        <f t="shared" si="43"/>
        <v>2799.2999999999997</v>
      </c>
      <c r="W155" s="166">
        <v>999299</v>
      </c>
      <c r="X155" s="12" t="s">
        <v>25</v>
      </c>
      <c r="Y155" s="12">
        <f t="shared" si="44"/>
        <v>113.28</v>
      </c>
      <c r="Z155" s="13">
        <f t="shared" si="45"/>
        <v>113.28</v>
      </c>
      <c r="AA155" s="13">
        <f t="shared" si="46"/>
        <v>96</v>
      </c>
      <c r="AB155" s="13">
        <f t="shared" si="47"/>
        <v>96</v>
      </c>
      <c r="AC155" s="13">
        <f t="shared" si="48"/>
        <v>0</v>
      </c>
      <c r="AD155" s="14">
        <f t="shared" si="49"/>
        <v>0</v>
      </c>
      <c r="AE155" s="14">
        <f t="shared" si="50"/>
        <v>0</v>
      </c>
      <c r="AF155" s="13" t="str">
        <f>IF(AD155&gt;=Assumptions!$B$3,"OK","Review")</f>
        <v>Review</v>
      </c>
      <c r="AG155" s="13">
        <f>IFERROR(IF(Assumptions!$B$13="Cost Price",AB155,AA155)*SUMIF(Assumptions!$A$6:$A$10,X155,Assumptions!$B$6:$B$10),0)</f>
        <v>7.68</v>
      </c>
      <c r="AH155" s="13">
        <f>IFERROR(IF(Assumptions!$B$13="Cost Price",AB155,AA155)*SUMIF(Assumptions!$A$6:$A$10,X155,Assumptions!$C$6:$C$10),0)</f>
        <v>4.8000000000000007</v>
      </c>
      <c r="AI155" s="13">
        <f>IFERROR(IF(Assumptions!$B$13="Cost Price",AB155,AA155)*SUMIF(Assumptions!$A$6:$A$10,X155,Assumptions!$D$6:$D$10),0)</f>
        <v>9.6000000000000014</v>
      </c>
      <c r="AJ155" s="13">
        <v>9.6000000000000014</v>
      </c>
      <c r="AK155" s="13">
        <f t="shared" si="51"/>
        <v>31.680000000000003</v>
      </c>
      <c r="AL155" s="14">
        <v>0.33</v>
      </c>
      <c r="AM155" s="13">
        <f t="shared" si="52"/>
        <v>-31.680000000000003</v>
      </c>
      <c r="AN155" s="14">
        <f t="shared" si="53"/>
        <v>-0.33</v>
      </c>
      <c r="AO155" t="str">
        <f>IF(AN155&gt;=Assumptions!$B$3,"OK","Review")</f>
        <v>Review</v>
      </c>
    </row>
    <row r="156" spans="1:41" ht="15" customHeight="1">
      <c r="A156" s="9" t="s">
        <v>70</v>
      </c>
      <c r="B156" s="9" t="s">
        <v>46</v>
      </c>
      <c r="C156" s="9" t="s">
        <v>200</v>
      </c>
      <c r="D156" s="9" t="s">
        <v>236</v>
      </c>
      <c r="E156" s="9" t="s">
        <v>73</v>
      </c>
      <c r="F156" s="9" t="s">
        <v>74</v>
      </c>
      <c r="G156" s="9" t="s">
        <v>24</v>
      </c>
      <c r="H156" s="9" t="s">
        <v>75</v>
      </c>
      <c r="I156" s="9">
        <v>4000011841</v>
      </c>
      <c r="J156" s="10">
        <v>31.85</v>
      </c>
      <c r="K156" s="10"/>
      <c r="L156" s="10">
        <f t="shared" si="36"/>
        <v>31.85</v>
      </c>
      <c r="M156" s="11">
        <v>0</v>
      </c>
      <c r="N156" s="10">
        <f t="shared" si="37"/>
        <v>0</v>
      </c>
      <c r="O156" s="10">
        <f t="shared" si="38"/>
        <v>31.85</v>
      </c>
      <c r="P156" s="11">
        <f t="shared" si="39"/>
        <v>9.7159940209267562E-2</v>
      </c>
      <c r="Q156" s="10">
        <f t="shared" si="40"/>
        <v>327.81</v>
      </c>
      <c r="R156" s="10">
        <f t="shared" si="41"/>
        <v>1379.0519999999997</v>
      </c>
      <c r="S156" s="10">
        <f t="shared" si="42"/>
        <v>133.98860986547081</v>
      </c>
      <c r="T156" s="9" t="s">
        <v>76</v>
      </c>
      <c r="U156" s="10">
        <v>3999</v>
      </c>
      <c r="V156" s="10">
        <f t="shared" si="43"/>
        <v>2799.2999999999997</v>
      </c>
      <c r="W156" s="166">
        <v>490110</v>
      </c>
      <c r="X156" s="12" t="s">
        <v>25</v>
      </c>
      <c r="Y156" s="12">
        <f t="shared" si="44"/>
        <v>133.98860986547081</v>
      </c>
      <c r="Z156" s="13">
        <f t="shared" si="45"/>
        <v>133.98860986547081</v>
      </c>
      <c r="AA156" s="13">
        <f t="shared" si="46"/>
        <v>133.98860986547081</v>
      </c>
      <c r="AB156" s="13">
        <f t="shared" si="47"/>
        <v>31.85</v>
      </c>
      <c r="AC156" s="13">
        <f t="shared" si="48"/>
        <v>102.13860986547081</v>
      </c>
      <c r="AD156" s="14">
        <f t="shared" si="49"/>
        <v>0.76229322752151474</v>
      </c>
      <c r="AE156" s="14">
        <f t="shared" si="50"/>
        <v>3.2068637320398996</v>
      </c>
      <c r="AF156" s="13" t="str">
        <f>IF(AD156&gt;=Assumptions!$B$3,"OK","Review")</f>
        <v>OK</v>
      </c>
      <c r="AG156" s="13">
        <f>IFERROR(IF(Assumptions!$B$13="Cost Price",AB156,AA156)*SUMIF(Assumptions!$A$6:$A$10,X156,Assumptions!$B$6:$B$10),0)</f>
        <v>10.719088789237665</v>
      </c>
      <c r="AH156" s="13">
        <f>IFERROR(IF(Assumptions!$B$13="Cost Price",AB156,AA156)*SUMIF(Assumptions!$A$6:$A$10,X156,Assumptions!$C$6:$C$10),0)</f>
        <v>6.6994304932735407</v>
      </c>
      <c r="AI156" s="13">
        <f>IFERROR(IF(Assumptions!$B$13="Cost Price",AB156,AA156)*SUMIF(Assumptions!$A$6:$A$10,X156,Assumptions!$D$6:$D$10),0)</f>
        <v>13.398860986547081</v>
      </c>
      <c r="AJ156" s="13">
        <v>25.055139013452916</v>
      </c>
      <c r="AK156" s="13">
        <f t="shared" si="51"/>
        <v>55.872519282511206</v>
      </c>
      <c r="AL156" s="14">
        <v>0.33</v>
      </c>
      <c r="AM156" s="13">
        <f t="shared" si="52"/>
        <v>46.266090582959606</v>
      </c>
      <c r="AN156" s="14">
        <f t="shared" si="53"/>
        <v>0.3452986834434088</v>
      </c>
      <c r="AO156" t="str">
        <f>IF(AN156&gt;=Assumptions!$B$3,"OK","Review")</f>
        <v>OK</v>
      </c>
    </row>
    <row r="157" spans="1:41" ht="15" customHeight="1">
      <c r="A157" s="9" t="s">
        <v>70</v>
      </c>
      <c r="B157" s="9" t="s">
        <v>46</v>
      </c>
      <c r="C157" s="9" t="s">
        <v>202</v>
      </c>
      <c r="D157" s="9" t="s">
        <v>237</v>
      </c>
      <c r="E157" s="9" t="s">
        <v>73</v>
      </c>
      <c r="F157" s="9" t="s">
        <v>74</v>
      </c>
      <c r="G157" s="9" t="s">
        <v>24</v>
      </c>
      <c r="H157" s="9" t="s">
        <v>75</v>
      </c>
      <c r="I157" s="9">
        <v>4000011842</v>
      </c>
      <c r="J157" s="10">
        <v>59.62</v>
      </c>
      <c r="K157" s="10"/>
      <c r="L157" s="10">
        <f t="shared" si="36"/>
        <v>59.62</v>
      </c>
      <c r="M157" s="11">
        <v>0</v>
      </c>
      <c r="N157" s="10">
        <f t="shared" si="37"/>
        <v>0</v>
      </c>
      <c r="O157" s="10">
        <f t="shared" si="38"/>
        <v>59.62</v>
      </c>
      <c r="P157" s="11">
        <f t="shared" si="39"/>
        <v>0.18187364631951433</v>
      </c>
      <c r="Q157" s="10">
        <f t="shared" si="40"/>
        <v>327.81</v>
      </c>
      <c r="R157" s="10">
        <f t="shared" si="41"/>
        <v>1379.0519999999997</v>
      </c>
      <c r="S157" s="10">
        <f t="shared" si="42"/>
        <v>250.81321570421883</v>
      </c>
      <c r="T157" s="9" t="s">
        <v>76</v>
      </c>
      <c r="U157" s="10">
        <v>3999</v>
      </c>
      <c r="V157" s="10">
        <f t="shared" si="43"/>
        <v>2799.2999999999997</v>
      </c>
      <c r="W157" s="166">
        <v>490110</v>
      </c>
      <c r="X157" s="12" t="s">
        <v>25</v>
      </c>
      <c r="Y157" s="12">
        <f t="shared" si="44"/>
        <v>250.81321570421883</v>
      </c>
      <c r="Z157" s="13">
        <f t="shared" si="45"/>
        <v>250.81321570421883</v>
      </c>
      <c r="AA157" s="13">
        <f t="shared" si="46"/>
        <v>250.81321570421883</v>
      </c>
      <c r="AB157" s="13">
        <f t="shared" si="47"/>
        <v>59.62</v>
      </c>
      <c r="AC157" s="13">
        <f t="shared" si="48"/>
        <v>191.19321570421883</v>
      </c>
      <c r="AD157" s="14">
        <f t="shared" si="49"/>
        <v>0.76229322752151474</v>
      </c>
      <c r="AE157" s="14">
        <f t="shared" si="50"/>
        <v>3.2068637320399001</v>
      </c>
      <c r="AF157" s="13" t="str">
        <f>IF(AD157&gt;=Assumptions!$B$3,"OK","Review")</f>
        <v>OK</v>
      </c>
      <c r="AG157" s="13">
        <f>IFERROR(IF(Assumptions!$B$13="Cost Price",AB157,AA157)*SUMIF(Assumptions!$A$6:$A$10,X157,Assumptions!$B$6:$B$10),0)</f>
        <v>20.065057256337507</v>
      </c>
      <c r="AH157" s="13">
        <f>IFERROR(IF(Assumptions!$B$13="Cost Price",AB157,AA157)*SUMIF(Assumptions!$A$6:$A$10,X157,Assumptions!$C$6:$C$10),0)</f>
        <v>12.540660785210942</v>
      </c>
      <c r="AI157" s="13">
        <f>IFERROR(IF(Assumptions!$B$13="Cost Price",AB157,AA157)*SUMIF(Assumptions!$A$6:$A$10,X157,Assumptions!$D$6:$D$10),0)</f>
        <v>25.081321570421885</v>
      </c>
      <c r="AJ157" s="13">
        <v>46.900702919374027</v>
      </c>
      <c r="AK157" s="13">
        <f t="shared" si="51"/>
        <v>104.58774253134436</v>
      </c>
      <c r="AL157" s="14">
        <v>0.33</v>
      </c>
      <c r="AM157" s="13">
        <f t="shared" si="52"/>
        <v>86.605473172874468</v>
      </c>
      <c r="AN157" s="14">
        <f t="shared" si="53"/>
        <v>0.3452986834434088</v>
      </c>
      <c r="AO157" t="str">
        <f>IF(AN157&gt;=Assumptions!$B$3,"OK","Review")</f>
        <v>OK</v>
      </c>
    </row>
    <row r="158" spans="1:41" ht="15" customHeight="1">
      <c r="A158" s="9" t="s">
        <v>70</v>
      </c>
      <c r="B158" s="9" t="s">
        <v>46</v>
      </c>
      <c r="C158" s="9" t="s">
        <v>205</v>
      </c>
      <c r="D158" s="9" t="s">
        <v>238</v>
      </c>
      <c r="E158" s="9" t="s">
        <v>73</v>
      </c>
      <c r="F158" s="9" t="s">
        <v>74</v>
      </c>
      <c r="G158" s="9" t="s">
        <v>24</v>
      </c>
      <c r="H158" s="9" t="s">
        <v>75</v>
      </c>
      <c r="I158" s="9">
        <v>4000011843</v>
      </c>
      <c r="J158" s="10">
        <v>83.8</v>
      </c>
      <c r="K158" s="10"/>
      <c r="L158" s="10">
        <f t="shared" si="36"/>
        <v>83.8</v>
      </c>
      <c r="M158" s="11">
        <v>0</v>
      </c>
      <c r="N158" s="10">
        <f t="shared" si="37"/>
        <v>0</v>
      </c>
      <c r="O158" s="10">
        <f t="shared" si="38"/>
        <v>83.8</v>
      </c>
      <c r="P158" s="11">
        <f t="shared" si="39"/>
        <v>0.25563588664165215</v>
      </c>
      <c r="Q158" s="10">
        <f t="shared" si="40"/>
        <v>327.81</v>
      </c>
      <c r="R158" s="10">
        <f t="shared" si="41"/>
        <v>1379.0519999999997</v>
      </c>
      <c r="S158" s="10">
        <f t="shared" si="42"/>
        <v>352.5351807449436</v>
      </c>
      <c r="T158" s="9" t="s">
        <v>76</v>
      </c>
      <c r="U158" s="10">
        <v>3999</v>
      </c>
      <c r="V158" s="10">
        <f t="shared" si="43"/>
        <v>2799.2999999999997</v>
      </c>
      <c r="W158" s="166">
        <v>490110</v>
      </c>
      <c r="X158" s="12" t="s">
        <v>25</v>
      </c>
      <c r="Y158" s="12">
        <f t="shared" si="44"/>
        <v>352.5351807449436</v>
      </c>
      <c r="Z158" s="13">
        <f t="shared" si="45"/>
        <v>352.5351807449436</v>
      </c>
      <c r="AA158" s="13">
        <f t="shared" si="46"/>
        <v>352.5351807449436</v>
      </c>
      <c r="AB158" s="13">
        <f t="shared" si="47"/>
        <v>83.8</v>
      </c>
      <c r="AC158" s="13">
        <f t="shared" si="48"/>
        <v>268.73518074494359</v>
      </c>
      <c r="AD158" s="14">
        <f t="shared" si="49"/>
        <v>0.76229322752151463</v>
      </c>
      <c r="AE158" s="14">
        <f t="shared" si="50"/>
        <v>3.2068637320398996</v>
      </c>
      <c r="AF158" s="13" t="str">
        <f>IF(AD158&gt;=Assumptions!$B$3,"OK","Review")</f>
        <v>OK</v>
      </c>
      <c r="AG158" s="13">
        <f>IFERROR(IF(Assumptions!$B$13="Cost Price",AB158,AA158)*SUMIF(Assumptions!$A$6:$A$10,X158,Assumptions!$B$6:$B$10),0)</f>
        <v>28.202814459595487</v>
      </c>
      <c r="AH158" s="13">
        <f>IFERROR(IF(Assumptions!$B$13="Cost Price",AB158,AA158)*SUMIF(Assumptions!$A$6:$A$10,X158,Assumptions!$C$6:$C$10),0)</f>
        <v>17.626759037247179</v>
      </c>
      <c r="AI158" s="13">
        <f>IFERROR(IF(Assumptions!$B$13="Cost Price",AB158,AA158)*SUMIF(Assumptions!$A$6:$A$10,X158,Assumptions!$D$6:$D$10),0)</f>
        <v>35.253518074494359</v>
      </c>
      <c r="AJ158" s="13">
        <v>65.92215539489338</v>
      </c>
      <c r="AK158" s="13">
        <f t="shared" si="51"/>
        <v>147.0052469662304</v>
      </c>
      <c r="AL158" s="14">
        <v>0.33</v>
      </c>
      <c r="AM158" s="13">
        <f t="shared" si="52"/>
        <v>121.72993377871319</v>
      </c>
      <c r="AN158" s="14">
        <f t="shared" si="53"/>
        <v>0.3452986834434088</v>
      </c>
      <c r="AO158" t="str">
        <f>IF(AN158&gt;=Assumptions!$B$3,"OK","Review")</f>
        <v>OK</v>
      </c>
    </row>
    <row r="159" spans="1:41" ht="15" customHeight="1">
      <c r="A159" s="9" t="s">
        <v>70</v>
      </c>
      <c r="B159" s="9" t="s">
        <v>46</v>
      </c>
      <c r="C159" s="9" t="s">
        <v>202</v>
      </c>
      <c r="D159" s="9" t="s">
        <v>239</v>
      </c>
      <c r="E159" s="9" t="s">
        <v>73</v>
      </c>
      <c r="F159" s="9" t="s">
        <v>74</v>
      </c>
      <c r="G159" s="9" t="s">
        <v>24</v>
      </c>
      <c r="H159" s="9" t="s">
        <v>84</v>
      </c>
      <c r="I159" s="9">
        <v>4000011844</v>
      </c>
      <c r="J159" s="10">
        <v>59.62</v>
      </c>
      <c r="K159" s="10"/>
      <c r="L159" s="10">
        <f t="shared" si="36"/>
        <v>59.62</v>
      </c>
      <c r="M159" s="11">
        <v>0</v>
      </c>
      <c r="N159" s="10">
        <f t="shared" si="37"/>
        <v>0</v>
      </c>
      <c r="O159" s="10">
        <f t="shared" si="38"/>
        <v>59.62</v>
      </c>
      <c r="P159" s="11">
        <f t="shared" si="39"/>
        <v>0.18187364631951433</v>
      </c>
      <c r="Q159" s="10">
        <f t="shared" si="40"/>
        <v>327.81</v>
      </c>
      <c r="R159" s="10">
        <f t="shared" si="41"/>
        <v>1379.0519999999997</v>
      </c>
      <c r="S159" s="10">
        <f t="shared" si="42"/>
        <v>250.81321570421883</v>
      </c>
      <c r="T159" s="9" t="s">
        <v>76</v>
      </c>
      <c r="U159" s="10">
        <v>3999</v>
      </c>
      <c r="V159" s="10">
        <f t="shared" si="43"/>
        <v>2799.2999999999997</v>
      </c>
      <c r="W159" s="166">
        <v>490110</v>
      </c>
      <c r="X159" s="12" t="s">
        <v>25</v>
      </c>
      <c r="Y159" s="12">
        <f t="shared" si="44"/>
        <v>250.81321570421883</v>
      </c>
      <c r="Z159" s="13">
        <f t="shared" si="45"/>
        <v>250.81321570421883</v>
      </c>
      <c r="AA159" s="13">
        <f t="shared" si="46"/>
        <v>250.81321570421883</v>
      </c>
      <c r="AB159" s="13">
        <f t="shared" si="47"/>
        <v>59.62</v>
      </c>
      <c r="AC159" s="13">
        <f t="shared" si="48"/>
        <v>191.19321570421883</v>
      </c>
      <c r="AD159" s="14">
        <f t="shared" si="49"/>
        <v>0.76229322752151474</v>
      </c>
      <c r="AE159" s="14">
        <f t="shared" si="50"/>
        <v>3.2068637320399001</v>
      </c>
      <c r="AF159" s="13" t="str">
        <f>IF(AD159&gt;=Assumptions!$B$3,"OK","Review")</f>
        <v>OK</v>
      </c>
      <c r="AG159" s="13">
        <f>IFERROR(IF(Assumptions!$B$13="Cost Price",AB159,AA159)*SUMIF(Assumptions!$A$6:$A$10,X159,Assumptions!$B$6:$B$10),0)</f>
        <v>20.065057256337507</v>
      </c>
      <c r="AH159" s="13">
        <f>IFERROR(IF(Assumptions!$B$13="Cost Price",AB159,AA159)*SUMIF(Assumptions!$A$6:$A$10,X159,Assumptions!$C$6:$C$10),0)</f>
        <v>12.540660785210942</v>
      </c>
      <c r="AI159" s="13">
        <f>IFERROR(IF(Assumptions!$B$13="Cost Price",AB159,AA159)*SUMIF(Assumptions!$A$6:$A$10,X159,Assumptions!$D$6:$D$10),0)</f>
        <v>25.081321570421885</v>
      </c>
      <c r="AJ159" s="13">
        <v>46.900702919374027</v>
      </c>
      <c r="AK159" s="13">
        <f t="shared" si="51"/>
        <v>104.58774253134436</v>
      </c>
      <c r="AL159" s="14">
        <v>0.33</v>
      </c>
      <c r="AM159" s="13">
        <f t="shared" si="52"/>
        <v>86.605473172874468</v>
      </c>
      <c r="AN159" s="14">
        <f t="shared" si="53"/>
        <v>0.3452986834434088</v>
      </c>
      <c r="AO159" t="str">
        <f>IF(AN159&gt;=Assumptions!$B$3,"OK","Review")</f>
        <v>OK</v>
      </c>
    </row>
    <row r="160" spans="1:41" ht="15" customHeight="1">
      <c r="A160" s="9" t="s">
        <v>70</v>
      </c>
      <c r="B160" s="9" t="s">
        <v>46</v>
      </c>
      <c r="C160" s="9" t="s">
        <v>205</v>
      </c>
      <c r="D160" s="9" t="s">
        <v>240</v>
      </c>
      <c r="E160" s="9" t="s">
        <v>73</v>
      </c>
      <c r="F160" s="9" t="s">
        <v>74</v>
      </c>
      <c r="G160" s="9" t="s">
        <v>24</v>
      </c>
      <c r="H160" s="9" t="s">
        <v>84</v>
      </c>
      <c r="I160" s="9">
        <v>4000011845</v>
      </c>
      <c r="J160" s="10">
        <v>92.92</v>
      </c>
      <c r="K160" s="10"/>
      <c r="L160" s="10">
        <f t="shared" si="36"/>
        <v>92.92</v>
      </c>
      <c r="M160" s="11">
        <v>0</v>
      </c>
      <c r="N160" s="10">
        <f t="shared" si="37"/>
        <v>0</v>
      </c>
      <c r="O160" s="10">
        <f t="shared" si="38"/>
        <v>92.92</v>
      </c>
      <c r="P160" s="11">
        <f t="shared" si="39"/>
        <v>0.28345688051005158</v>
      </c>
      <c r="Q160" s="10">
        <f t="shared" si="40"/>
        <v>327.81</v>
      </c>
      <c r="R160" s="10">
        <f t="shared" si="41"/>
        <v>1379.0519999999997</v>
      </c>
      <c r="S160" s="10">
        <f t="shared" si="42"/>
        <v>390.90177798114757</v>
      </c>
      <c r="T160" s="9" t="s">
        <v>76</v>
      </c>
      <c r="U160" s="10">
        <v>3999</v>
      </c>
      <c r="V160" s="10">
        <f t="shared" si="43"/>
        <v>2799.2999999999997</v>
      </c>
      <c r="W160" s="166">
        <v>490110</v>
      </c>
      <c r="X160" s="12" t="s">
        <v>25</v>
      </c>
      <c r="Y160" s="12">
        <f t="shared" si="44"/>
        <v>390.90177798114757</v>
      </c>
      <c r="Z160" s="13">
        <f t="shared" si="45"/>
        <v>390.90177798114757</v>
      </c>
      <c r="AA160" s="13">
        <f t="shared" si="46"/>
        <v>390.90177798114757</v>
      </c>
      <c r="AB160" s="13">
        <f t="shared" si="47"/>
        <v>92.92</v>
      </c>
      <c r="AC160" s="13">
        <f t="shared" si="48"/>
        <v>297.98177798114756</v>
      </c>
      <c r="AD160" s="14">
        <f t="shared" si="49"/>
        <v>0.76229322752151474</v>
      </c>
      <c r="AE160" s="14">
        <f t="shared" si="50"/>
        <v>3.2068637320399005</v>
      </c>
      <c r="AF160" s="13" t="str">
        <f>IF(AD160&gt;=Assumptions!$B$3,"OK","Review")</f>
        <v>OK</v>
      </c>
      <c r="AG160" s="13">
        <f>IFERROR(IF(Assumptions!$B$13="Cost Price",AB160,AA160)*SUMIF(Assumptions!$A$6:$A$10,X160,Assumptions!$B$6:$B$10),0)</f>
        <v>31.272142238491806</v>
      </c>
      <c r="AH160" s="13">
        <f>IFERROR(IF(Assumptions!$B$13="Cost Price",AB160,AA160)*SUMIF(Assumptions!$A$6:$A$10,X160,Assumptions!$C$6:$C$10),0)</f>
        <v>19.545088899057379</v>
      </c>
      <c r="AI160" s="13">
        <f>IFERROR(IF(Assumptions!$B$13="Cost Price",AB160,AA160)*SUMIF(Assumptions!$A$6:$A$10,X160,Assumptions!$D$6:$D$10),0)</f>
        <v>39.090177798114759</v>
      </c>
      <c r="AJ160" s="13">
        <v>73.096499752905657</v>
      </c>
      <c r="AK160" s="13">
        <f t="shared" si="51"/>
        <v>163.0039086885696</v>
      </c>
      <c r="AL160" s="14">
        <v>0.33</v>
      </c>
      <c r="AM160" s="13">
        <f t="shared" si="52"/>
        <v>134.97786929257796</v>
      </c>
      <c r="AN160" s="14">
        <f t="shared" si="53"/>
        <v>0.34529868344340886</v>
      </c>
      <c r="AO160" t="str">
        <f>IF(AN160&gt;=Assumptions!$B$3,"OK","Review")</f>
        <v>OK</v>
      </c>
    </row>
    <row r="161" spans="1:41" ht="15" customHeight="1">
      <c r="A161" s="9" t="s">
        <v>70</v>
      </c>
      <c r="B161" s="9" t="s">
        <v>46</v>
      </c>
      <c r="C161" s="9" t="s">
        <v>88</v>
      </c>
      <c r="D161" s="9" t="s">
        <v>241</v>
      </c>
      <c r="E161" s="9" t="s">
        <v>73</v>
      </c>
      <c r="F161" s="9" t="s">
        <v>90</v>
      </c>
      <c r="G161" s="9" t="s">
        <v>24</v>
      </c>
      <c r="H161" s="9" t="s">
        <v>75</v>
      </c>
      <c r="I161" s="9">
        <v>7000000222</v>
      </c>
      <c r="J161" s="10">
        <v>495.8</v>
      </c>
      <c r="K161" s="10">
        <v>10</v>
      </c>
      <c r="L161" s="10">
        <f t="shared" si="36"/>
        <v>505.8</v>
      </c>
      <c r="M161" s="11">
        <v>0.18</v>
      </c>
      <c r="N161" s="10">
        <f t="shared" si="37"/>
        <v>91.043999999999997</v>
      </c>
      <c r="O161" s="10">
        <f t="shared" si="38"/>
        <v>596.84400000000005</v>
      </c>
      <c r="P161" s="11">
        <f t="shared" si="39"/>
        <v>0.84047856430707879</v>
      </c>
      <c r="Q161" s="10">
        <f t="shared" si="40"/>
        <v>710.12400000000002</v>
      </c>
      <c r="R161" s="10">
        <f t="shared" si="41"/>
        <v>1379.0519999999997</v>
      </c>
      <c r="S161" s="10">
        <f t="shared" si="42"/>
        <v>596.84400000000005</v>
      </c>
      <c r="T161" s="9" t="s">
        <v>91</v>
      </c>
      <c r="U161" s="10">
        <v>3999</v>
      </c>
      <c r="V161" s="10">
        <f t="shared" si="43"/>
        <v>2799.2999999999997</v>
      </c>
      <c r="W161" s="166">
        <v>49119990</v>
      </c>
      <c r="X161" s="12" t="s">
        <v>25</v>
      </c>
      <c r="Y161" s="12">
        <f t="shared" si="44"/>
        <v>596.84400000000005</v>
      </c>
      <c r="Z161" s="13">
        <f t="shared" si="45"/>
        <v>596.84400000000005</v>
      </c>
      <c r="AA161" s="13">
        <f t="shared" si="46"/>
        <v>505.80000000000007</v>
      </c>
      <c r="AB161" s="13">
        <f t="shared" si="47"/>
        <v>495.8</v>
      </c>
      <c r="AC161" s="13">
        <f t="shared" si="48"/>
        <v>10.000000000000057</v>
      </c>
      <c r="AD161" s="14">
        <f t="shared" si="49"/>
        <v>1.9770660340055469E-2</v>
      </c>
      <c r="AE161" s="14">
        <f t="shared" si="50"/>
        <v>2.0169423154497896E-2</v>
      </c>
      <c r="AF161" s="13" t="str">
        <f>IF(AD161&gt;=Assumptions!$B$3,"OK","Review")</f>
        <v>Review</v>
      </c>
      <c r="AG161" s="13">
        <f>IFERROR(IF(Assumptions!$B$13="Cost Price",AB161,AA161)*SUMIF(Assumptions!$A$6:$A$10,X161,Assumptions!$B$6:$B$10),0)</f>
        <v>40.464000000000006</v>
      </c>
      <c r="AH161" s="13">
        <f>IFERROR(IF(Assumptions!$B$13="Cost Price",AB161,AA161)*SUMIF(Assumptions!$A$6:$A$10,X161,Assumptions!$C$6:$C$10),0)</f>
        <v>25.290000000000006</v>
      </c>
      <c r="AI161" s="13">
        <f>IFERROR(IF(Assumptions!$B$13="Cost Price",AB161,AA161)*SUMIF(Assumptions!$A$6:$A$10,X161,Assumptions!$D$6:$D$10),0)</f>
        <v>50.580000000000013</v>
      </c>
      <c r="AJ161" s="13">
        <v>50.580000000000013</v>
      </c>
      <c r="AK161" s="13">
        <f t="shared" si="51"/>
        <v>166.91400000000004</v>
      </c>
      <c r="AL161" s="14">
        <v>0.33</v>
      </c>
      <c r="AM161" s="13">
        <f t="shared" si="52"/>
        <v>-156.91399999999999</v>
      </c>
      <c r="AN161" s="14">
        <f t="shared" si="53"/>
        <v>-0.31022933965994459</v>
      </c>
      <c r="AO161" t="str">
        <f>IF(AN161&gt;=Assumptions!$B$3,"OK","Review")</f>
        <v>Review</v>
      </c>
    </row>
    <row r="162" spans="1:41" ht="15" customHeight="1">
      <c r="A162" s="9" t="s">
        <v>70</v>
      </c>
      <c r="B162" s="9" t="s">
        <v>46</v>
      </c>
      <c r="C162" s="9" t="s">
        <v>92</v>
      </c>
      <c r="D162" s="9" t="s">
        <v>93</v>
      </c>
      <c r="E162" s="9" t="s">
        <v>73</v>
      </c>
      <c r="F162" s="9" t="s">
        <v>94</v>
      </c>
      <c r="G162" s="9" t="s">
        <v>24</v>
      </c>
      <c r="H162" s="9" t="s">
        <v>75</v>
      </c>
      <c r="I162" s="9">
        <v>8400007</v>
      </c>
      <c r="J162" s="10">
        <v>96</v>
      </c>
      <c r="K162" s="10"/>
      <c r="L162" s="10">
        <f t="shared" si="36"/>
        <v>96</v>
      </c>
      <c r="M162" s="11">
        <v>0.18</v>
      </c>
      <c r="N162" s="10">
        <f t="shared" si="37"/>
        <v>17.28</v>
      </c>
      <c r="O162" s="10">
        <f t="shared" si="38"/>
        <v>113.28</v>
      </c>
      <c r="P162" s="11">
        <f t="shared" si="39"/>
        <v>0.15952143569292124</v>
      </c>
      <c r="Q162" s="10">
        <f t="shared" si="40"/>
        <v>710.12400000000002</v>
      </c>
      <c r="R162" s="10">
        <f t="shared" si="41"/>
        <v>1379.0519999999997</v>
      </c>
      <c r="S162" s="10">
        <f t="shared" si="42"/>
        <v>113.28</v>
      </c>
      <c r="T162" s="9" t="s">
        <v>91</v>
      </c>
      <c r="U162" s="10">
        <v>3999</v>
      </c>
      <c r="V162" s="10">
        <f t="shared" si="43"/>
        <v>2799.2999999999997</v>
      </c>
      <c r="W162" s="166">
        <v>999299</v>
      </c>
      <c r="X162" s="12" t="s">
        <v>25</v>
      </c>
      <c r="Y162" s="12">
        <f t="shared" si="44"/>
        <v>113.28</v>
      </c>
      <c r="Z162" s="13">
        <f t="shared" si="45"/>
        <v>113.28</v>
      </c>
      <c r="AA162" s="13">
        <f t="shared" si="46"/>
        <v>96</v>
      </c>
      <c r="AB162" s="13">
        <f t="shared" si="47"/>
        <v>96</v>
      </c>
      <c r="AC162" s="13">
        <f t="shared" si="48"/>
        <v>0</v>
      </c>
      <c r="AD162" s="14">
        <f t="shared" si="49"/>
        <v>0</v>
      </c>
      <c r="AE162" s="14">
        <f t="shared" si="50"/>
        <v>0</v>
      </c>
      <c r="AF162" s="13" t="str">
        <f>IF(AD162&gt;=Assumptions!$B$3,"OK","Review")</f>
        <v>Review</v>
      </c>
      <c r="AG162" s="13">
        <f>IFERROR(IF(Assumptions!$B$13="Cost Price",AB162,AA162)*SUMIF(Assumptions!$A$6:$A$10,X162,Assumptions!$B$6:$B$10),0)</f>
        <v>7.68</v>
      </c>
      <c r="AH162" s="13">
        <f>IFERROR(IF(Assumptions!$B$13="Cost Price",AB162,AA162)*SUMIF(Assumptions!$A$6:$A$10,X162,Assumptions!$C$6:$C$10),0)</f>
        <v>4.8000000000000007</v>
      </c>
      <c r="AI162" s="13">
        <f>IFERROR(IF(Assumptions!$B$13="Cost Price",AB162,AA162)*SUMIF(Assumptions!$A$6:$A$10,X162,Assumptions!$D$6:$D$10),0)</f>
        <v>9.6000000000000014</v>
      </c>
      <c r="AJ162" s="13">
        <v>9.6000000000000014</v>
      </c>
      <c r="AK162" s="13">
        <f t="shared" si="51"/>
        <v>31.680000000000003</v>
      </c>
      <c r="AL162" s="14">
        <v>0.33</v>
      </c>
      <c r="AM162" s="13">
        <f t="shared" si="52"/>
        <v>-31.680000000000003</v>
      </c>
      <c r="AN162" s="14">
        <f t="shared" si="53"/>
        <v>-0.33</v>
      </c>
      <c r="AO162" t="str">
        <f>IF(AN162&gt;=Assumptions!$B$3,"OK","Review")</f>
        <v>Review</v>
      </c>
    </row>
    <row r="163" spans="1:41" ht="15" customHeight="1">
      <c r="A163" s="9" t="s">
        <v>242</v>
      </c>
      <c r="B163" s="9" t="s">
        <v>35</v>
      </c>
      <c r="C163" s="9" t="s">
        <v>71</v>
      </c>
      <c r="D163" s="9" t="s">
        <v>72</v>
      </c>
      <c r="E163" s="9" t="s">
        <v>73</v>
      </c>
      <c r="F163" s="9" t="s">
        <v>74</v>
      </c>
      <c r="G163" s="9" t="s">
        <v>24</v>
      </c>
      <c r="H163" s="9" t="s">
        <v>75</v>
      </c>
      <c r="I163" s="9">
        <v>4000011860</v>
      </c>
      <c r="J163" s="10">
        <v>44.16</v>
      </c>
      <c r="K163" s="10"/>
      <c r="L163" s="10">
        <f t="shared" si="36"/>
        <v>44.16</v>
      </c>
      <c r="M163" s="11">
        <v>0</v>
      </c>
      <c r="N163" s="10">
        <f t="shared" si="37"/>
        <v>0</v>
      </c>
      <c r="O163" s="10">
        <f t="shared" si="38"/>
        <v>44.16</v>
      </c>
      <c r="P163" s="11">
        <f t="shared" si="39"/>
        <v>0.18709486082277674</v>
      </c>
      <c r="Q163" s="10">
        <f t="shared" si="40"/>
        <v>236.03</v>
      </c>
      <c r="R163" s="10">
        <f t="shared" si="41"/>
        <v>2042.0639999999999</v>
      </c>
      <c r="S163" s="10">
        <f t="shared" si="42"/>
        <v>382.05967987120272</v>
      </c>
      <c r="T163" s="9" t="s">
        <v>76</v>
      </c>
      <c r="U163" s="10">
        <v>3634</v>
      </c>
      <c r="V163" s="10">
        <f t="shared" si="43"/>
        <v>2543.7999999999997</v>
      </c>
      <c r="W163" s="166">
        <v>490110</v>
      </c>
      <c r="X163" s="12" t="s">
        <v>26</v>
      </c>
      <c r="Y163" s="12">
        <f t="shared" si="44"/>
        <v>382.05967987120272</v>
      </c>
      <c r="Z163" s="13">
        <f t="shared" si="45"/>
        <v>382.05967987120272</v>
      </c>
      <c r="AA163" s="13">
        <f t="shared" si="46"/>
        <v>382.05967987120272</v>
      </c>
      <c r="AB163" s="13">
        <f t="shared" si="47"/>
        <v>44.16</v>
      </c>
      <c r="AC163" s="13">
        <f t="shared" si="48"/>
        <v>337.89967987120269</v>
      </c>
      <c r="AD163" s="14">
        <f t="shared" si="49"/>
        <v>0.88441596345658113</v>
      </c>
      <c r="AE163" s="14">
        <f t="shared" si="50"/>
        <v>7.6517137651993368</v>
      </c>
      <c r="AF163" s="13" t="str">
        <f>IF(AD163&gt;=Assumptions!$B$3,"OK","Review")</f>
        <v>OK</v>
      </c>
      <c r="AG163" s="13">
        <f>IFERROR(IF(Assumptions!$B$13="Cost Price",AB163,AA163)*SUMIF(Assumptions!$A$6:$A$10,X163,Assumptions!$B$6:$B$10),0)</f>
        <v>30.564774389696218</v>
      </c>
      <c r="AH163" s="13">
        <f>IFERROR(IF(Assumptions!$B$13="Cost Price",AB163,AA163)*SUMIF(Assumptions!$A$6:$A$10,X163,Assumptions!$C$6:$C$10),0)</f>
        <v>19.102983993560137</v>
      </c>
      <c r="AI163" s="13">
        <f>IFERROR(IF(Assumptions!$B$13="Cost Price",AB163,AA163)*SUMIF(Assumptions!$A$6:$A$10,X163,Assumptions!$D$6:$D$10),0)</f>
        <v>38.205967987120275</v>
      </c>
      <c r="AJ163" s="13">
        <v>58.603049714019406</v>
      </c>
      <c r="AK163" s="13">
        <f t="shared" si="51"/>
        <v>146.47677608439602</v>
      </c>
      <c r="AL163" s="14">
        <v>0.33</v>
      </c>
      <c r="AM163" s="13">
        <f t="shared" si="52"/>
        <v>191.42290378680667</v>
      </c>
      <c r="AN163" s="14">
        <f t="shared" si="53"/>
        <v>0.50102880223146762</v>
      </c>
      <c r="AO163" t="str">
        <f>IF(AN163&gt;=Assumptions!$B$3,"OK","Review")</f>
        <v>OK</v>
      </c>
    </row>
    <row r="164" spans="1:41" ht="15" customHeight="1">
      <c r="A164" s="9" t="s">
        <v>242</v>
      </c>
      <c r="B164" s="9" t="s">
        <v>35</v>
      </c>
      <c r="C164" s="9" t="s">
        <v>78</v>
      </c>
      <c r="D164" s="9" t="s">
        <v>79</v>
      </c>
      <c r="E164" s="9" t="s">
        <v>73</v>
      </c>
      <c r="F164" s="9" t="s">
        <v>74</v>
      </c>
      <c r="G164" s="9" t="s">
        <v>24</v>
      </c>
      <c r="H164" s="9" t="s">
        <v>75</v>
      </c>
      <c r="I164" s="9">
        <v>4000011794</v>
      </c>
      <c r="J164" s="10">
        <v>19.559999999999999</v>
      </c>
      <c r="K164" s="10"/>
      <c r="L164" s="10">
        <f t="shared" si="36"/>
        <v>19.559999999999999</v>
      </c>
      <c r="M164" s="11">
        <v>0</v>
      </c>
      <c r="N164" s="10">
        <f t="shared" si="37"/>
        <v>0</v>
      </c>
      <c r="O164" s="10">
        <f t="shared" si="38"/>
        <v>19.559999999999999</v>
      </c>
      <c r="P164" s="11">
        <f t="shared" si="39"/>
        <v>8.2870821505740794E-2</v>
      </c>
      <c r="Q164" s="10">
        <f t="shared" si="40"/>
        <v>236.03</v>
      </c>
      <c r="R164" s="10">
        <f t="shared" si="41"/>
        <v>2042.0639999999999</v>
      </c>
      <c r="S164" s="10">
        <f t="shared" si="42"/>
        <v>169.22752124729905</v>
      </c>
      <c r="T164" s="9" t="s">
        <v>76</v>
      </c>
      <c r="U164" s="10">
        <v>3634</v>
      </c>
      <c r="V164" s="10">
        <f t="shared" si="43"/>
        <v>2543.7999999999997</v>
      </c>
      <c r="W164" s="166">
        <v>490110</v>
      </c>
      <c r="X164" s="12" t="s">
        <v>26</v>
      </c>
      <c r="Y164" s="12">
        <f t="shared" si="44"/>
        <v>169.22752124729905</v>
      </c>
      <c r="Z164" s="13">
        <f t="shared" si="45"/>
        <v>169.22752124729905</v>
      </c>
      <c r="AA164" s="13">
        <f t="shared" si="46"/>
        <v>169.22752124729905</v>
      </c>
      <c r="AB164" s="13">
        <f t="shared" si="47"/>
        <v>19.559999999999999</v>
      </c>
      <c r="AC164" s="13">
        <f t="shared" si="48"/>
        <v>149.66752124729905</v>
      </c>
      <c r="AD164" s="14">
        <f t="shared" si="49"/>
        <v>0.88441596345658113</v>
      </c>
      <c r="AE164" s="14">
        <f t="shared" si="50"/>
        <v>7.6517137651993385</v>
      </c>
      <c r="AF164" s="13" t="str">
        <f>IF(AD164&gt;=Assumptions!$B$3,"OK","Review")</f>
        <v>OK</v>
      </c>
      <c r="AG164" s="13">
        <f>IFERROR(IF(Assumptions!$B$13="Cost Price",AB164,AA164)*SUMIF(Assumptions!$A$6:$A$10,X164,Assumptions!$B$6:$B$10),0)</f>
        <v>13.538201699783924</v>
      </c>
      <c r="AH164" s="13">
        <f>IFERROR(IF(Assumptions!$B$13="Cost Price",AB164,AA164)*SUMIF(Assumptions!$A$6:$A$10,X164,Assumptions!$C$6:$C$10),0)</f>
        <v>8.4613760623649537</v>
      </c>
      <c r="AI164" s="13">
        <f>IFERROR(IF(Assumptions!$B$13="Cost Price",AB164,AA164)*SUMIF(Assumptions!$A$6:$A$10,X164,Assumptions!$D$6:$D$10),0)</f>
        <v>16.922752124729907</v>
      </c>
      <c r="AJ164" s="13">
        <v>25.957329085285767</v>
      </c>
      <c r="AK164" s="13">
        <f t="shared" si="51"/>
        <v>64.879658972164549</v>
      </c>
      <c r="AL164" s="14">
        <v>0.33</v>
      </c>
      <c r="AM164" s="13">
        <f t="shared" si="52"/>
        <v>84.787862275134501</v>
      </c>
      <c r="AN164" s="14">
        <f t="shared" si="53"/>
        <v>0.50102880223146773</v>
      </c>
      <c r="AO164" t="str">
        <f>IF(AN164&gt;=Assumptions!$B$3,"OK","Review")</f>
        <v>OK</v>
      </c>
    </row>
    <row r="165" spans="1:41" ht="15" customHeight="1">
      <c r="A165" s="9" t="s">
        <v>242</v>
      </c>
      <c r="B165" s="9" t="s">
        <v>35</v>
      </c>
      <c r="C165" s="9" t="s">
        <v>78</v>
      </c>
      <c r="D165" s="9" t="s">
        <v>80</v>
      </c>
      <c r="E165" s="9" t="s">
        <v>73</v>
      </c>
      <c r="F165" s="9" t="s">
        <v>74</v>
      </c>
      <c r="G165" s="9" t="s">
        <v>24</v>
      </c>
      <c r="H165" s="9" t="s">
        <v>75</v>
      </c>
      <c r="I165" s="9">
        <v>4000011783</v>
      </c>
      <c r="J165" s="10">
        <v>60.15</v>
      </c>
      <c r="K165" s="10"/>
      <c r="L165" s="10">
        <f t="shared" si="36"/>
        <v>60.15</v>
      </c>
      <c r="M165" s="11">
        <v>0</v>
      </c>
      <c r="N165" s="10">
        <f t="shared" si="37"/>
        <v>0</v>
      </c>
      <c r="O165" s="10">
        <f t="shared" si="38"/>
        <v>60.15</v>
      </c>
      <c r="P165" s="11">
        <f t="shared" si="39"/>
        <v>0.25484048637885015</v>
      </c>
      <c r="Q165" s="10">
        <f t="shared" si="40"/>
        <v>236.03</v>
      </c>
      <c r="R165" s="10">
        <f t="shared" si="41"/>
        <v>2042.0639999999999</v>
      </c>
      <c r="S165" s="10">
        <f t="shared" si="42"/>
        <v>520.40058297674022</v>
      </c>
      <c r="T165" s="9" t="s">
        <v>76</v>
      </c>
      <c r="U165" s="10">
        <v>3634</v>
      </c>
      <c r="V165" s="10">
        <f t="shared" si="43"/>
        <v>2543.7999999999997</v>
      </c>
      <c r="W165" s="166">
        <v>490110</v>
      </c>
      <c r="X165" s="12" t="s">
        <v>26</v>
      </c>
      <c r="Y165" s="12">
        <f t="shared" si="44"/>
        <v>520.40058297674022</v>
      </c>
      <c r="Z165" s="13">
        <f t="shared" si="45"/>
        <v>520.40058297674022</v>
      </c>
      <c r="AA165" s="13">
        <f t="shared" si="46"/>
        <v>520.40058297674022</v>
      </c>
      <c r="AB165" s="13">
        <f t="shared" si="47"/>
        <v>60.15</v>
      </c>
      <c r="AC165" s="13">
        <f t="shared" si="48"/>
        <v>460.25058297674025</v>
      </c>
      <c r="AD165" s="14">
        <f t="shared" si="49"/>
        <v>0.88441596345658124</v>
      </c>
      <c r="AE165" s="14">
        <f t="shared" si="50"/>
        <v>7.6517137651993394</v>
      </c>
      <c r="AF165" s="13" t="str">
        <f>IF(AD165&gt;=Assumptions!$B$3,"OK","Review")</f>
        <v>OK</v>
      </c>
      <c r="AG165" s="13">
        <f>IFERROR(IF(Assumptions!$B$13="Cost Price",AB165,AA165)*SUMIF(Assumptions!$A$6:$A$10,X165,Assumptions!$B$6:$B$10),0)</f>
        <v>41.632046638139222</v>
      </c>
      <c r="AH165" s="13">
        <f>IFERROR(IF(Assumptions!$B$13="Cost Price",AB165,AA165)*SUMIF(Assumptions!$A$6:$A$10,X165,Assumptions!$C$6:$C$10),0)</f>
        <v>26.020029148837011</v>
      </c>
      <c r="AI165" s="13">
        <f>IFERROR(IF(Assumptions!$B$13="Cost Price",AB165,AA165)*SUMIF(Assumptions!$A$6:$A$10,X165,Assumptions!$D$6:$D$10),0)</f>
        <v>52.040058297674022</v>
      </c>
      <c r="AJ165" s="13">
        <v>79.822768122696289</v>
      </c>
      <c r="AK165" s="13">
        <f t="shared" si="51"/>
        <v>199.51490220734655</v>
      </c>
      <c r="AL165" s="14">
        <v>0.33</v>
      </c>
      <c r="AM165" s="13">
        <f t="shared" si="52"/>
        <v>260.7356807693937</v>
      </c>
      <c r="AN165" s="14">
        <f t="shared" si="53"/>
        <v>0.50102880223146773</v>
      </c>
      <c r="AO165" t="str">
        <f>IF(AN165&gt;=Assumptions!$B$3,"OK","Review")</f>
        <v>OK</v>
      </c>
    </row>
    <row r="166" spans="1:41" ht="15" customHeight="1">
      <c r="A166" s="9" t="s">
        <v>242</v>
      </c>
      <c r="B166" s="9" t="s">
        <v>35</v>
      </c>
      <c r="C166" s="9" t="s">
        <v>71</v>
      </c>
      <c r="D166" s="9" t="s">
        <v>83</v>
      </c>
      <c r="E166" s="9" t="s">
        <v>73</v>
      </c>
      <c r="F166" s="9" t="s">
        <v>74</v>
      </c>
      <c r="G166" s="9" t="s">
        <v>24</v>
      </c>
      <c r="H166" s="9" t="s">
        <v>84</v>
      </c>
      <c r="I166" s="9">
        <v>4000011816</v>
      </c>
      <c r="J166" s="10">
        <v>46.25</v>
      </c>
      <c r="K166" s="10"/>
      <c r="L166" s="10">
        <f t="shared" si="36"/>
        <v>46.25</v>
      </c>
      <c r="M166" s="11">
        <v>0</v>
      </c>
      <c r="N166" s="10">
        <f t="shared" si="37"/>
        <v>0</v>
      </c>
      <c r="O166" s="10">
        <f t="shared" si="38"/>
        <v>46.25</v>
      </c>
      <c r="P166" s="11">
        <f t="shared" si="39"/>
        <v>0.1959496674151591</v>
      </c>
      <c r="Q166" s="10">
        <f t="shared" si="40"/>
        <v>236.03</v>
      </c>
      <c r="R166" s="10">
        <f t="shared" si="41"/>
        <v>2042.0639999999999</v>
      </c>
      <c r="S166" s="10">
        <f t="shared" si="42"/>
        <v>400.14176164046944</v>
      </c>
      <c r="T166" s="9" t="s">
        <v>76</v>
      </c>
      <c r="U166" s="10">
        <v>3634</v>
      </c>
      <c r="V166" s="10">
        <f t="shared" si="43"/>
        <v>2543.7999999999997</v>
      </c>
      <c r="W166" s="166">
        <v>490110</v>
      </c>
      <c r="X166" s="12" t="s">
        <v>26</v>
      </c>
      <c r="Y166" s="12">
        <f t="shared" si="44"/>
        <v>400.14176164046944</v>
      </c>
      <c r="Z166" s="13">
        <f t="shared" si="45"/>
        <v>400.14176164046944</v>
      </c>
      <c r="AA166" s="13">
        <f t="shared" si="46"/>
        <v>400.14176164046944</v>
      </c>
      <c r="AB166" s="13">
        <f t="shared" si="47"/>
        <v>46.25</v>
      </c>
      <c r="AC166" s="13">
        <f t="shared" si="48"/>
        <v>353.89176164046944</v>
      </c>
      <c r="AD166" s="14">
        <f t="shared" si="49"/>
        <v>0.88441596345658113</v>
      </c>
      <c r="AE166" s="14">
        <f t="shared" si="50"/>
        <v>7.6517137651993394</v>
      </c>
      <c r="AF166" s="13" t="str">
        <f>IF(AD166&gt;=Assumptions!$B$3,"OK","Review")</f>
        <v>OK</v>
      </c>
      <c r="AG166" s="13">
        <f>IFERROR(IF(Assumptions!$B$13="Cost Price",AB166,AA166)*SUMIF(Assumptions!$A$6:$A$10,X166,Assumptions!$B$6:$B$10),0)</f>
        <v>32.011340931237555</v>
      </c>
      <c r="AH166" s="13">
        <f>IFERROR(IF(Assumptions!$B$13="Cost Price",AB166,AA166)*SUMIF(Assumptions!$A$6:$A$10,X166,Assumptions!$C$6:$C$10),0)</f>
        <v>20.007088082023472</v>
      </c>
      <c r="AI166" s="13">
        <f>IFERROR(IF(Assumptions!$B$13="Cost Price",AB166,AA166)*SUMIF(Assumptions!$A$6:$A$10,X166,Assumptions!$D$6:$D$10),0)</f>
        <v>40.014176164046944</v>
      </c>
      <c r="AJ166" s="13">
        <v>61.376608905647601</v>
      </c>
      <c r="AK166" s="13">
        <f t="shared" si="51"/>
        <v>153.40921408295557</v>
      </c>
      <c r="AL166" s="14">
        <v>0.33</v>
      </c>
      <c r="AM166" s="13">
        <f t="shared" si="52"/>
        <v>200.48254755751387</v>
      </c>
      <c r="AN166" s="14">
        <f t="shared" si="53"/>
        <v>0.50102880223146773</v>
      </c>
      <c r="AO166" t="str">
        <f>IF(AN166&gt;=Assumptions!$B$3,"OK","Review")</f>
        <v>OK</v>
      </c>
    </row>
    <row r="167" spans="1:41" ht="15" customHeight="1">
      <c r="A167" s="9" t="s">
        <v>242</v>
      </c>
      <c r="B167" s="9" t="s">
        <v>35</v>
      </c>
      <c r="C167" s="9" t="s">
        <v>78</v>
      </c>
      <c r="D167" s="9" t="s">
        <v>86</v>
      </c>
      <c r="E167" s="9" t="s">
        <v>73</v>
      </c>
      <c r="F167" s="9" t="s">
        <v>74</v>
      </c>
      <c r="G167" s="9" t="s">
        <v>24</v>
      </c>
      <c r="H167" s="9" t="s">
        <v>84</v>
      </c>
      <c r="I167" s="9">
        <v>4000011758</v>
      </c>
      <c r="J167" s="10">
        <v>65.91</v>
      </c>
      <c r="K167" s="10"/>
      <c r="L167" s="10">
        <f t="shared" si="36"/>
        <v>65.91</v>
      </c>
      <c r="M167" s="11">
        <v>0</v>
      </c>
      <c r="N167" s="10">
        <f t="shared" si="37"/>
        <v>0</v>
      </c>
      <c r="O167" s="10">
        <f t="shared" si="38"/>
        <v>65.91</v>
      </c>
      <c r="P167" s="11">
        <f t="shared" si="39"/>
        <v>0.27924416387747319</v>
      </c>
      <c r="Q167" s="10">
        <f t="shared" si="40"/>
        <v>236.03</v>
      </c>
      <c r="R167" s="10">
        <f t="shared" si="41"/>
        <v>2042.0639999999999</v>
      </c>
      <c r="S167" s="10">
        <f t="shared" si="42"/>
        <v>570.23445426428839</v>
      </c>
      <c r="T167" s="9" t="s">
        <v>76</v>
      </c>
      <c r="U167" s="10">
        <v>3634</v>
      </c>
      <c r="V167" s="10">
        <f t="shared" si="43"/>
        <v>2543.7999999999997</v>
      </c>
      <c r="W167" s="166">
        <v>490110</v>
      </c>
      <c r="X167" s="12" t="s">
        <v>26</v>
      </c>
      <c r="Y167" s="12">
        <f t="shared" si="44"/>
        <v>570.23445426428839</v>
      </c>
      <c r="Z167" s="13">
        <f t="shared" si="45"/>
        <v>570.23445426428839</v>
      </c>
      <c r="AA167" s="13">
        <f t="shared" si="46"/>
        <v>570.23445426428839</v>
      </c>
      <c r="AB167" s="13">
        <f t="shared" si="47"/>
        <v>65.91</v>
      </c>
      <c r="AC167" s="13">
        <f t="shared" si="48"/>
        <v>504.32445426428842</v>
      </c>
      <c r="AD167" s="14">
        <f t="shared" si="49"/>
        <v>0.88441596345658124</v>
      </c>
      <c r="AE167" s="14">
        <f t="shared" si="50"/>
        <v>7.6517137651993394</v>
      </c>
      <c r="AF167" s="13" t="str">
        <f>IF(AD167&gt;=Assumptions!$B$3,"OK","Review")</f>
        <v>OK</v>
      </c>
      <c r="AG167" s="13">
        <f>IFERROR(IF(Assumptions!$B$13="Cost Price",AB167,AA167)*SUMIF(Assumptions!$A$6:$A$10,X167,Assumptions!$B$6:$B$10),0)</f>
        <v>45.618756341143069</v>
      </c>
      <c r="AH167" s="13">
        <f>IFERROR(IF(Assumptions!$B$13="Cost Price",AB167,AA167)*SUMIF(Assumptions!$A$6:$A$10,X167,Assumptions!$C$6:$C$10),0)</f>
        <v>28.511722713214422</v>
      </c>
      <c r="AI167" s="13">
        <f>IFERROR(IF(Assumptions!$B$13="Cost Price",AB167,AA167)*SUMIF(Assumptions!$A$6:$A$10,X167,Assumptions!$D$6:$D$10),0)</f>
        <v>57.023445426428843</v>
      </c>
      <c r="AJ167" s="13">
        <v>87.466644172350982</v>
      </c>
      <c r="AK167" s="13">
        <f t="shared" si="51"/>
        <v>218.62056865313733</v>
      </c>
      <c r="AL167" s="14">
        <v>0.33</v>
      </c>
      <c r="AM167" s="13">
        <f t="shared" si="52"/>
        <v>285.70388561115112</v>
      </c>
      <c r="AN167" s="14">
        <f t="shared" si="53"/>
        <v>0.50102880223146784</v>
      </c>
      <c r="AO167" t="str">
        <f>IF(AN167&gt;=Assumptions!$B$3,"OK","Review")</f>
        <v>OK</v>
      </c>
    </row>
    <row r="168" spans="1:41" ht="15" customHeight="1">
      <c r="A168" s="9" t="s">
        <v>242</v>
      </c>
      <c r="B168" s="9" t="s">
        <v>35</v>
      </c>
      <c r="C168" s="9" t="s">
        <v>243</v>
      </c>
      <c r="D168" s="9" t="s">
        <v>244</v>
      </c>
      <c r="E168" s="9" t="s">
        <v>73</v>
      </c>
      <c r="F168" s="9" t="s">
        <v>90</v>
      </c>
      <c r="G168" s="9" t="s">
        <v>24</v>
      </c>
      <c r="H168" s="9" t="s">
        <v>75</v>
      </c>
      <c r="I168" s="9">
        <v>7000001001</v>
      </c>
      <c r="J168" s="10">
        <v>106.6</v>
      </c>
      <c r="K168" s="10">
        <v>10</v>
      </c>
      <c r="L168" s="10">
        <f t="shared" si="36"/>
        <v>116.6</v>
      </c>
      <c r="M168" s="11">
        <v>0.18</v>
      </c>
      <c r="N168" s="10">
        <f t="shared" si="37"/>
        <v>20.988</v>
      </c>
      <c r="O168" s="10">
        <f t="shared" si="38"/>
        <v>137.58799999999999</v>
      </c>
      <c r="P168" s="11">
        <f t="shared" si="39"/>
        <v>0.54844778927563498</v>
      </c>
      <c r="Q168" s="10">
        <f t="shared" si="40"/>
        <v>250.86799999999999</v>
      </c>
      <c r="R168" s="10">
        <f t="shared" si="41"/>
        <v>2042.0639999999999</v>
      </c>
      <c r="S168" s="10">
        <f t="shared" si="42"/>
        <v>137.58799999999999</v>
      </c>
      <c r="T168" s="9" t="s">
        <v>91</v>
      </c>
      <c r="U168" s="10">
        <v>3634</v>
      </c>
      <c r="V168" s="10">
        <f t="shared" si="43"/>
        <v>2543.7999999999997</v>
      </c>
      <c r="W168" s="166">
        <v>49119990</v>
      </c>
      <c r="X168" s="12" t="s">
        <v>26</v>
      </c>
      <c r="Y168" s="12">
        <f t="shared" si="44"/>
        <v>137.58799999999999</v>
      </c>
      <c r="Z168" s="13">
        <f t="shared" si="45"/>
        <v>137.58799999999999</v>
      </c>
      <c r="AA168" s="13">
        <f t="shared" si="46"/>
        <v>116.6</v>
      </c>
      <c r="AB168" s="13">
        <f t="shared" si="47"/>
        <v>106.6</v>
      </c>
      <c r="AC168" s="13">
        <f t="shared" si="48"/>
        <v>10</v>
      </c>
      <c r="AD168" s="14">
        <f t="shared" si="49"/>
        <v>8.5763293310463132E-2</v>
      </c>
      <c r="AE168" s="14">
        <f t="shared" si="50"/>
        <v>9.3808630393996256E-2</v>
      </c>
      <c r="AF168" s="13" t="str">
        <f>IF(AD168&gt;=Assumptions!$B$3,"OK","Review")</f>
        <v>Review</v>
      </c>
      <c r="AG168" s="13">
        <f>IFERROR(IF(Assumptions!$B$13="Cost Price",AB168,AA168)*SUMIF(Assumptions!$A$6:$A$10,X168,Assumptions!$B$6:$B$10),0)</f>
        <v>9.3279999999999994</v>
      </c>
      <c r="AH168" s="13">
        <f>IFERROR(IF(Assumptions!$B$13="Cost Price",AB168,AA168)*SUMIF(Assumptions!$A$6:$A$10,X168,Assumptions!$C$6:$C$10),0)</f>
        <v>5.83</v>
      </c>
      <c r="AI168" s="13">
        <f>IFERROR(IF(Assumptions!$B$13="Cost Price",AB168,AA168)*SUMIF(Assumptions!$A$6:$A$10,X168,Assumptions!$D$6:$D$10),0)</f>
        <v>11.66</v>
      </c>
      <c r="AJ168" s="13">
        <v>11.66</v>
      </c>
      <c r="AK168" s="13">
        <f t="shared" si="51"/>
        <v>38.477999999999994</v>
      </c>
      <c r="AL168" s="14">
        <v>0.33</v>
      </c>
      <c r="AM168" s="13">
        <f t="shared" si="52"/>
        <v>-28.477999999999994</v>
      </c>
      <c r="AN168" s="14">
        <f t="shared" si="53"/>
        <v>-0.24423670668953684</v>
      </c>
      <c r="AO168" t="str">
        <f>IF(AN168&gt;=Assumptions!$B$3,"OK","Review")</f>
        <v>Review</v>
      </c>
    </row>
    <row r="169" spans="1:41" ht="15" customHeight="1">
      <c r="A169" s="9" t="s">
        <v>242</v>
      </c>
      <c r="B169" s="9" t="s">
        <v>35</v>
      </c>
      <c r="C169" s="9" t="s">
        <v>92</v>
      </c>
      <c r="D169" s="9" t="s">
        <v>93</v>
      </c>
      <c r="E169" s="9" t="s">
        <v>73</v>
      </c>
      <c r="F169" s="9" t="s">
        <v>94</v>
      </c>
      <c r="G169" s="9" t="s">
        <v>24</v>
      </c>
      <c r="H169" s="9" t="s">
        <v>75</v>
      </c>
      <c r="I169" s="9">
        <v>8400007</v>
      </c>
      <c r="J169" s="10">
        <v>96</v>
      </c>
      <c r="K169" s="10"/>
      <c r="L169" s="10">
        <f t="shared" si="36"/>
        <v>96</v>
      </c>
      <c r="M169" s="11">
        <v>0.18</v>
      </c>
      <c r="N169" s="10">
        <f t="shared" si="37"/>
        <v>17.28</v>
      </c>
      <c r="O169" s="10">
        <f t="shared" si="38"/>
        <v>113.28</v>
      </c>
      <c r="P169" s="11">
        <f t="shared" si="39"/>
        <v>0.45155221072436502</v>
      </c>
      <c r="Q169" s="10">
        <f t="shared" si="40"/>
        <v>250.86799999999999</v>
      </c>
      <c r="R169" s="10">
        <f t="shared" si="41"/>
        <v>2042.0639999999999</v>
      </c>
      <c r="S169" s="10">
        <f t="shared" si="42"/>
        <v>113.28</v>
      </c>
      <c r="T169" s="9" t="s">
        <v>91</v>
      </c>
      <c r="U169" s="10">
        <v>3634</v>
      </c>
      <c r="V169" s="10">
        <f t="shared" si="43"/>
        <v>2543.7999999999997</v>
      </c>
      <c r="W169" s="166">
        <v>999299</v>
      </c>
      <c r="X169" s="12" t="s">
        <v>26</v>
      </c>
      <c r="Y169" s="12">
        <f t="shared" si="44"/>
        <v>113.28</v>
      </c>
      <c r="Z169" s="13">
        <f t="shared" si="45"/>
        <v>113.28</v>
      </c>
      <c r="AA169" s="13">
        <f t="shared" si="46"/>
        <v>96</v>
      </c>
      <c r="AB169" s="13">
        <f t="shared" si="47"/>
        <v>96</v>
      </c>
      <c r="AC169" s="13">
        <f t="shared" si="48"/>
        <v>0</v>
      </c>
      <c r="AD169" s="14">
        <f t="shared" si="49"/>
        <v>0</v>
      </c>
      <c r="AE169" s="14">
        <f t="shared" si="50"/>
        <v>0</v>
      </c>
      <c r="AF169" s="13" t="str">
        <f>IF(AD169&gt;=Assumptions!$B$3,"OK","Review")</f>
        <v>Review</v>
      </c>
      <c r="AG169" s="13">
        <f>IFERROR(IF(Assumptions!$B$13="Cost Price",AB169,AA169)*SUMIF(Assumptions!$A$6:$A$10,X169,Assumptions!$B$6:$B$10),0)</f>
        <v>7.68</v>
      </c>
      <c r="AH169" s="13">
        <f>IFERROR(IF(Assumptions!$B$13="Cost Price",AB169,AA169)*SUMIF(Assumptions!$A$6:$A$10,X169,Assumptions!$C$6:$C$10),0)</f>
        <v>4.8000000000000007</v>
      </c>
      <c r="AI169" s="13">
        <f>IFERROR(IF(Assumptions!$B$13="Cost Price",AB169,AA169)*SUMIF(Assumptions!$A$6:$A$10,X169,Assumptions!$D$6:$D$10),0)</f>
        <v>9.6000000000000014</v>
      </c>
      <c r="AJ169" s="13">
        <v>9.6000000000000014</v>
      </c>
      <c r="AK169" s="13">
        <f t="shared" si="51"/>
        <v>31.680000000000003</v>
      </c>
      <c r="AL169" s="14">
        <v>0.33</v>
      </c>
      <c r="AM169" s="13">
        <f t="shared" si="52"/>
        <v>-31.680000000000003</v>
      </c>
      <c r="AN169" s="14">
        <f t="shared" si="53"/>
        <v>-0.33</v>
      </c>
      <c r="AO169" t="str">
        <f>IF(AN169&gt;=Assumptions!$B$3,"OK","Review")</f>
        <v>Review</v>
      </c>
    </row>
    <row r="170" spans="1:41" ht="15" customHeight="1">
      <c r="A170" s="9" t="s">
        <v>242</v>
      </c>
      <c r="B170" s="9" t="s">
        <v>36</v>
      </c>
      <c r="C170" s="9" t="s">
        <v>71</v>
      </c>
      <c r="D170" s="9" t="s">
        <v>95</v>
      </c>
      <c r="E170" s="9" t="s">
        <v>73</v>
      </c>
      <c r="F170" s="9" t="s">
        <v>74</v>
      </c>
      <c r="G170" s="9" t="s">
        <v>24</v>
      </c>
      <c r="H170" s="9" t="s">
        <v>75</v>
      </c>
      <c r="I170" s="9">
        <v>4000011861</v>
      </c>
      <c r="J170" s="10">
        <v>40.090000000000003</v>
      </c>
      <c r="K170" s="10"/>
      <c r="L170" s="10">
        <f t="shared" si="36"/>
        <v>40.090000000000003</v>
      </c>
      <c r="M170" s="11">
        <v>0</v>
      </c>
      <c r="N170" s="10">
        <f t="shared" si="37"/>
        <v>0</v>
      </c>
      <c r="O170" s="10">
        <f t="shared" si="38"/>
        <v>40.090000000000003</v>
      </c>
      <c r="P170" s="11">
        <f t="shared" si="39"/>
        <v>0.16710433079071321</v>
      </c>
      <c r="Q170" s="10">
        <f t="shared" si="40"/>
        <v>239.91</v>
      </c>
      <c r="R170" s="10">
        <f t="shared" si="41"/>
        <v>1852.0359999999996</v>
      </c>
      <c r="S170" s="10">
        <f t="shared" si="42"/>
        <v>309.48323638030928</v>
      </c>
      <c r="T170" s="9" t="s">
        <v>76</v>
      </c>
      <c r="U170" s="10">
        <v>3404</v>
      </c>
      <c r="V170" s="10">
        <f t="shared" si="43"/>
        <v>2382.7999999999997</v>
      </c>
      <c r="W170" s="166">
        <v>490110</v>
      </c>
      <c r="X170" s="12" t="s">
        <v>26</v>
      </c>
      <c r="Y170" s="12">
        <f t="shared" si="44"/>
        <v>309.48323638030928</v>
      </c>
      <c r="Z170" s="13">
        <f t="shared" si="45"/>
        <v>309.48323638030928</v>
      </c>
      <c r="AA170" s="13">
        <f t="shared" si="46"/>
        <v>309.48323638030928</v>
      </c>
      <c r="AB170" s="13">
        <f t="shared" si="47"/>
        <v>40.090000000000003</v>
      </c>
      <c r="AC170" s="13">
        <f t="shared" si="48"/>
        <v>269.3932363803093</v>
      </c>
      <c r="AD170" s="14">
        <f t="shared" si="49"/>
        <v>0.87046148131029855</v>
      </c>
      <c r="AE170" s="14">
        <f t="shared" si="50"/>
        <v>6.7197115585011042</v>
      </c>
      <c r="AF170" s="13" t="str">
        <f>IF(AD170&gt;=Assumptions!$B$3,"OK","Review")</f>
        <v>OK</v>
      </c>
      <c r="AG170" s="13">
        <f>IFERROR(IF(Assumptions!$B$13="Cost Price",AB170,AA170)*SUMIF(Assumptions!$A$6:$A$10,X170,Assumptions!$B$6:$B$10),0)</f>
        <v>24.758658910424742</v>
      </c>
      <c r="AH170" s="13">
        <f>IFERROR(IF(Assumptions!$B$13="Cost Price",AB170,AA170)*SUMIF(Assumptions!$A$6:$A$10,X170,Assumptions!$C$6:$C$10),0)</f>
        <v>15.474161819015464</v>
      </c>
      <c r="AI170" s="13">
        <f>IFERROR(IF(Assumptions!$B$13="Cost Price",AB170,AA170)*SUMIF(Assumptions!$A$6:$A$10,X170,Assumptions!$D$6:$D$10),0)</f>
        <v>30.948323638030928</v>
      </c>
      <c r="AJ170" s="13">
        <v>48.013017898378564</v>
      </c>
      <c r="AK170" s="13">
        <f t="shared" si="51"/>
        <v>119.1941622658497</v>
      </c>
      <c r="AL170" s="14">
        <v>0.33</v>
      </c>
      <c r="AM170" s="13">
        <f t="shared" si="52"/>
        <v>150.19907411445962</v>
      </c>
      <c r="AN170" s="14">
        <f t="shared" si="53"/>
        <v>0.48532216436397574</v>
      </c>
      <c r="AO170" t="str">
        <f>IF(AN170&gt;=Assumptions!$B$3,"OK","Review")</f>
        <v>OK</v>
      </c>
    </row>
    <row r="171" spans="1:41" ht="15" customHeight="1">
      <c r="A171" s="9" t="s">
        <v>242</v>
      </c>
      <c r="B171" s="9" t="s">
        <v>36</v>
      </c>
      <c r="C171" s="9" t="s">
        <v>78</v>
      </c>
      <c r="D171" s="9" t="s">
        <v>97</v>
      </c>
      <c r="E171" s="9" t="s">
        <v>73</v>
      </c>
      <c r="F171" s="9" t="s">
        <v>74</v>
      </c>
      <c r="G171" s="9" t="s">
        <v>24</v>
      </c>
      <c r="H171" s="9" t="s">
        <v>75</v>
      </c>
      <c r="I171" s="9">
        <v>4000011837</v>
      </c>
      <c r="J171" s="10">
        <v>20.100000000000001</v>
      </c>
      <c r="K171" s="10"/>
      <c r="L171" s="10">
        <f t="shared" si="36"/>
        <v>20.100000000000001</v>
      </c>
      <c r="M171" s="11">
        <v>0</v>
      </c>
      <c r="N171" s="10">
        <f t="shared" si="37"/>
        <v>0</v>
      </c>
      <c r="O171" s="10">
        <f t="shared" si="38"/>
        <v>20.100000000000001</v>
      </c>
      <c r="P171" s="11">
        <f t="shared" si="39"/>
        <v>8.3781418031761923E-2</v>
      </c>
      <c r="Q171" s="10">
        <f t="shared" si="40"/>
        <v>239.91</v>
      </c>
      <c r="R171" s="10">
        <f t="shared" si="41"/>
        <v>1852.0359999999996</v>
      </c>
      <c r="S171" s="10">
        <f t="shared" si="42"/>
        <v>155.16620232587218</v>
      </c>
      <c r="T171" s="9" t="s">
        <v>76</v>
      </c>
      <c r="U171" s="10">
        <v>3404</v>
      </c>
      <c r="V171" s="10">
        <f t="shared" si="43"/>
        <v>2382.7999999999997</v>
      </c>
      <c r="W171" s="166">
        <v>490110</v>
      </c>
      <c r="X171" s="12" t="s">
        <v>26</v>
      </c>
      <c r="Y171" s="12">
        <f t="shared" si="44"/>
        <v>155.16620232587218</v>
      </c>
      <c r="Z171" s="13">
        <f t="shared" si="45"/>
        <v>155.16620232587218</v>
      </c>
      <c r="AA171" s="13">
        <f t="shared" si="46"/>
        <v>155.16620232587218</v>
      </c>
      <c r="AB171" s="13">
        <f t="shared" si="47"/>
        <v>20.100000000000001</v>
      </c>
      <c r="AC171" s="13">
        <f t="shared" si="48"/>
        <v>135.06620232587218</v>
      </c>
      <c r="AD171" s="14">
        <f t="shared" si="49"/>
        <v>0.87046148131029855</v>
      </c>
      <c r="AE171" s="14">
        <f t="shared" si="50"/>
        <v>6.7197115585011034</v>
      </c>
      <c r="AF171" s="13" t="str">
        <f>IF(AD171&gt;=Assumptions!$B$3,"OK","Review")</f>
        <v>OK</v>
      </c>
      <c r="AG171" s="13">
        <f>IFERROR(IF(Assumptions!$B$13="Cost Price",AB171,AA171)*SUMIF(Assumptions!$A$6:$A$10,X171,Assumptions!$B$6:$B$10),0)</f>
        <v>12.413296186069774</v>
      </c>
      <c r="AH171" s="13">
        <f>IFERROR(IF(Assumptions!$B$13="Cost Price",AB171,AA171)*SUMIF(Assumptions!$A$6:$A$10,X171,Assumptions!$C$6:$C$10),0)</f>
        <v>7.7583101162936092</v>
      </c>
      <c r="AI171" s="13">
        <f>IFERROR(IF(Assumptions!$B$13="Cost Price",AB171,AA171)*SUMIF(Assumptions!$A$6:$A$10,X171,Assumptions!$D$6:$D$10),0)</f>
        <v>15.516620232587218</v>
      </c>
      <c r="AJ171" s="13">
        <v>24.072378641990753</v>
      </c>
      <c r="AK171" s="13">
        <f t="shared" si="51"/>
        <v>59.760605176941354</v>
      </c>
      <c r="AL171" s="14">
        <v>0.33</v>
      </c>
      <c r="AM171" s="13">
        <f t="shared" si="52"/>
        <v>75.305597148930829</v>
      </c>
      <c r="AN171" s="14">
        <f t="shared" si="53"/>
        <v>0.48532216436397557</v>
      </c>
      <c r="AO171" t="str">
        <f>IF(AN171&gt;=Assumptions!$B$3,"OK","Review")</f>
        <v>OK</v>
      </c>
    </row>
    <row r="172" spans="1:41" ht="15" customHeight="1">
      <c r="A172" s="9" t="s">
        <v>242</v>
      </c>
      <c r="B172" s="9" t="s">
        <v>36</v>
      </c>
      <c r="C172" s="9" t="s">
        <v>78</v>
      </c>
      <c r="D172" s="9" t="s">
        <v>98</v>
      </c>
      <c r="E172" s="9" t="s">
        <v>73</v>
      </c>
      <c r="F172" s="9" t="s">
        <v>74</v>
      </c>
      <c r="G172" s="9" t="s">
        <v>24</v>
      </c>
      <c r="H172" s="9" t="s">
        <v>75</v>
      </c>
      <c r="I172" s="9">
        <v>4000011826</v>
      </c>
      <c r="J172" s="10">
        <v>66.38</v>
      </c>
      <c r="K172" s="10"/>
      <c r="L172" s="10">
        <f t="shared" si="36"/>
        <v>66.38</v>
      </c>
      <c r="M172" s="11">
        <v>0</v>
      </c>
      <c r="N172" s="10">
        <f t="shared" si="37"/>
        <v>0</v>
      </c>
      <c r="O172" s="10">
        <f t="shared" si="38"/>
        <v>66.38</v>
      </c>
      <c r="P172" s="11">
        <f t="shared" si="39"/>
        <v>0.27668709099245548</v>
      </c>
      <c r="Q172" s="10">
        <f t="shared" si="40"/>
        <v>239.91</v>
      </c>
      <c r="R172" s="10">
        <f t="shared" si="41"/>
        <v>1852.0359999999996</v>
      </c>
      <c r="S172" s="10">
        <f t="shared" si="42"/>
        <v>512.4344532533031</v>
      </c>
      <c r="T172" s="9" t="s">
        <v>76</v>
      </c>
      <c r="U172" s="10">
        <v>3404</v>
      </c>
      <c r="V172" s="10">
        <f t="shared" si="43"/>
        <v>2382.7999999999997</v>
      </c>
      <c r="W172" s="166">
        <v>490110</v>
      </c>
      <c r="X172" s="12" t="s">
        <v>26</v>
      </c>
      <c r="Y172" s="12">
        <f t="shared" si="44"/>
        <v>512.4344532533031</v>
      </c>
      <c r="Z172" s="13">
        <f t="shared" si="45"/>
        <v>512.4344532533031</v>
      </c>
      <c r="AA172" s="13">
        <f t="shared" si="46"/>
        <v>512.4344532533031</v>
      </c>
      <c r="AB172" s="13">
        <f t="shared" si="47"/>
        <v>66.38</v>
      </c>
      <c r="AC172" s="13">
        <f t="shared" si="48"/>
        <v>446.05445325330311</v>
      </c>
      <c r="AD172" s="14">
        <f t="shared" si="49"/>
        <v>0.87046148131029843</v>
      </c>
      <c r="AE172" s="14">
        <f t="shared" si="50"/>
        <v>6.7197115585011016</v>
      </c>
      <c r="AF172" s="13" t="str">
        <f>IF(AD172&gt;=Assumptions!$B$3,"OK","Review")</f>
        <v>OK</v>
      </c>
      <c r="AG172" s="13">
        <f>IFERROR(IF(Assumptions!$B$13="Cost Price",AB172,AA172)*SUMIF(Assumptions!$A$6:$A$10,X172,Assumptions!$B$6:$B$10),0)</f>
        <v>40.994756260264246</v>
      </c>
      <c r="AH172" s="13">
        <f>IFERROR(IF(Assumptions!$B$13="Cost Price",AB172,AA172)*SUMIF(Assumptions!$A$6:$A$10,X172,Assumptions!$C$6:$C$10),0)</f>
        <v>25.621722662665157</v>
      </c>
      <c r="AI172" s="13">
        <f>IFERROR(IF(Assumptions!$B$13="Cost Price",AB172,AA172)*SUMIF(Assumptions!$A$6:$A$10,X172,Assumptions!$D$6:$D$10),0)</f>
        <v>51.243445325330313</v>
      </c>
      <c r="AJ172" s="13">
        <v>79.498731057479887</v>
      </c>
      <c r="AK172" s="13">
        <f t="shared" si="51"/>
        <v>197.3586553057396</v>
      </c>
      <c r="AL172" s="14">
        <v>0.33</v>
      </c>
      <c r="AM172" s="13">
        <f t="shared" si="52"/>
        <v>248.69579794756351</v>
      </c>
      <c r="AN172" s="14">
        <f t="shared" si="53"/>
        <v>0.48532216436397552</v>
      </c>
      <c r="AO172" t="str">
        <f>IF(AN172&gt;=Assumptions!$B$3,"OK","Review")</f>
        <v>OK</v>
      </c>
    </row>
    <row r="173" spans="1:41" ht="15" customHeight="1">
      <c r="A173" s="9" t="s">
        <v>242</v>
      </c>
      <c r="B173" s="9" t="s">
        <v>36</v>
      </c>
      <c r="C173" s="9" t="s">
        <v>71</v>
      </c>
      <c r="D173" s="9" t="s">
        <v>100</v>
      </c>
      <c r="E173" s="9" t="s">
        <v>73</v>
      </c>
      <c r="F173" s="9" t="s">
        <v>74</v>
      </c>
      <c r="G173" s="9" t="s">
        <v>24</v>
      </c>
      <c r="H173" s="9" t="s">
        <v>84</v>
      </c>
      <c r="I173" s="9">
        <v>4000011847</v>
      </c>
      <c r="J173" s="10">
        <v>50.5</v>
      </c>
      <c r="K173" s="10"/>
      <c r="L173" s="10">
        <f t="shared" si="36"/>
        <v>50.5</v>
      </c>
      <c r="M173" s="11">
        <v>0</v>
      </c>
      <c r="N173" s="10">
        <f t="shared" si="37"/>
        <v>0</v>
      </c>
      <c r="O173" s="10">
        <f t="shared" si="38"/>
        <v>50.5</v>
      </c>
      <c r="P173" s="11">
        <f t="shared" si="39"/>
        <v>0.21049560251761076</v>
      </c>
      <c r="Q173" s="10">
        <f t="shared" si="40"/>
        <v>239.91</v>
      </c>
      <c r="R173" s="10">
        <f t="shared" si="41"/>
        <v>1852.0359999999996</v>
      </c>
      <c r="S173" s="10">
        <f t="shared" si="42"/>
        <v>389.84543370430566</v>
      </c>
      <c r="T173" s="9" t="s">
        <v>76</v>
      </c>
      <c r="U173" s="10">
        <v>3404</v>
      </c>
      <c r="V173" s="10">
        <f t="shared" si="43"/>
        <v>2382.7999999999997</v>
      </c>
      <c r="W173" s="166">
        <v>490110</v>
      </c>
      <c r="X173" s="12" t="s">
        <v>26</v>
      </c>
      <c r="Y173" s="12">
        <f t="shared" si="44"/>
        <v>389.84543370430566</v>
      </c>
      <c r="Z173" s="13">
        <f t="shared" si="45"/>
        <v>389.84543370430566</v>
      </c>
      <c r="AA173" s="13">
        <f t="shared" si="46"/>
        <v>389.84543370430566</v>
      </c>
      <c r="AB173" s="13">
        <f t="shared" si="47"/>
        <v>50.5</v>
      </c>
      <c r="AC173" s="13">
        <f t="shared" si="48"/>
        <v>339.34543370430566</v>
      </c>
      <c r="AD173" s="14">
        <f t="shared" si="49"/>
        <v>0.87046148131029843</v>
      </c>
      <c r="AE173" s="14">
        <f t="shared" si="50"/>
        <v>6.7197115585011025</v>
      </c>
      <c r="AF173" s="13" t="str">
        <f>IF(AD173&gt;=Assumptions!$B$3,"OK","Review")</f>
        <v>OK</v>
      </c>
      <c r="AG173" s="13">
        <f>IFERROR(IF(Assumptions!$B$13="Cost Price",AB173,AA173)*SUMIF(Assumptions!$A$6:$A$10,X173,Assumptions!$B$6:$B$10),0)</f>
        <v>31.187634696344453</v>
      </c>
      <c r="AH173" s="13">
        <f>IFERROR(IF(Assumptions!$B$13="Cost Price",AB173,AA173)*SUMIF(Assumptions!$A$6:$A$10,X173,Assumptions!$C$6:$C$10),0)</f>
        <v>19.492271685215286</v>
      </c>
      <c r="AI173" s="13">
        <f>IFERROR(IF(Assumptions!$B$13="Cost Price",AB173,AA173)*SUMIF(Assumptions!$A$6:$A$10,X173,Assumptions!$D$6:$D$10),0)</f>
        <v>38.984543370430572</v>
      </c>
      <c r="AJ173" s="13">
        <v>60.480354299528983</v>
      </c>
      <c r="AK173" s="13">
        <f t="shared" si="51"/>
        <v>150.14480405151929</v>
      </c>
      <c r="AL173" s="14">
        <v>0.33</v>
      </c>
      <c r="AM173" s="13">
        <f t="shared" si="52"/>
        <v>189.20062965278638</v>
      </c>
      <c r="AN173" s="14">
        <f t="shared" si="53"/>
        <v>0.48532216436397557</v>
      </c>
      <c r="AO173" t="str">
        <f>IF(AN173&gt;=Assumptions!$B$3,"OK","Review")</f>
        <v>OK</v>
      </c>
    </row>
    <row r="174" spans="1:41" ht="15" customHeight="1">
      <c r="A174" s="9" t="s">
        <v>242</v>
      </c>
      <c r="B174" s="9" t="s">
        <v>36</v>
      </c>
      <c r="C174" s="9" t="s">
        <v>78</v>
      </c>
      <c r="D174" s="9" t="s">
        <v>102</v>
      </c>
      <c r="E174" s="9" t="s">
        <v>73</v>
      </c>
      <c r="F174" s="9" t="s">
        <v>74</v>
      </c>
      <c r="G174" s="9" t="s">
        <v>24</v>
      </c>
      <c r="H174" s="9" t="s">
        <v>84</v>
      </c>
      <c r="I174" s="9">
        <v>4000011849</v>
      </c>
      <c r="J174" s="10">
        <v>62.84</v>
      </c>
      <c r="K174" s="10"/>
      <c r="L174" s="10">
        <f t="shared" si="36"/>
        <v>62.84</v>
      </c>
      <c r="M174" s="11">
        <v>0</v>
      </c>
      <c r="N174" s="10">
        <f t="shared" si="37"/>
        <v>0</v>
      </c>
      <c r="O174" s="10">
        <f t="shared" si="38"/>
        <v>62.84</v>
      </c>
      <c r="P174" s="11">
        <f t="shared" si="39"/>
        <v>0.26193155766745863</v>
      </c>
      <c r="Q174" s="10">
        <f t="shared" si="40"/>
        <v>239.91</v>
      </c>
      <c r="R174" s="10">
        <f t="shared" si="41"/>
        <v>1852.0359999999996</v>
      </c>
      <c r="S174" s="10">
        <f t="shared" si="42"/>
        <v>485.10667433620932</v>
      </c>
      <c r="T174" s="9" t="s">
        <v>76</v>
      </c>
      <c r="U174" s="10">
        <v>3404</v>
      </c>
      <c r="V174" s="10">
        <f t="shared" si="43"/>
        <v>2382.7999999999997</v>
      </c>
      <c r="W174" s="166">
        <v>490110</v>
      </c>
      <c r="X174" s="12" t="s">
        <v>26</v>
      </c>
      <c r="Y174" s="12">
        <f t="shared" si="44"/>
        <v>485.10667433620932</v>
      </c>
      <c r="Z174" s="13">
        <f t="shared" si="45"/>
        <v>485.10667433620932</v>
      </c>
      <c r="AA174" s="13">
        <f t="shared" si="46"/>
        <v>485.10667433620932</v>
      </c>
      <c r="AB174" s="13">
        <f t="shared" si="47"/>
        <v>62.84</v>
      </c>
      <c r="AC174" s="13">
        <f t="shared" si="48"/>
        <v>422.26667433620935</v>
      </c>
      <c r="AD174" s="14">
        <f t="shared" si="49"/>
        <v>0.87046148131029855</v>
      </c>
      <c r="AE174" s="14">
        <f t="shared" si="50"/>
        <v>6.7197115585011034</v>
      </c>
      <c r="AF174" s="13" t="str">
        <f>IF(AD174&gt;=Assumptions!$B$3,"OK","Review")</f>
        <v>OK</v>
      </c>
      <c r="AG174" s="13">
        <f>IFERROR(IF(Assumptions!$B$13="Cost Price",AB174,AA174)*SUMIF(Assumptions!$A$6:$A$10,X174,Assumptions!$B$6:$B$10),0)</f>
        <v>38.808533946896745</v>
      </c>
      <c r="AH174" s="13">
        <f>IFERROR(IF(Assumptions!$B$13="Cost Price",AB174,AA174)*SUMIF(Assumptions!$A$6:$A$10,X174,Assumptions!$C$6:$C$10),0)</f>
        <v>24.255333716810469</v>
      </c>
      <c r="AI174" s="13">
        <f>IFERROR(IF(Assumptions!$B$13="Cost Price",AB174,AA174)*SUMIF(Assumptions!$A$6:$A$10,X174,Assumptions!$D$6:$D$10),0)</f>
        <v>48.510667433620938</v>
      </c>
      <c r="AJ174" s="13">
        <v>75.259118102621812</v>
      </c>
      <c r="AK174" s="13">
        <f t="shared" si="51"/>
        <v>186.83365319994996</v>
      </c>
      <c r="AL174" s="14">
        <v>0.33</v>
      </c>
      <c r="AM174" s="13">
        <f t="shared" si="52"/>
        <v>235.43302113625938</v>
      </c>
      <c r="AN174" s="14">
        <f t="shared" si="53"/>
        <v>0.48532216436397563</v>
      </c>
      <c r="AO174" t="str">
        <f>IF(AN174&gt;=Assumptions!$B$3,"OK","Review")</f>
        <v>OK</v>
      </c>
    </row>
    <row r="175" spans="1:41" ht="15" customHeight="1">
      <c r="A175" s="9" t="s">
        <v>242</v>
      </c>
      <c r="B175" s="9" t="s">
        <v>36</v>
      </c>
      <c r="C175" s="9" t="s">
        <v>243</v>
      </c>
      <c r="D175" s="9" t="s">
        <v>245</v>
      </c>
      <c r="E175" s="9" t="s">
        <v>73</v>
      </c>
      <c r="F175" s="9" t="s">
        <v>90</v>
      </c>
      <c r="G175" s="9" t="s">
        <v>24</v>
      </c>
      <c r="H175" s="9" t="s">
        <v>75</v>
      </c>
      <c r="I175" s="9">
        <v>7000001002</v>
      </c>
      <c r="J175" s="10">
        <v>118.9</v>
      </c>
      <c r="K175" s="10">
        <v>10</v>
      </c>
      <c r="L175" s="10">
        <f t="shared" si="36"/>
        <v>128.9</v>
      </c>
      <c r="M175" s="11">
        <v>0.18</v>
      </c>
      <c r="N175" s="10">
        <f t="shared" si="37"/>
        <v>23.202000000000002</v>
      </c>
      <c r="O175" s="10">
        <f t="shared" si="38"/>
        <v>152.102</v>
      </c>
      <c r="P175" s="11">
        <f t="shared" si="39"/>
        <v>0.57314361938639391</v>
      </c>
      <c r="Q175" s="10">
        <f t="shared" si="40"/>
        <v>265.38200000000001</v>
      </c>
      <c r="R175" s="10">
        <f t="shared" si="41"/>
        <v>1852.0359999999996</v>
      </c>
      <c r="S175" s="10">
        <f t="shared" si="42"/>
        <v>152.102</v>
      </c>
      <c r="T175" s="9" t="s">
        <v>91</v>
      </c>
      <c r="U175" s="10">
        <v>3404</v>
      </c>
      <c r="V175" s="10">
        <f t="shared" si="43"/>
        <v>2382.7999999999997</v>
      </c>
      <c r="W175" s="166">
        <v>49119990</v>
      </c>
      <c r="X175" s="12" t="s">
        <v>26</v>
      </c>
      <c r="Y175" s="12">
        <f t="shared" si="44"/>
        <v>152.102</v>
      </c>
      <c r="Z175" s="13">
        <f t="shared" si="45"/>
        <v>152.102</v>
      </c>
      <c r="AA175" s="13">
        <f t="shared" si="46"/>
        <v>128.9</v>
      </c>
      <c r="AB175" s="13">
        <f t="shared" si="47"/>
        <v>118.9</v>
      </c>
      <c r="AC175" s="13">
        <f t="shared" si="48"/>
        <v>10</v>
      </c>
      <c r="AD175" s="14">
        <f t="shared" si="49"/>
        <v>7.7579519006982151E-2</v>
      </c>
      <c r="AE175" s="14">
        <f t="shared" si="50"/>
        <v>8.4104289318755257E-2</v>
      </c>
      <c r="AF175" s="13" t="str">
        <f>IF(AD175&gt;=Assumptions!$B$3,"OK","Review")</f>
        <v>Review</v>
      </c>
      <c r="AG175" s="13">
        <f>IFERROR(IF(Assumptions!$B$13="Cost Price",AB175,AA175)*SUMIF(Assumptions!$A$6:$A$10,X175,Assumptions!$B$6:$B$10),0)</f>
        <v>10.312000000000001</v>
      </c>
      <c r="AH175" s="13">
        <f>IFERROR(IF(Assumptions!$B$13="Cost Price",AB175,AA175)*SUMIF(Assumptions!$A$6:$A$10,X175,Assumptions!$C$6:$C$10),0)</f>
        <v>6.4450000000000003</v>
      </c>
      <c r="AI175" s="13">
        <f>IFERROR(IF(Assumptions!$B$13="Cost Price",AB175,AA175)*SUMIF(Assumptions!$A$6:$A$10,X175,Assumptions!$D$6:$D$10),0)</f>
        <v>12.89</v>
      </c>
      <c r="AJ175" s="13">
        <v>12.89</v>
      </c>
      <c r="AK175" s="13">
        <f t="shared" si="51"/>
        <v>42.537000000000006</v>
      </c>
      <c r="AL175" s="14">
        <v>0.33</v>
      </c>
      <c r="AM175" s="13">
        <f t="shared" si="52"/>
        <v>-32.537000000000006</v>
      </c>
      <c r="AN175" s="14">
        <f t="shared" si="53"/>
        <v>-0.25242048099301789</v>
      </c>
      <c r="AO175" t="str">
        <f>IF(AN175&gt;=Assumptions!$B$3,"OK","Review")</f>
        <v>Review</v>
      </c>
    </row>
    <row r="176" spans="1:41" ht="15" customHeight="1">
      <c r="A176" s="9" t="s">
        <v>242</v>
      </c>
      <c r="B176" s="9" t="s">
        <v>36</v>
      </c>
      <c r="C176" s="9" t="s">
        <v>92</v>
      </c>
      <c r="D176" s="9" t="s">
        <v>93</v>
      </c>
      <c r="E176" s="9" t="s">
        <v>73</v>
      </c>
      <c r="F176" s="9" t="s">
        <v>94</v>
      </c>
      <c r="G176" s="9" t="s">
        <v>24</v>
      </c>
      <c r="H176" s="9" t="s">
        <v>75</v>
      </c>
      <c r="I176" s="9">
        <v>8400007</v>
      </c>
      <c r="J176" s="10">
        <v>96</v>
      </c>
      <c r="K176" s="10"/>
      <c r="L176" s="10">
        <f t="shared" si="36"/>
        <v>96</v>
      </c>
      <c r="M176" s="11">
        <v>0.18</v>
      </c>
      <c r="N176" s="10">
        <f t="shared" si="37"/>
        <v>17.28</v>
      </c>
      <c r="O176" s="10">
        <f t="shared" si="38"/>
        <v>113.28</v>
      </c>
      <c r="P176" s="11">
        <f t="shared" si="39"/>
        <v>0.42685638061360603</v>
      </c>
      <c r="Q176" s="10">
        <f t="shared" si="40"/>
        <v>265.38200000000001</v>
      </c>
      <c r="R176" s="10">
        <f t="shared" si="41"/>
        <v>1852.0359999999996</v>
      </c>
      <c r="S176" s="10">
        <f t="shared" si="42"/>
        <v>113.28</v>
      </c>
      <c r="T176" s="9" t="s">
        <v>91</v>
      </c>
      <c r="U176" s="10">
        <v>3404</v>
      </c>
      <c r="V176" s="10">
        <f t="shared" si="43"/>
        <v>2382.7999999999997</v>
      </c>
      <c r="W176" s="166">
        <v>999299</v>
      </c>
      <c r="X176" s="12" t="s">
        <v>26</v>
      </c>
      <c r="Y176" s="12">
        <f t="shared" si="44"/>
        <v>113.28</v>
      </c>
      <c r="Z176" s="13">
        <f t="shared" si="45"/>
        <v>113.28</v>
      </c>
      <c r="AA176" s="13">
        <f t="shared" si="46"/>
        <v>96</v>
      </c>
      <c r="AB176" s="13">
        <f t="shared" si="47"/>
        <v>96</v>
      </c>
      <c r="AC176" s="13">
        <f t="shared" si="48"/>
        <v>0</v>
      </c>
      <c r="AD176" s="14">
        <f t="shared" si="49"/>
        <v>0</v>
      </c>
      <c r="AE176" s="14">
        <f t="shared" si="50"/>
        <v>0</v>
      </c>
      <c r="AF176" s="13" t="str">
        <f>IF(AD176&gt;=Assumptions!$B$3,"OK","Review")</f>
        <v>Review</v>
      </c>
      <c r="AG176" s="13">
        <f>IFERROR(IF(Assumptions!$B$13="Cost Price",AB176,AA176)*SUMIF(Assumptions!$A$6:$A$10,X176,Assumptions!$B$6:$B$10),0)</f>
        <v>7.68</v>
      </c>
      <c r="AH176" s="13">
        <f>IFERROR(IF(Assumptions!$B$13="Cost Price",AB176,AA176)*SUMIF(Assumptions!$A$6:$A$10,X176,Assumptions!$C$6:$C$10),0)</f>
        <v>4.8000000000000007</v>
      </c>
      <c r="AI176" s="13">
        <f>IFERROR(IF(Assumptions!$B$13="Cost Price",AB176,AA176)*SUMIF(Assumptions!$A$6:$A$10,X176,Assumptions!$D$6:$D$10),0)</f>
        <v>9.6000000000000014</v>
      </c>
      <c r="AJ176" s="13">
        <v>9.6000000000000014</v>
      </c>
      <c r="AK176" s="13">
        <f t="shared" si="51"/>
        <v>31.680000000000003</v>
      </c>
      <c r="AL176" s="14">
        <v>0.33</v>
      </c>
      <c r="AM176" s="13">
        <f t="shared" si="52"/>
        <v>-31.680000000000003</v>
      </c>
      <c r="AN176" s="14">
        <f t="shared" si="53"/>
        <v>-0.33</v>
      </c>
      <c r="AO176" t="str">
        <f>IF(AN176&gt;=Assumptions!$B$3,"OK","Review")</f>
        <v>Review</v>
      </c>
    </row>
    <row r="177" spans="1:41" ht="15" customHeight="1">
      <c r="A177" s="9" t="s">
        <v>242</v>
      </c>
      <c r="B177" s="9" t="s">
        <v>37</v>
      </c>
      <c r="C177" s="9" t="s">
        <v>105</v>
      </c>
      <c r="D177" s="9" t="s">
        <v>106</v>
      </c>
      <c r="E177" s="9" t="s">
        <v>73</v>
      </c>
      <c r="F177" s="9" t="s">
        <v>74</v>
      </c>
      <c r="G177" s="9" t="s">
        <v>24</v>
      </c>
      <c r="H177" s="9" t="s">
        <v>75</v>
      </c>
      <c r="I177" s="9">
        <v>4000011851</v>
      </c>
      <c r="J177" s="10">
        <v>30</v>
      </c>
      <c r="K177" s="10"/>
      <c r="L177" s="10">
        <f t="shared" si="36"/>
        <v>30</v>
      </c>
      <c r="M177" s="11">
        <v>0</v>
      </c>
      <c r="N177" s="10">
        <f t="shared" si="37"/>
        <v>0</v>
      </c>
      <c r="O177" s="10">
        <f t="shared" si="38"/>
        <v>30</v>
      </c>
      <c r="P177" s="11">
        <f t="shared" si="39"/>
        <v>7.7291698871541192E-2</v>
      </c>
      <c r="Q177" s="10">
        <f t="shared" si="40"/>
        <v>388.14</v>
      </c>
      <c r="R177" s="10">
        <f t="shared" si="41"/>
        <v>2694.5039999999999</v>
      </c>
      <c r="S177" s="10">
        <f t="shared" si="42"/>
        <v>208.26279177616323</v>
      </c>
      <c r="T177" s="9" t="s">
        <v>76</v>
      </c>
      <c r="U177" s="10">
        <v>4561</v>
      </c>
      <c r="V177" s="10">
        <f t="shared" si="43"/>
        <v>3192.7</v>
      </c>
      <c r="W177" s="166">
        <v>490110</v>
      </c>
      <c r="X177" s="12" t="s">
        <v>26</v>
      </c>
      <c r="Y177" s="12">
        <f t="shared" si="44"/>
        <v>208.26279177616323</v>
      </c>
      <c r="Z177" s="13">
        <f t="shared" si="45"/>
        <v>208.26279177616323</v>
      </c>
      <c r="AA177" s="13">
        <f t="shared" si="46"/>
        <v>208.26279177616323</v>
      </c>
      <c r="AB177" s="13">
        <f t="shared" si="47"/>
        <v>30</v>
      </c>
      <c r="AC177" s="13">
        <f t="shared" si="48"/>
        <v>178.26279177616323</v>
      </c>
      <c r="AD177" s="14">
        <f t="shared" si="49"/>
        <v>0.855951225160549</v>
      </c>
      <c r="AE177" s="14">
        <f t="shared" si="50"/>
        <v>5.9420930592054413</v>
      </c>
      <c r="AF177" s="13" t="str">
        <f>IF(AD177&gt;=Assumptions!$B$3,"OK","Review")</f>
        <v>OK</v>
      </c>
      <c r="AG177" s="13">
        <f>IFERROR(IF(Assumptions!$B$13="Cost Price",AB177,AA177)*SUMIF(Assumptions!$A$6:$A$10,X177,Assumptions!$B$6:$B$10),0)</f>
        <v>16.66102334209306</v>
      </c>
      <c r="AH177" s="13">
        <f>IFERROR(IF(Assumptions!$B$13="Cost Price",AB177,AA177)*SUMIF(Assumptions!$A$6:$A$10,X177,Assumptions!$C$6:$C$10),0)</f>
        <v>10.413139588808162</v>
      </c>
      <c r="AI177" s="13">
        <f>IFERROR(IF(Assumptions!$B$13="Cost Price",AB177,AA177)*SUMIF(Assumptions!$A$6:$A$10,X177,Assumptions!$D$6:$D$10),0)</f>
        <v>20.826279177616325</v>
      </c>
      <c r="AJ177" s="13">
        <v>31.402102334209303</v>
      </c>
      <c r="AK177" s="13">
        <f t="shared" si="51"/>
        <v>79.302544442726855</v>
      </c>
      <c r="AL177" s="14">
        <v>0.33</v>
      </c>
      <c r="AM177" s="13">
        <f t="shared" si="52"/>
        <v>98.960247333436371</v>
      </c>
      <c r="AN177" s="14">
        <f t="shared" si="53"/>
        <v>0.47517007953968515</v>
      </c>
      <c r="AO177" t="str">
        <f>IF(AN177&gt;=Assumptions!$B$3,"OK","Review")</f>
        <v>OK</v>
      </c>
    </row>
    <row r="178" spans="1:41" ht="15" customHeight="1">
      <c r="A178" s="9" t="s">
        <v>242</v>
      </c>
      <c r="B178" s="9" t="s">
        <v>37</v>
      </c>
      <c r="C178" s="9" t="s">
        <v>71</v>
      </c>
      <c r="D178" s="9" t="s">
        <v>108</v>
      </c>
      <c r="E178" s="9" t="s">
        <v>73</v>
      </c>
      <c r="F178" s="9" t="s">
        <v>74</v>
      </c>
      <c r="G178" s="9" t="s">
        <v>24</v>
      </c>
      <c r="H178" s="9" t="s">
        <v>75</v>
      </c>
      <c r="I178" s="9">
        <v>4000011854</v>
      </c>
      <c r="J178" s="10">
        <v>43.03</v>
      </c>
      <c r="K178" s="10"/>
      <c r="L178" s="10">
        <f t="shared" si="36"/>
        <v>43.03</v>
      </c>
      <c r="M178" s="11">
        <v>0</v>
      </c>
      <c r="N178" s="10">
        <f t="shared" si="37"/>
        <v>0</v>
      </c>
      <c r="O178" s="10">
        <f t="shared" si="38"/>
        <v>43.03</v>
      </c>
      <c r="P178" s="11">
        <f t="shared" si="39"/>
        <v>0.11086206008141393</v>
      </c>
      <c r="Q178" s="10">
        <f t="shared" si="40"/>
        <v>388.14</v>
      </c>
      <c r="R178" s="10">
        <f t="shared" si="41"/>
        <v>2694.5039999999999</v>
      </c>
      <c r="S178" s="10">
        <f t="shared" si="42"/>
        <v>298.71826433761015</v>
      </c>
      <c r="T178" s="9" t="s">
        <v>76</v>
      </c>
      <c r="U178" s="10">
        <v>4561</v>
      </c>
      <c r="V178" s="10">
        <f t="shared" si="43"/>
        <v>3192.7</v>
      </c>
      <c r="W178" s="166">
        <v>490110</v>
      </c>
      <c r="X178" s="12" t="s">
        <v>26</v>
      </c>
      <c r="Y178" s="12">
        <f t="shared" si="44"/>
        <v>298.71826433761015</v>
      </c>
      <c r="Z178" s="13">
        <f t="shared" si="45"/>
        <v>298.71826433761015</v>
      </c>
      <c r="AA178" s="13">
        <f t="shared" si="46"/>
        <v>298.71826433761015</v>
      </c>
      <c r="AB178" s="13">
        <f t="shared" si="47"/>
        <v>43.03</v>
      </c>
      <c r="AC178" s="13">
        <f t="shared" si="48"/>
        <v>255.68826433761015</v>
      </c>
      <c r="AD178" s="14">
        <f t="shared" si="49"/>
        <v>0.855951225160549</v>
      </c>
      <c r="AE178" s="14">
        <f t="shared" si="50"/>
        <v>5.9420930592054413</v>
      </c>
      <c r="AF178" s="13" t="str">
        <f>IF(AD178&gt;=Assumptions!$B$3,"OK","Review")</f>
        <v>OK</v>
      </c>
      <c r="AG178" s="13">
        <f>IFERROR(IF(Assumptions!$B$13="Cost Price",AB178,AA178)*SUMIF(Assumptions!$A$6:$A$10,X178,Assumptions!$B$6:$B$10),0)</f>
        <v>23.897461147008812</v>
      </c>
      <c r="AH178" s="13">
        <f>IFERROR(IF(Assumptions!$B$13="Cost Price",AB178,AA178)*SUMIF(Assumptions!$A$6:$A$10,X178,Assumptions!$C$6:$C$10),0)</f>
        <v>14.935913216880508</v>
      </c>
      <c r="AI178" s="13">
        <f>IFERROR(IF(Assumptions!$B$13="Cost Price",AB178,AA178)*SUMIF(Assumptions!$A$6:$A$10,X178,Assumptions!$D$6:$D$10),0)</f>
        <v>29.871826433761015</v>
      </c>
      <c r="AJ178" s="13">
        <v>45.041082114700885</v>
      </c>
      <c r="AK178" s="13">
        <f t="shared" si="51"/>
        <v>113.74628291235122</v>
      </c>
      <c r="AL178" s="14">
        <v>0.33</v>
      </c>
      <c r="AM178" s="13">
        <f t="shared" si="52"/>
        <v>141.94198142525892</v>
      </c>
      <c r="AN178" s="14">
        <f t="shared" si="53"/>
        <v>0.47517007953968515</v>
      </c>
      <c r="AO178" t="str">
        <f>IF(AN178&gt;=Assumptions!$B$3,"OK","Review")</f>
        <v>OK</v>
      </c>
    </row>
    <row r="179" spans="1:41" ht="15" customHeight="1">
      <c r="A179" s="9" t="s">
        <v>242</v>
      </c>
      <c r="B179" s="9" t="s">
        <v>37</v>
      </c>
      <c r="C179" s="9" t="s">
        <v>78</v>
      </c>
      <c r="D179" s="9" t="s">
        <v>110</v>
      </c>
      <c r="E179" s="9" t="s">
        <v>73</v>
      </c>
      <c r="F179" s="9" t="s">
        <v>74</v>
      </c>
      <c r="G179" s="9" t="s">
        <v>24</v>
      </c>
      <c r="H179" s="9" t="s">
        <v>75</v>
      </c>
      <c r="I179" s="9">
        <v>4000011857</v>
      </c>
      <c r="J179" s="10">
        <v>28.34</v>
      </c>
      <c r="K179" s="10"/>
      <c r="L179" s="10">
        <f t="shared" si="36"/>
        <v>28.34</v>
      </c>
      <c r="M179" s="11">
        <v>0</v>
      </c>
      <c r="N179" s="10">
        <f t="shared" si="37"/>
        <v>0</v>
      </c>
      <c r="O179" s="10">
        <f t="shared" si="38"/>
        <v>28.34</v>
      </c>
      <c r="P179" s="11">
        <f t="shared" si="39"/>
        <v>7.3014891533982593E-2</v>
      </c>
      <c r="Q179" s="10">
        <f t="shared" si="40"/>
        <v>388.14</v>
      </c>
      <c r="R179" s="10">
        <f t="shared" si="41"/>
        <v>2694.5039999999999</v>
      </c>
      <c r="S179" s="10">
        <f t="shared" si="42"/>
        <v>196.73891729788224</v>
      </c>
      <c r="T179" s="9" t="s">
        <v>76</v>
      </c>
      <c r="U179" s="10">
        <v>4561</v>
      </c>
      <c r="V179" s="10">
        <f t="shared" si="43"/>
        <v>3192.7</v>
      </c>
      <c r="W179" s="166">
        <v>490110</v>
      </c>
      <c r="X179" s="12" t="s">
        <v>26</v>
      </c>
      <c r="Y179" s="12">
        <f t="shared" si="44"/>
        <v>196.73891729788224</v>
      </c>
      <c r="Z179" s="13">
        <f t="shared" si="45"/>
        <v>196.73891729788224</v>
      </c>
      <c r="AA179" s="13">
        <f t="shared" si="46"/>
        <v>196.73891729788224</v>
      </c>
      <c r="AB179" s="13">
        <f t="shared" si="47"/>
        <v>28.34</v>
      </c>
      <c r="AC179" s="13">
        <f t="shared" si="48"/>
        <v>168.39891729788224</v>
      </c>
      <c r="AD179" s="14">
        <f t="shared" si="49"/>
        <v>0.855951225160549</v>
      </c>
      <c r="AE179" s="14">
        <f t="shared" si="50"/>
        <v>5.9420930592054422</v>
      </c>
      <c r="AF179" s="13" t="str">
        <f>IF(AD179&gt;=Assumptions!$B$3,"OK","Review")</f>
        <v>OK</v>
      </c>
      <c r="AG179" s="13">
        <f>IFERROR(IF(Assumptions!$B$13="Cost Price",AB179,AA179)*SUMIF(Assumptions!$A$6:$A$10,X179,Assumptions!$B$6:$B$10),0)</f>
        <v>15.739113383830579</v>
      </c>
      <c r="AH179" s="13">
        <f>IFERROR(IF(Assumptions!$B$13="Cost Price",AB179,AA179)*SUMIF(Assumptions!$A$6:$A$10,X179,Assumptions!$C$6:$C$10),0)</f>
        <v>9.8369458648941119</v>
      </c>
      <c r="AI179" s="13">
        <f>IFERROR(IF(Assumptions!$B$13="Cost Price",AB179,AA179)*SUMIF(Assumptions!$A$6:$A$10,X179,Assumptions!$D$6:$D$10),0)</f>
        <v>19.673891729788224</v>
      </c>
      <c r="AJ179" s="13">
        <v>29.664519338383066</v>
      </c>
      <c r="AK179" s="13">
        <f t="shared" si="51"/>
        <v>74.914470316895972</v>
      </c>
      <c r="AL179" s="14">
        <v>0.33</v>
      </c>
      <c r="AM179" s="13">
        <f t="shared" si="52"/>
        <v>93.484446980986263</v>
      </c>
      <c r="AN179" s="14">
        <f t="shared" si="53"/>
        <v>0.47517007953968526</v>
      </c>
      <c r="AO179" t="str">
        <f>IF(AN179&gt;=Assumptions!$B$3,"OK","Review")</f>
        <v>OK</v>
      </c>
    </row>
    <row r="180" spans="1:41" ht="15" customHeight="1">
      <c r="A180" s="9" t="s">
        <v>242</v>
      </c>
      <c r="B180" s="9" t="s">
        <v>37</v>
      </c>
      <c r="C180" s="9" t="s">
        <v>78</v>
      </c>
      <c r="D180" s="9" t="s">
        <v>111</v>
      </c>
      <c r="E180" s="9" t="s">
        <v>73</v>
      </c>
      <c r="F180" s="9" t="s">
        <v>74</v>
      </c>
      <c r="G180" s="9" t="s">
        <v>24</v>
      </c>
      <c r="H180" s="9" t="s">
        <v>75</v>
      </c>
      <c r="I180" s="9">
        <v>4000011856</v>
      </c>
      <c r="J180" s="10">
        <v>65.83</v>
      </c>
      <c r="K180" s="10"/>
      <c r="L180" s="10">
        <f t="shared" si="36"/>
        <v>65.83</v>
      </c>
      <c r="M180" s="11">
        <v>0</v>
      </c>
      <c r="N180" s="10">
        <f t="shared" si="37"/>
        <v>0</v>
      </c>
      <c r="O180" s="10">
        <f t="shared" si="38"/>
        <v>65.83</v>
      </c>
      <c r="P180" s="11">
        <f t="shared" si="39"/>
        <v>0.16960375122378524</v>
      </c>
      <c r="Q180" s="10">
        <f t="shared" si="40"/>
        <v>388.14</v>
      </c>
      <c r="R180" s="10">
        <f t="shared" si="41"/>
        <v>2694.5039999999999</v>
      </c>
      <c r="S180" s="10">
        <f t="shared" si="42"/>
        <v>456.99798608749421</v>
      </c>
      <c r="T180" s="9" t="s">
        <v>76</v>
      </c>
      <c r="U180" s="10">
        <v>4561</v>
      </c>
      <c r="V180" s="10">
        <f t="shared" si="43"/>
        <v>3192.7</v>
      </c>
      <c r="W180" s="166">
        <v>490110</v>
      </c>
      <c r="X180" s="12" t="s">
        <v>26</v>
      </c>
      <c r="Y180" s="12">
        <f t="shared" si="44"/>
        <v>456.99798608749421</v>
      </c>
      <c r="Z180" s="13">
        <f t="shared" si="45"/>
        <v>456.99798608749421</v>
      </c>
      <c r="AA180" s="13">
        <f t="shared" si="46"/>
        <v>456.99798608749421</v>
      </c>
      <c r="AB180" s="13">
        <f t="shared" si="47"/>
        <v>65.83</v>
      </c>
      <c r="AC180" s="13">
        <f t="shared" si="48"/>
        <v>391.16798608749423</v>
      </c>
      <c r="AD180" s="14">
        <f t="shared" si="49"/>
        <v>0.85595122516054911</v>
      </c>
      <c r="AE180" s="14">
        <f t="shared" si="50"/>
        <v>5.9420930592054422</v>
      </c>
      <c r="AF180" s="13" t="str">
        <f>IF(AD180&gt;=Assumptions!$B$3,"OK","Review")</f>
        <v>OK</v>
      </c>
      <c r="AG180" s="13">
        <f>IFERROR(IF(Assumptions!$B$13="Cost Price",AB180,AA180)*SUMIF(Assumptions!$A$6:$A$10,X180,Assumptions!$B$6:$B$10),0)</f>
        <v>36.559838886999536</v>
      </c>
      <c r="AH180" s="13">
        <f>IFERROR(IF(Assumptions!$B$13="Cost Price",AB180,AA180)*SUMIF(Assumptions!$A$6:$A$10,X180,Assumptions!$C$6:$C$10),0)</f>
        <v>22.849899304374713</v>
      </c>
      <c r="AI180" s="13">
        <f>IFERROR(IF(Assumptions!$B$13="Cost Price",AB180,AA180)*SUMIF(Assumptions!$A$6:$A$10,X180,Assumptions!$D$6:$D$10),0)</f>
        <v>45.699798608749425</v>
      </c>
      <c r="AJ180" s="13">
        <v>68.906679888699955</v>
      </c>
      <c r="AK180" s="13">
        <f t="shared" si="51"/>
        <v>174.01621668882362</v>
      </c>
      <c r="AL180" s="14">
        <v>0.33</v>
      </c>
      <c r="AM180" s="13">
        <f t="shared" si="52"/>
        <v>217.15176939867061</v>
      </c>
      <c r="AN180" s="14">
        <f t="shared" si="53"/>
        <v>0.47517007953968526</v>
      </c>
      <c r="AO180" t="str">
        <f>IF(AN180&gt;=Assumptions!$B$3,"OK","Review")</f>
        <v>OK</v>
      </c>
    </row>
    <row r="181" spans="1:41" ht="15" customHeight="1">
      <c r="A181" s="9" t="s">
        <v>242</v>
      </c>
      <c r="B181" s="9" t="s">
        <v>37</v>
      </c>
      <c r="C181" s="9" t="s">
        <v>113</v>
      </c>
      <c r="D181" s="9" t="s">
        <v>114</v>
      </c>
      <c r="E181" s="9" t="s">
        <v>73</v>
      </c>
      <c r="F181" s="9" t="s">
        <v>74</v>
      </c>
      <c r="G181" s="9" t="s">
        <v>24</v>
      </c>
      <c r="H181" s="9" t="s">
        <v>75</v>
      </c>
      <c r="I181" s="9">
        <v>4000011859</v>
      </c>
      <c r="J181" s="10">
        <v>54.55</v>
      </c>
      <c r="K181" s="10"/>
      <c r="L181" s="10">
        <f t="shared" si="36"/>
        <v>54.55</v>
      </c>
      <c r="M181" s="11">
        <v>0</v>
      </c>
      <c r="N181" s="10">
        <f t="shared" si="37"/>
        <v>0</v>
      </c>
      <c r="O181" s="10">
        <f t="shared" si="38"/>
        <v>54.55</v>
      </c>
      <c r="P181" s="11">
        <f t="shared" si="39"/>
        <v>0.14054207244808575</v>
      </c>
      <c r="Q181" s="10">
        <f t="shared" si="40"/>
        <v>388.14</v>
      </c>
      <c r="R181" s="10">
        <f t="shared" si="41"/>
        <v>2694.5039999999999</v>
      </c>
      <c r="S181" s="10">
        <f t="shared" si="42"/>
        <v>378.69117637965684</v>
      </c>
      <c r="T181" s="9" t="s">
        <v>76</v>
      </c>
      <c r="U181" s="10">
        <v>4561</v>
      </c>
      <c r="V181" s="10">
        <f t="shared" si="43"/>
        <v>3192.7</v>
      </c>
      <c r="W181" s="166">
        <v>490110</v>
      </c>
      <c r="X181" s="12" t="s">
        <v>26</v>
      </c>
      <c r="Y181" s="12">
        <f t="shared" si="44"/>
        <v>378.69117637965684</v>
      </c>
      <c r="Z181" s="13">
        <f t="shared" si="45"/>
        <v>378.69117637965684</v>
      </c>
      <c r="AA181" s="13">
        <f t="shared" si="46"/>
        <v>378.69117637965684</v>
      </c>
      <c r="AB181" s="13">
        <f t="shared" si="47"/>
        <v>54.55</v>
      </c>
      <c r="AC181" s="13">
        <f t="shared" si="48"/>
        <v>324.14117637965683</v>
      </c>
      <c r="AD181" s="14">
        <f t="shared" si="49"/>
        <v>0.855951225160549</v>
      </c>
      <c r="AE181" s="14">
        <f t="shared" si="50"/>
        <v>5.9420930592054413</v>
      </c>
      <c r="AF181" s="13" t="str">
        <f>IF(AD181&gt;=Assumptions!$B$3,"OK","Review")</f>
        <v>OK</v>
      </c>
      <c r="AG181" s="13">
        <f>IFERROR(IF(Assumptions!$B$13="Cost Price",AB181,AA181)*SUMIF(Assumptions!$A$6:$A$10,X181,Assumptions!$B$6:$B$10),0)</f>
        <v>30.295294110372549</v>
      </c>
      <c r="AH181" s="13">
        <f>IFERROR(IF(Assumptions!$B$13="Cost Price",AB181,AA181)*SUMIF(Assumptions!$A$6:$A$10,X181,Assumptions!$C$6:$C$10),0)</f>
        <v>18.934558818982843</v>
      </c>
      <c r="AI181" s="13">
        <f>IFERROR(IF(Assumptions!$B$13="Cost Price",AB181,AA181)*SUMIF(Assumptions!$A$6:$A$10,X181,Assumptions!$D$6:$D$10),0)</f>
        <v>37.869117637965687</v>
      </c>
      <c r="AJ181" s="13">
        <v>57.099489411037261</v>
      </c>
      <c r="AK181" s="13">
        <f t="shared" si="51"/>
        <v>144.19845997835833</v>
      </c>
      <c r="AL181" s="14">
        <v>0.33</v>
      </c>
      <c r="AM181" s="13">
        <f t="shared" si="52"/>
        <v>179.9427164012985</v>
      </c>
      <c r="AN181" s="14">
        <f t="shared" si="53"/>
        <v>0.47517007953968521</v>
      </c>
      <c r="AO181" t="str">
        <f>IF(AN181&gt;=Assumptions!$B$3,"OK","Review")</f>
        <v>OK</v>
      </c>
    </row>
    <row r="182" spans="1:41" ht="15" customHeight="1">
      <c r="A182" s="9" t="s">
        <v>242</v>
      </c>
      <c r="B182" s="9" t="s">
        <v>37</v>
      </c>
      <c r="C182" s="9" t="s">
        <v>105</v>
      </c>
      <c r="D182" s="9" t="s">
        <v>115</v>
      </c>
      <c r="E182" s="9" t="s">
        <v>73</v>
      </c>
      <c r="F182" s="9" t="s">
        <v>74</v>
      </c>
      <c r="G182" s="9" t="s">
        <v>24</v>
      </c>
      <c r="H182" s="9" t="s">
        <v>84</v>
      </c>
      <c r="I182" s="9">
        <v>4000011780</v>
      </c>
      <c r="J182" s="10">
        <v>32.14</v>
      </c>
      <c r="K182" s="10"/>
      <c r="L182" s="10">
        <f t="shared" si="36"/>
        <v>32.14</v>
      </c>
      <c r="M182" s="11">
        <v>0</v>
      </c>
      <c r="N182" s="10">
        <f t="shared" si="37"/>
        <v>0</v>
      </c>
      <c r="O182" s="10">
        <f t="shared" si="38"/>
        <v>32.14</v>
      </c>
      <c r="P182" s="11">
        <f t="shared" si="39"/>
        <v>8.280517339104447E-2</v>
      </c>
      <c r="Q182" s="10">
        <f t="shared" si="40"/>
        <v>388.14</v>
      </c>
      <c r="R182" s="10">
        <f t="shared" si="41"/>
        <v>2694.5039999999999</v>
      </c>
      <c r="S182" s="10">
        <f t="shared" si="42"/>
        <v>223.11887092286287</v>
      </c>
      <c r="T182" s="9" t="s">
        <v>76</v>
      </c>
      <c r="U182" s="10">
        <v>4561</v>
      </c>
      <c r="V182" s="10">
        <f t="shared" si="43"/>
        <v>3192.7</v>
      </c>
      <c r="W182" s="166">
        <v>490110</v>
      </c>
      <c r="X182" s="12" t="s">
        <v>26</v>
      </c>
      <c r="Y182" s="12">
        <f t="shared" si="44"/>
        <v>223.11887092286287</v>
      </c>
      <c r="Z182" s="13">
        <f t="shared" si="45"/>
        <v>223.11887092286287</v>
      </c>
      <c r="AA182" s="13">
        <f t="shared" si="46"/>
        <v>223.11887092286287</v>
      </c>
      <c r="AB182" s="13">
        <f t="shared" si="47"/>
        <v>32.14</v>
      </c>
      <c r="AC182" s="13">
        <f t="shared" si="48"/>
        <v>190.97887092286288</v>
      </c>
      <c r="AD182" s="14">
        <f t="shared" si="49"/>
        <v>0.85595122516054911</v>
      </c>
      <c r="AE182" s="14">
        <f t="shared" si="50"/>
        <v>5.9420930592054413</v>
      </c>
      <c r="AF182" s="13" t="str">
        <f>IF(AD182&gt;=Assumptions!$B$3,"OK","Review")</f>
        <v>OK</v>
      </c>
      <c r="AG182" s="13">
        <f>IFERROR(IF(Assumptions!$B$13="Cost Price",AB182,AA182)*SUMIF(Assumptions!$A$6:$A$10,X182,Assumptions!$B$6:$B$10),0)</f>
        <v>17.849509673829029</v>
      </c>
      <c r="AH182" s="13">
        <f>IFERROR(IF(Assumptions!$B$13="Cost Price",AB182,AA182)*SUMIF(Assumptions!$A$6:$A$10,X182,Assumptions!$C$6:$C$10),0)</f>
        <v>11.155943546143144</v>
      </c>
      <c r="AI182" s="13">
        <f>IFERROR(IF(Assumptions!$B$13="Cost Price",AB182,AA182)*SUMIF(Assumptions!$A$6:$A$10,X182,Assumptions!$D$6:$D$10),0)</f>
        <v>22.311887092286288</v>
      </c>
      <c r="AJ182" s="13">
        <v>33.642118967382906</v>
      </c>
      <c r="AK182" s="13">
        <f t="shared" si="51"/>
        <v>84.959459279641379</v>
      </c>
      <c r="AL182" s="14">
        <v>0.33</v>
      </c>
      <c r="AM182" s="13">
        <f t="shared" si="52"/>
        <v>106.0194116432215</v>
      </c>
      <c r="AN182" s="14">
        <f t="shared" si="53"/>
        <v>0.47517007953968521</v>
      </c>
      <c r="AO182" t="str">
        <f>IF(AN182&gt;=Assumptions!$B$3,"OK","Review")</f>
        <v>OK</v>
      </c>
    </row>
    <row r="183" spans="1:41" ht="15" customHeight="1">
      <c r="A183" s="9" t="s">
        <v>242</v>
      </c>
      <c r="B183" s="9" t="s">
        <v>37</v>
      </c>
      <c r="C183" s="9" t="s">
        <v>71</v>
      </c>
      <c r="D183" s="9" t="s">
        <v>117</v>
      </c>
      <c r="E183" s="9" t="s">
        <v>73</v>
      </c>
      <c r="F183" s="9" t="s">
        <v>74</v>
      </c>
      <c r="G183" s="9" t="s">
        <v>24</v>
      </c>
      <c r="H183" s="9" t="s">
        <v>84</v>
      </c>
      <c r="I183" s="9">
        <v>4000011782</v>
      </c>
      <c r="J183" s="10">
        <v>43.03</v>
      </c>
      <c r="K183" s="10"/>
      <c r="L183" s="10">
        <f t="shared" si="36"/>
        <v>43.03</v>
      </c>
      <c r="M183" s="11">
        <v>0</v>
      </c>
      <c r="N183" s="10">
        <f t="shared" si="37"/>
        <v>0</v>
      </c>
      <c r="O183" s="10">
        <f t="shared" si="38"/>
        <v>43.03</v>
      </c>
      <c r="P183" s="11">
        <f t="shared" si="39"/>
        <v>0.11086206008141393</v>
      </c>
      <c r="Q183" s="10">
        <f t="shared" si="40"/>
        <v>388.14</v>
      </c>
      <c r="R183" s="10">
        <f t="shared" si="41"/>
        <v>2694.5039999999999</v>
      </c>
      <c r="S183" s="10">
        <f t="shared" si="42"/>
        <v>298.71826433761015</v>
      </c>
      <c r="T183" s="9" t="s">
        <v>76</v>
      </c>
      <c r="U183" s="10">
        <v>4561</v>
      </c>
      <c r="V183" s="10">
        <f t="shared" si="43"/>
        <v>3192.7</v>
      </c>
      <c r="W183" s="166">
        <v>490110</v>
      </c>
      <c r="X183" s="12" t="s">
        <v>26</v>
      </c>
      <c r="Y183" s="12">
        <f t="shared" si="44"/>
        <v>298.71826433761015</v>
      </c>
      <c r="Z183" s="13">
        <f t="shared" si="45"/>
        <v>298.71826433761015</v>
      </c>
      <c r="AA183" s="13">
        <f t="shared" si="46"/>
        <v>298.71826433761015</v>
      </c>
      <c r="AB183" s="13">
        <f t="shared" si="47"/>
        <v>43.03</v>
      </c>
      <c r="AC183" s="13">
        <f t="shared" si="48"/>
        <v>255.68826433761015</v>
      </c>
      <c r="AD183" s="14">
        <f t="shared" si="49"/>
        <v>0.855951225160549</v>
      </c>
      <c r="AE183" s="14">
        <f t="shared" si="50"/>
        <v>5.9420930592054413</v>
      </c>
      <c r="AF183" s="13" t="str">
        <f>IF(AD183&gt;=Assumptions!$B$3,"OK","Review")</f>
        <v>OK</v>
      </c>
      <c r="AG183" s="13">
        <f>IFERROR(IF(Assumptions!$B$13="Cost Price",AB183,AA183)*SUMIF(Assumptions!$A$6:$A$10,X183,Assumptions!$B$6:$B$10),0)</f>
        <v>23.897461147008812</v>
      </c>
      <c r="AH183" s="13">
        <f>IFERROR(IF(Assumptions!$B$13="Cost Price",AB183,AA183)*SUMIF(Assumptions!$A$6:$A$10,X183,Assumptions!$C$6:$C$10),0)</f>
        <v>14.935913216880508</v>
      </c>
      <c r="AI183" s="13">
        <f>IFERROR(IF(Assumptions!$B$13="Cost Price",AB183,AA183)*SUMIF(Assumptions!$A$6:$A$10,X183,Assumptions!$D$6:$D$10),0)</f>
        <v>29.871826433761015</v>
      </c>
      <c r="AJ183" s="13">
        <v>45.041082114700885</v>
      </c>
      <c r="AK183" s="13">
        <f t="shared" si="51"/>
        <v>113.74628291235122</v>
      </c>
      <c r="AL183" s="14">
        <v>0.33</v>
      </c>
      <c r="AM183" s="13">
        <f t="shared" si="52"/>
        <v>141.94198142525892</v>
      </c>
      <c r="AN183" s="14">
        <f t="shared" si="53"/>
        <v>0.47517007953968515</v>
      </c>
      <c r="AO183" t="str">
        <f>IF(AN183&gt;=Assumptions!$B$3,"OK","Review")</f>
        <v>OK</v>
      </c>
    </row>
    <row r="184" spans="1:41" ht="15" customHeight="1">
      <c r="A184" s="9" t="s">
        <v>242</v>
      </c>
      <c r="B184" s="9" t="s">
        <v>37</v>
      </c>
      <c r="C184" s="9" t="s">
        <v>78</v>
      </c>
      <c r="D184" s="9" t="s">
        <v>119</v>
      </c>
      <c r="E184" s="9" t="s">
        <v>73</v>
      </c>
      <c r="F184" s="9" t="s">
        <v>74</v>
      </c>
      <c r="G184" s="9" t="s">
        <v>24</v>
      </c>
      <c r="H184" s="9" t="s">
        <v>84</v>
      </c>
      <c r="I184" s="9">
        <v>4000011785</v>
      </c>
      <c r="J184" s="10">
        <v>53.56</v>
      </c>
      <c r="K184" s="10"/>
      <c r="L184" s="10">
        <f t="shared" si="36"/>
        <v>53.56</v>
      </c>
      <c r="M184" s="11">
        <v>0</v>
      </c>
      <c r="N184" s="10">
        <f t="shared" si="37"/>
        <v>0</v>
      </c>
      <c r="O184" s="10">
        <f t="shared" si="38"/>
        <v>53.56</v>
      </c>
      <c r="P184" s="11">
        <f t="shared" si="39"/>
        <v>0.1379914463853249</v>
      </c>
      <c r="Q184" s="10">
        <f t="shared" si="40"/>
        <v>388.14</v>
      </c>
      <c r="R184" s="10">
        <f t="shared" si="41"/>
        <v>2694.5039999999999</v>
      </c>
      <c r="S184" s="10">
        <f t="shared" si="42"/>
        <v>371.81850425104346</v>
      </c>
      <c r="T184" s="9" t="s">
        <v>76</v>
      </c>
      <c r="U184" s="10">
        <v>4561</v>
      </c>
      <c r="V184" s="10">
        <f t="shared" si="43"/>
        <v>3192.7</v>
      </c>
      <c r="W184" s="166">
        <v>490110</v>
      </c>
      <c r="X184" s="12" t="s">
        <v>26</v>
      </c>
      <c r="Y184" s="12">
        <f t="shared" si="44"/>
        <v>371.81850425104346</v>
      </c>
      <c r="Z184" s="13">
        <f t="shared" si="45"/>
        <v>371.81850425104346</v>
      </c>
      <c r="AA184" s="13">
        <f t="shared" si="46"/>
        <v>371.81850425104346</v>
      </c>
      <c r="AB184" s="13">
        <f t="shared" si="47"/>
        <v>53.56</v>
      </c>
      <c r="AC184" s="13">
        <f t="shared" si="48"/>
        <v>318.25850425104346</v>
      </c>
      <c r="AD184" s="14">
        <f t="shared" si="49"/>
        <v>0.855951225160549</v>
      </c>
      <c r="AE184" s="14">
        <f t="shared" si="50"/>
        <v>5.9420930592054413</v>
      </c>
      <c r="AF184" s="13" t="str">
        <f>IF(AD184&gt;=Assumptions!$B$3,"OK","Review")</f>
        <v>OK</v>
      </c>
      <c r="AG184" s="13">
        <f>IFERROR(IF(Assumptions!$B$13="Cost Price",AB184,AA184)*SUMIF(Assumptions!$A$6:$A$10,X184,Assumptions!$B$6:$B$10),0)</f>
        <v>29.745480340083478</v>
      </c>
      <c r="AH184" s="13">
        <f>IFERROR(IF(Assumptions!$B$13="Cost Price",AB184,AA184)*SUMIF(Assumptions!$A$6:$A$10,X184,Assumptions!$C$6:$C$10),0)</f>
        <v>18.590925212552175</v>
      </c>
      <c r="AI184" s="13">
        <f>IFERROR(IF(Assumptions!$B$13="Cost Price",AB184,AA184)*SUMIF(Assumptions!$A$6:$A$10,X184,Assumptions!$D$6:$D$10),0)</f>
        <v>37.181850425104351</v>
      </c>
      <c r="AJ184" s="13">
        <v>56.063220034008367</v>
      </c>
      <c r="AK184" s="13">
        <f t="shared" si="51"/>
        <v>141.58147601174838</v>
      </c>
      <c r="AL184" s="14">
        <v>0.33</v>
      </c>
      <c r="AM184" s="13">
        <f t="shared" si="52"/>
        <v>176.67702823929508</v>
      </c>
      <c r="AN184" s="14">
        <f t="shared" si="53"/>
        <v>0.47517007953968515</v>
      </c>
      <c r="AO184" t="str">
        <f>IF(AN184&gt;=Assumptions!$B$3,"OK","Review")</f>
        <v>OK</v>
      </c>
    </row>
    <row r="185" spans="1:41" ht="15" customHeight="1">
      <c r="A185" s="9" t="s">
        <v>242</v>
      </c>
      <c r="B185" s="9" t="s">
        <v>37</v>
      </c>
      <c r="C185" s="9" t="s">
        <v>113</v>
      </c>
      <c r="D185" s="9" t="s">
        <v>121</v>
      </c>
      <c r="E185" s="9" t="s">
        <v>73</v>
      </c>
      <c r="F185" s="9" t="s">
        <v>74</v>
      </c>
      <c r="G185" s="9" t="s">
        <v>24</v>
      </c>
      <c r="H185" s="9" t="s">
        <v>84</v>
      </c>
      <c r="I185" s="9">
        <v>4000011787</v>
      </c>
      <c r="J185" s="10">
        <v>37.659999999999997</v>
      </c>
      <c r="K185" s="10"/>
      <c r="L185" s="10">
        <f t="shared" si="36"/>
        <v>37.659999999999997</v>
      </c>
      <c r="M185" s="11">
        <v>0</v>
      </c>
      <c r="N185" s="10">
        <f t="shared" si="37"/>
        <v>0</v>
      </c>
      <c r="O185" s="10">
        <f t="shared" si="38"/>
        <v>37.659999999999997</v>
      </c>
      <c r="P185" s="11">
        <f t="shared" si="39"/>
        <v>9.702684598340805E-2</v>
      </c>
      <c r="Q185" s="10">
        <f t="shared" si="40"/>
        <v>388.14</v>
      </c>
      <c r="R185" s="10">
        <f t="shared" si="41"/>
        <v>2694.5039999999999</v>
      </c>
      <c r="S185" s="10">
        <f t="shared" si="42"/>
        <v>261.4392246096769</v>
      </c>
      <c r="T185" s="9" t="s">
        <v>76</v>
      </c>
      <c r="U185" s="10">
        <v>4561</v>
      </c>
      <c r="V185" s="10">
        <f t="shared" si="43"/>
        <v>3192.7</v>
      </c>
      <c r="W185" s="166">
        <v>490110</v>
      </c>
      <c r="X185" s="12" t="s">
        <v>26</v>
      </c>
      <c r="Y185" s="12">
        <f t="shared" si="44"/>
        <v>261.4392246096769</v>
      </c>
      <c r="Z185" s="13">
        <f t="shared" si="45"/>
        <v>261.4392246096769</v>
      </c>
      <c r="AA185" s="13">
        <f t="shared" si="46"/>
        <v>261.4392246096769</v>
      </c>
      <c r="AB185" s="13">
        <f t="shared" si="47"/>
        <v>37.659999999999997</v>
      </c>
      <c r="AC185" s="13">
        <f t="shared" si="48"/>
        <v>223.7792246096769</v>
      </c>
      <c r="AD185" s="14">
        <f t="shared" si="49"/>
        <v>0.855951225160549</v>
      </c>
      <c r="AE185" s="14">
        <f t="shared" si="50"/>
        <v>5.9420930592054413</v>
      </c>
      <c r="AF185" s="13" t="str">
        <f>IF(AD185&gt;=Assumptions!$B$3,"OK","Review")</f>
        <v>OK</v>
      </c>
      <c r="AG185" s="13">
        <f>IFERROR(IF(Assumptions!$B$13="Cost Price",AB185,AA185)*SUMIF(Assumptions!$A$6:$A$10,X185,Assumptions!$B$6:$B$10),0)</f>
        <v>20.915137968774154</v>
      </c>
      <c r="AH185" s="13">
        <f>IFERROR(IF(Assumptions!$B$13="Cost Price",AB185,AA185)*SUMIF(Assumptions!$A$6:$A$10,X185,Assumptions!$C$6:$C$10),0)</f>
        <v>13.071961230483845</v>
      </c>
      <c r="AI185" s="13">
        <f>IFERROR(IF(Assumptions!$B$13="Cost Price",AB185,AA185)*SUMIF(Assumptions!$A$6:$A$10,X185,Assumptions!$D$6:$D$10),0)</f>
        <v>26.143922460967691</v>
      </c>
      <c r="AJ185" s="13">
        <v>39.420105796877422</v>
      </c>
      <c r="AK185" s="13">
        <f t="shared" si="51"/>
        <v>99.551127457103107</v>
      </c>
      <c r="AL185" s="14">
        <v>0.33</v>
      </c>
      <c r="AM185" s="13">
        <f t="shared" si="52"/>
        <v>124.2280971525738</v>
      </c>
      <c r="AN185" s="14">
        <f t="shared" si="53"/>
        <v>0.47517007953968521</v>
      </c>
      <c r="AO185" t="str">
        <f>IF(AN185&gt;=Assumptions!$B$3,"OK","Review")</f>
        <v>OK</v>
      </c>
    </row>
    <row r="186" spans="1:41" ht="15" customHeight="1">
      <c r="A186" s="9" t="s">
        <v>242</v>
      </c>
      <c r="B186" s="9" t="s">
        <v>37</v>
      </c>
      <c r="C186" s="9" t="s">
        <v>243</v>
      </c>
      <c r="D186" s="9" t="s">
        <v>246</v>
      </c>
      <c r="E186" s="9" t="s">
        <v>73</v>
      </c>
      <c r="F186" s="9" t="s">
        <v>90</v>
      </c>
      <c r="G186" s="9" t="s">
        <v>24</v>
      </c>
      <c r="H186" s="9" t="s">
        <v>75</v>
      </c>
      <c r="I186" s="9">
        <v>7000001003</v>
      </c>
      <c r="J186" s="10">
        <v>105.1</v>
      </c>
      <c r="K186" s="10">
        <v>10</v>
      </c>
      <c r="L186" s="10">
        <f t="shared" si="36"/>
        <v>115.1</v>
      </c>
      <c r="M186" s="11">
        <v>0.18</v>
      </c>
      <c r="N186" s="10">
        <f t="shared" si="37"/>
        <v>20.718</v>
      </c>
      <c r="O186" s="10">
        <f t="shared" si="38"/>
        <v>135.81799999999998</v>
      </c>
      <c r="P186" s="11">
        <f t="shared" si="39"/>
        <v>0.54523922311700612</v>
      </c>
      <c r="Q186" s="10">
        <f t="shared" si="40"/>
        <v>249.09799999999998</v>
      </c>
      <c r="R186" s="10">
        <f t="shared" si="41"/>
        <v>2694.5039999999999</v>
      </c>
      <c r="S186" s="10">
        <f t="shared" si="42"/>
        <v>135.81799999999998</v>
      </c>
      <c r="T186" s="9" t="s">
        <v>91</v>
      </c>
      <c r="U186" s="10">
        <v>4561</v>
      </c>
      <c r="V186" s="10">
        <f t="shared" si="43"/>
        <v>3192.7</v>
      </c>
      <c r="W186" s="166">
        <v>49119990</v>
      </c>
      <c r="X186" s="12" t="s">
        <v>26</v>
      </c>
      <c r="Y186" s="12">
        <f t="shared" si="44"/>
        <v>135.81799999999998</v>
      </c>
      <c r="Z186" s="13">
        <f t="shared" si="45"/>
        <v>135.81799999999998</v>
      </c>
      <c r="AA186" s="13">
        <f t="shared" si="46"/>
        <v>115.1</v>
      </c>
      <c r="AB186" s="13">
        <f t="shared" si="47"/>
        <v>105.1</v>
      </c>
      <c r="AC186" s="13">
        <f t="shared" si="48"/>
        <v>10</v>
      </c>
      <c r="AD186" s="14">
        <f t="shared" si="49"/>
        <v>8.6880973066898348E-2</v>
      </c>
      <c r="AE186" s="14">
        <f t="shared" si="50"/>
        <v>9.5147478591817325E-2</v>
      </c>
      <c r="AF186" s="13" t="str">
        <f>IF(AD186&gt;=Assumptions!$B$3,"OK","Review")</f>
        <v>Review</v>
      </c>
      <c r="AG186" s="13">
        <f>IFERROR(IF(Assumptions!$B$13="Cost Price",AB186,AA186)*SUMIF(Assumptions!$A$6:$A$10,X186,Assumptions!$B$6:$B$10),0)</f>
        <v>9.2080000000000002</v>
      </c>
      <c r="AH186" s="13">
        <f>IFERROR(IF(Assumptions!$B$13="Cost Price",AB186,AA186)*SUMIF(Assumptions!$A$6:$A$10,X186,Assumptions!$C$6:$C$10),0)</f>
        <v>5.7549999999999999</v>
      </c>
      <c r="AI186" s="13">
        <f>IFERROR(IF(Assumptions!$B$13="Cost Price",AB186,AA186)*SUMIF(Assumptions!$A$6:$A$10,X186,Assumptions!$D$6:$D$10),0)</f>
        <v>11.51</v>
      </c>
      <c r="AJ186" s="13">
        <v>11.51</v>
      </c>
      <c r="AK186" s="13">
        <f t="shared" si="51"/>
        <v>37.982999999999997</v>
      </c>
      <c r="AL186" s="14">
        <v>0.33</v>
      </c>
      <c r="AM186" s="13">
        <f t="shared" si="52"/>
        <v>-27.982999999999997</v>
      </c>
      <c r="AN186" s="14">
        <f t="shared" si="53"/>
        <v>-0.24311902693310164</v>
      </c>
      <c r="AO186" t="str">
        <f>IF(AN186&gt;=Assumptions!$B$3,"OK","Review")</f>
        <v>Review</v>
      </c>
    </row>
    <row r="187" spans="1:41" ht="15" customHeight="1">
      <c r="A187" s="9" t="s">
        <v>242</v>
      </c>
      <c r="B187" s="9" t="s">
        <v>37</v>
      </c>
      <c r="C187" s="9" t="s">
        <v>92</v>
      </c>
      <c r="D187" s="9" t="s">
        <v>93</v>
      </c>
      <c r="E187" s="9" t="s">
        <v>73</v>
      </c>
      <c r="F187" s="9" t="s">
        <v>94</v>
      </c>
      <c r="G187" s="9" t="s">
        <v>24</v>
      </c>
      <c r="H187" s="9" t="s">
        <v>75</v>
      </c>
      <c r="I187" s="9">
        <v>8400007</v>
      </c>
      <c r="J187" s="10">
        <v>96</v>
      </c>
      <c r="K187" s="10"/>
      <c r="L187" s="10">
        <f t="shared" si="36"/>
        <v>96</v>
      </c>
      <c r="M187" s="11">
        <v>0.18</v>
      </c>
      <c r="N187" s="10">
        <f t="shared" si="37"/>
        <v>17.28</v>
      </c>
      <c r="O187" s="10">
        <f t="shared" si="38"/>
        <v>113.28</v>
      </c>
      <c r="P187" s="11">
        <f t="shared" si="39"/>
        <v>0.45476077688299388</v>
      </c>
      <c r="Q187" s="10">
        <f t="shared" si="40"/>
        <v>249.09799999999998</v>
      </c>
      <c r="R187" s="10">
        <f t="shared" si="41"/>
        <v>2694.5039999999999</v>
      </c>
      <c r="S187" s="10">
        <f t="shared" si="42"/>
        <v>113.28</v>
      </c>
      <c r="T187" s="9" t="s">
        <v>91</v>
      </c>
      <c r="U187" s="10">
        <v>4561</v>
      </c>
      <c r="V187" s="10">
        <f t="shared" si="43"/>
        <v>3192.7</v>
      </c>
      <c r="W187" s="166">
        <v>999299</v>
      </c>
      <c r="X187" s="12" t="s">
        <v>26</v>
      </c>
      <c r="Y187" s="12">
        <f t="shared" si="44"/>
        <v>113.28</v>
      </c>
      <c r="Z187" s="13">
        <f t="shared" si="45"/>
        <v>113.28</v>
      </c>
      <c r="AA187" s="13">
        <f t="shared" si="46"/>
        <v>96</v>
      </c>
      <c r="AB187" s="13">
        <f t="shared" si="47"/>
        <v>96</v>
      </c>
      <c r="AC187" s="13">
        <f t="shared" si="48"/>
        <v>0</v>
      </c>
      <c r="AD187" s="14">
        <f t="shared" si="49"/>
        <v>0</v>
      </c>
      <c r="AE187" s="14">
        <f t="shared" si="50"/>
        <v>0</v>
      </c>
      <c r="AF187" s="13" t="str">
        <f>IF(AD187&gt;=Assumptions!$B$3,"OK","Review")</f>
        <v>Review</v>
      </c>
      <c r="AG187" s="13">
        <f>IFERROR(IF(Assumptions!$B$13="Cost Price",AB187,AA187)*SUMIF(Assumptions!$A$6:$A$10,X187,Assumptions!$B$6:$B$10),0)</f>
        <v>7.68</v>
      </c>
      <c r="AH187" s="13">
        <f>IFERROR(IF(Assumptions!$B$13="Cost Price",AB187,AA187)*SUMIF(Assumptions!$A$6:$A$10,X187,Assumptions!$C$6:$C$10),0)</f>
        <v>4.8000000000000007</v>
      </c>
      <c r="AI187" s="13">
        <f>IFERROR(IF(Assumptions!$B$13="Cost Price",AB187,AA187)*SUMIF(Assumptions!$A$6:$A$10,X187,Assumptions!$D$6:$D$10),0)</f>
        <v>9.6000000000000014</v>
      </c>
      <c r="AJ187" s="13">
        <v>9.6000000000000014</v>
      </c>
      <c r="AK187" s="13">
        <f t="shared" si="51"/>
        <v>31.680000000000003</v>
      </c>
      <c r="AL187" s="14">
        <v>0.33</v>
      </c>
      <c r="AM187" s="13">
        <f t="shared" si="52"/>
        <v>-31.680000000000003</v>
      </c>
      <c r="AN187" s="14">
        <f t="shared" si="53"/>
        <v>-0.33</v>
      </c>
      <c r="AO187" t="str">
        <f>IF(AN187&gt;=Assumptions!$B$3,"OK","Review")</f>
        <v>Review</v>
      </c>
    </row>
    <row r="188" spans="1:41" ht="15" customHeight="1">
      <c r="A188" s="9" t="s">
        <v>242</v>
      </c>
      <c r="B188" s="9" t="s">
        <v>38</v>
      </c>
      <c r="C188" s="9" t="s">
        <v>105</v>
      </c>
      <c r="D188" s="9" t="s">
        <v>123</v>
      </c>
      <c r="E188" s="9" t="s">
        <v>73</v>
      </c>
      <c r="F188" s="9" t="s">
        <v>74</v>
      </c>
      <c r="G188" s="9" t="s">
        <v>24</v>
      </c>
      <c r="H188" s="9" t="s">
        <v>75</v>
      </c>
      <c r="I188" s="9">
        <v>4000011788</v>
      </c>
      <c r="J188" s="10">
        <v>34.78</v>
      </c>
      <c r="K188" s="10"/>
      <c r="L188" s="10">
        <f t="shared" si="36"/>
        <v>34.78</v>
      </c>
      <c r="M188" s="11">
        <v>0</v>
      </c>
      <c r="N188" s="10">
        <f t="shared" si="37"/>
        <v>0</v>
      </c>
      <c r="O188" s="10">
        <f t="shared" si="38"/>
        <v>34.78</v>
      </c>
      <c r="P188" s="11">
        <f t="shared" si="39"/>
        <v>8.1128994634942844E-2</v>
      </c>
      <c r="Q188" s="10">
        <f t="shared" si="40"/>
        <v>428.70000000000005</v>
      </c>
      <c r="R188" s="10">
        <f t="shared" si="41"/>
        <v>2623.9199999999996</v>
      </c>
      <c r="S188" s="10">
        <f t="shared" si="42"/>
        <v>212.87599160251921</v>
      </c>
      <c r="T188" s="9" t="s">
        <v>76</v>
      </c>
      <c r="U188" s="10">
        <v>4534</v>
      </c>
      <c r="V188" s="10">
        <f t="shared" si="43"/>
        <v>3173.7999999999997</v>
      </c>
      <c r="W188" s="166">
        <v>490110</v>
      </c>
      <c r="X188" s="12" t="s">
        <v>26</v>
      </c>
      <c r="Y188" s="12">
        <f t="shared" si="44"/>
        <v>212.87599160251921</v>
      </c>
      <c r="Z188" s="13">
        <f t="shared" si="45"/>
        <v>212.87599160251921</v>
      </c>
      <c r="AA188" s="13">
        <f t="shared" si="46"/>
        <v>212.87599160251921</v>
      </c>
      <c r="AB188" s="13">
        <f t="shared" si="47"/>
        <v>34.78</v>
      </c>
      <c r="AC188" s="13">
        <f t="shared" si="48"/>
        <v>178.09599160251921</v>
      </c>
      <c r="AD188" s="14">
        <f t="shared" si="49"/>
        <v>0.83661849446629466</v>
      </c>
      <c r="AE188" s="14">
        <f t="shared" si="50"/>
        <v>5.1206438068579416</v>
      </c>
      <c r="AF188" s="13" t="str">
        <f>IF(AD188&gt;=Assumptions!$B$3,"OK","Review")</f>
        <v>OK</v>
      </c>
      <c r="AG188" s="13">
        <f>IFERROR(IF(Assumptions!$B$13="Cost Price",AB188,AA188)*SUMIF(Assumptions!$A$6:$A$10,X188,Assumptions!$B$6:$B$10),0)</f>
        <v>17.030079328201538</v>
      </c>
      <c r="AH188" s="13">
        <f>IFERROR(IF(Assumptions!$B$13="Cost Price",AB188,AA188)*SUMIF(Assumptions!$A$6:$A$10,X188,Assumptions!$C$6:$C$10),0)</f>
        <v>10.643799580125961</v>
      </c>
      <c r="AI188" s="13">
        <f>IFERROR(IF(Assumptions!$B$13="Cost Price",AB188,AA188)*SUMIF(Assumptions!$A$6:$A$10,X188,Assumptions!$D$6:$D$10),0)</f>
        <v>21.287599160251922</v>
      </c>
      <c r="AJ188" s="13">
        <v>32.322765010496845</v>
      </c>
      <c r="AK188" s="13">
        <f t="shared" si="51"/>
        <v>81.284243079076276</v>
      </c>
      <c r="AL188" s="14">
        <v>0.33</v>
      </c>
      <c r="AM188" s="13">
        <f t="shared" si="52"/>
        <v>96.81174852344293</v>
      </c>
      <c r="AN188" s="14">
        <f t="shared" si="53"/>
        <v>0.45478002378121274</v>
      </c>
      <c r="AO188" t="str">
        <f>IF(AN188&gt;=Assumptions!$B$3,"OK","Review")</f>
        <v>OK</v>
      </c>
    </row>
    <row r="189" spans="1:41" ht="15" customHeight="1">
      <c r="A189" s="9" t="s">
        <v>242</v>
      </c>
      <c r="B189" s="9" t="s">
        <v>38</v>
      </c>
      <c r="C189" s="9" t="s">
        <v>71</v>
      </c>
      <c r="D189" s="9" t="s">
        <v>125</v>
      </c>
      <c r="E189" s="9" t="s">
        <v>73</v>
      </c>
      <c r="F189" s="9" t="s">
        <v>74</v>
      </c>
      <c r="G189" s="9" t="s">
        <v>24</v>
      </c>
      <c r="H189" s="9" t="s">
        <v>75</v>
      </c>
      <c r="I189" s="9">
        <v>4000011790</v>
      </c>
      <c r="J189" s="10">
        <v>45.67</v>
      </c>
      <c r="K189" s="10"/>
      <c r="L189" s="10">
        <f t="shared" si="36"/>
        <v>45.67</v>
      </c>
      <c r="M189" s="11">
        <v>0</v>
      </c>
      <c r="N189" s="10">
        <f t="shared" si="37"/>
        <v>0</v>
      </c>
      <c r="O189" s="10">
        <f t="shared" si="38"/>
        <v>45.67</v>
      </c>
      <c r="P189" s="11">
        <f t="shared" si="39"/>
        <v>0.10653137392115698</v>
      </c>
      <c r="Q189" s="10">
        <f t="shared" si="40"/>
        <v>428.70000000000005</v>
      </c>
      <c r="R189" s="10">
        <f t="shared" si="41"/>
        <v>2623.9199999999996</v>
      </c>
      <c r="S189" s="10">
        <f t="shared" si="42"/>
        <v>279.52980265920218</v>
      </c>
      <c r="T189" s="9" t="s">
        <v>76</v>
      </c>
      <c r="U189" s="10">
        <v>4534</v>
      </c>
      <c r="V189" s="10">
        <f t="shared" si="43"/>
        <v>3173.7999999999997</v>
      </c>
      <c r="W189" s="166">
        <v>490110</v>
      </c>
      <c r="X189" s="12" t="s">
        <v>26</v>
      </c>
      <c r="Y189" s="12">
        <f t="shared" si="44"/>
        <v>279.52980265920218</v>
      </c>
      <c r="Z189" s="13">
        <f t="shared" si="45"/>
        <v>279.52980265920218</v>
      </c>
      <c r="AA189" s="13">
        <f t="shared" si="46"/>
        <v>279.52980265920218</v>
      </c>
      <c r="AB189" s="13">
        <f t="shared" si="47"/>
        <v>45.67</v>
      </c>
      <c r="AC189" s="13">
        <f t="shared" si="48"/>
        <v>233.85980265920216</v>
      </c>
      <c r="AD189" s="14">
        <f t="shared" si="49"/>
        <v>0.83661849446629466</v>
      </c>
      <c r="AE189" s="14">
        <f t="shared" si="50"/>
        <v>5.1206438068579407</v>
      </c>
      <c r="AF189" s="13" t="str">
        <f>IF(AD189&gt;=Assumptions!$B$3,"OK","Review")</f>
        <v>OK</v>
      </c>
      <c r="AG189" s="13">
        <f>IFERROR(IF(Assumptions!$B$13="Cost Price",AB189,AA189)*SUMIF(Assumptions!$A$6:$A$10,X189,Assumptions!$B$6:$B$10),0)</f>
        <v>22.362384212736174</v>
      </c>
      <c r="AH189" s="13">
        <f>IFERROR(IF(Assumptions!$B$13="Cost Price",AB189,AA189)*SUMIF(Assumptions!$A$6:$A$10,X189,Assumptions!$C$6:$C$10),0)</f>
        <v>13.976490132960109</v>
      </c>
      <c r="AI189" s="13">
        <f>IFERROR(IF(Assumptions!$B$13="Cost Price",AB189,AA189)*SUMIF(Assumptions!$A$6:$A$10,X189,Assumptions!$D$6:$D$10),0)</f>
        <v>27.952980265920218</v>
      </c>
      <c r="AJ189" s="13">
        <v>42.443377746675992</v>
      </c>
      <c r="AK189" s="13">
        <f t="shared" si="51"/>
        <v>106.73523235829249</v>
      </c>
      <c r="AL189" s="14">
        <v>0.33</v>
      </c>
      <c r="AM189" s="13">
        <f t="shared" si="52"/>
        <v>127.12457030090967</v>
      </c>
      <c r="AN189" s="14">
        <f t="shared" si="53"/>
        <v>0.45478002378121274</v>
      </c>
      <c r="AO189" t="str">
        <f>IF(AN189&gt;=Assumptions!$B$3,"OK","Review")</f>
        <v>OK</v>
      </c>
    </row>
    <row r="190" spans="1:41" ht="15" customHeight="1">
      <c r="A190" s="9" t="s">
        <v>242</v>
      </c>
      <c r="B190" s="9" t="s">
        <v>38</v>
      </c>
      <c r="C190" s="9" t="s">
        <v>78</v>
      </c>
      <c r="D190" s="9" t="s">
        <v>127</v>
      </c>
      <c r="E190" s="9" t="s">
        <v>73</v>
      </c>
      <c r="F190" s="9" t="s">
        <v>74</v>
      </c>
      <c r="G190" s="9" t="s">
        <v>24</v>
      </c>
      <c r="H190" s="9" t="s">
        <v>75</v>
      </c>
      <c r="I190" s="9">
        <v>4000011793</v>
      </c>
      <c r="J190" s="10">
        <v>30.65</v>
      </c>
      <c r="K190" s="10"/>
      <c r="L190" s="10">
        <f t="shared" si="36"/>
        <v>30.65</v>
      </c>
      <c r="M190" s="11">
        <v>0</v>
      </c>
      <c r="N190" s="10">
        <f t="shared" si="37"/>
        <v>0</v>
      </c>
      <c r="O190" s="10">
        <f t="shared" si="38"/>
        <v>30.65</v>
      </c>
      <c r="P190" s="11">
        <f t="shared" si="39"/>
        <v>7.1495218101236283E-2</v>
      </c>
      <c r="Q190" s="10">
        <f t="shared" si="40"/>
        <v>428.70000000000005</v>
      </c>
      <c r="R190" s="10">
        <f t="shared" si="41"/>
        <v>2623.9199999999996</v>
      </c>
      <c r="S190" s="10">
        <f t="shared" si="42"/>
        <v>187.59773268019589</v>
      </c>
      <c r="T190" s="9" t="s">
        <v>76</v>
      </c>
      <c r="U190" s="10">
        <v>4534</v>
      </c>
      <c r="V190" s="10">
        <f t="shared" si="43"/>
        <v>3173.7999999999997</v>
      </c>
      <c r="W190" s="166">
        <v>490110</v>
      </c>
      <c r="X190" s="12" t="s">
        <v>26</v>
      </c>
      <c r="Y190" s="12">
        <f t="shared" si="44"/>
        <v>187.59773268019589</v>
      </c>
      <c r="Z190" s="13">
        <f t="shared" si="45"/>
        <v>187.59773268019589</v>
      </c>
      <c r="AA190" s="13">
        <f t="shared" si="46"/>
        <v>187.59773268019589</v>
      </c>
      <c r="AB190" s="13">
        <f t="shared" si="47"/>
        <v>30.65</v>
      </c>
      <c r="AC190" s="13">
        <f t="shared" si="48"/>
        <v>156.94773268019588</v>
      </c>
      <c r="AD190" s="14">
        <f t="shared" si="49"/>
        <v>0.83661849446629466</v>
      </c>
      <c r="AE190" s="14">
        <f t="shared" si="50"/>
        <v>5.1206438068579407</v>
      </c>
      <c r="AF190" s="13" t="str">
        <f>IF(AD190&gt;=Assumptions!$B$3,"OK","Review")</f>
        <v>OK</v>
      </c>
      <c r="AG190" s="13">
        <f>IFERROR(IF(Assumptions!$B$13="Cost Price",AB190,AA190)*SUMIF(Assumptions!$A$6:$A$10,X190,Assumptions!$B$6:$B$10),0)</f>
        <v>15.007818614415671</v>
      </c>
      <c r="AH190" s="13">
        <f>IFERROR(IF(Assumptions!$B$13="Cost Price",AB190,AA190)*SUMIF(Assumptions!$A$6:$A$10,X190,Assumptions!$C$6:$C$10),0)</f>
        <v>9.3798866340097948</v>
      </c>
      <c r="AI190" s="13">
        <f>IFERROR(IF(Assumptions!$B$13="Cost Price",AB190,AA190)*SUMIF(Assumptions!$A$6:$A$10,X190,Assumptions!$D$6:$D$10),0)</f>
        <v>18.75977326801959</v>
      </c>
      <c r="AJ190" s="13">
        <v>28.484552834149749</v>
      </c>
      <c r="AK190" s="13">
        <f t="shared" si="51"/>
        <v>71.632031350594801</v>
      </c>
      <c r="AL190" s="14">
        <v>0.33</v>
      </c>
      <c r="AM190" s="13">
        <f t="shared" si="52"/>
        <v>85.315701329601083</v>
      </c>
      <c r="AN190" s="14">
        <f t="shared" si="53"/>
        <v>0.45478002378121279</v>
      </c>
      <c r="AO190" t="str">
        <f>IF(AN190&gt;=Assumptions!$B$3,"OK","Review")</f>
        <v>OK</v>
      </c>
    </row>
    <row r="191" spans="1:41" ht="15" customHeight="1">
      <c r="A191" s="9" t="s">
        <v>242</v>
      </c>
      <c r="B191" s="9" t="s">
        <v>38</v>
      </c>
      <c r="C191" s="9" t="s">
        <v>78</v>
      </c>
      <c r="D191" s="9" t="s">
        <v>128</v>
      </c>
      <c r="E191" s="9" t="s">
        <v>73</v>
      </c>
      <c r="F191" s="9" t="s">
        <v>74</v>
      </c>
      <c r="G191" s="9" t="s">
        <v>24</v>
      </c>
      <c r="H191" s="9" t="s">
        <v>75</v>
      </c>
      <c r="I191" s="9">
        <v>4000011792</v>
      </c>
      <c r="J191" s="10">
        <v>60.27</v>
      </c>
      <c r="K191" s="10"/>
      <c r="L191" s="10">
        <f t="shared" si="36"/>
        <v>60.27</v>
      </c>
      <c r="M191" s="11">
        <v>0</v>
      </c>
      <c r="N191" s="10">
        <f t="shared" si="37"/>
        <v>0</v>
      </c>
      <c r="O191" s="10">
        <f t="shared" si="38"/>
        <v>60.27</v>
      </c>
      <c r="P191" s="11">
        <f t="shared" si="39"/>
        <v>0.14058782365290412</v>
      </c>
      <c r="Q191" s="10">
        <f t="shared" si="40"/>
        <v>428.70000000000005</v>
      </c>
      <c r="R191" s="10">
        <f t="shared" si="41"/>
        <v>2623.9199999999996</v>
      </c>
      <c r="S191" s="10">
        <f t="shared" si="42"/>
        <v>368.89120223932815</v>
      </c>
      <c r="T191" s="9" t="s">
        <v>76</v>
      </c>
      <c r="U191" s="10">
        <v>4534</v>
      </c>
      <c r="V191" s="10">
        <f t="shared" si="43"/>
        <v>3173.7999999999997</v>
      </c>
      <c r="W191" s="166">
        <v>490110</v>
      </c>
      <c r="X191" s="12" t="s">
        <v>26</v>
      </c>
      <c r="Y191" s="12">
        <f t="shared" si="44"/>
        <v>368.89120223932815</v>
      </c>
      <c r="Z191" s="13">
        <f t="shared" si="45"/>
        <v>368.89120223932815</v>
      </c>
      <c r="AA191" s="13">
        <f t="shared" si="46"/>
        <v>368.89120223932815</v>
      </c>
      <c r="AB191" s="13">
        <f t="shared" si="47"/>
        <v>60.27</v>
      </c>
      <c r="AC191" s="13">
        <f t="shared" si="48"/>
        <v>308.62120223932817</v>
      </c>
      <c r="AD191" s="14">
        <f t="shared" si="49"/>
        <v>0.83661849446629477</v>
      </c>
      <c r="AE191" s="14">
        <f t="shared" si="50"/>
        <v>5.1206438068579416</v>
      </c>
      <c r="AF191" s="13" t="str">
        <f>IF(AD191&gt;=Assumptions!$B$3,"OK","Review")</f>
        <v>OK</v>
      </c>
      <c r="AG191" s="13">
        <f>IFERROR(IF(Assumptions!$B$13="Cost Price",AB191,AA191)*SUMIF(Assumptions!$A$6:$A$10,X191,Assumptions!$B$6:$B$10),0)</f>
        <v>29.511296179146253</v>
      </c>
      <c r="AH191" s="13">
        <f>IFERROR(IF(Assumptions!$B$13="Cost Price",AB191,AA191)*SUMIF(Assumptions!$A$6:$A$10,X191,Assumptions!$C$6:$C$10),0)</f>
        <v>18.444560111966407</v>
      </c>
      <c r="AI191" s="13">
        <f>IFERROR(IF(Assumptions!$B$13="Cost Price",AB191,AA191)*SUMIF(Assumptions!$A$6:$A$10,X191,Assumptions!$D$6:$D$10),0)</f>
        <v>36.889120223932814</v>
      </c>
      <c r="AJ191" s="13">
        <v>56.011875997200832</v>
      </c>
      <c r="AK191" s="13">
        <f t="shared" si="51"/>
        <v>140.85685251224629</v>
      </c>
      <c r="AL191" s="14">
        <v>0.33</v>
      </c>
      <c r="AM191" s="13">
        <f t="shared" si="52"/>
        <v>167.76434972708188</v>
      </c>
      <c r="AN191" s="14">
        <f t="shared" si="53"/>
        <v>0.45478002378121291</v>
      </c>
      <c r="AO191" t="str">
        <f>IF(AN191&gt;=Assumptions!$B$3,"OK","Review")</f>
        <v>OK</v>
      </c>
    </row>
    <row r="192" spans="1:41" ht="15" customHeight="1">
      <c r="A192" s="9" t="s">
        <v>242</v>
      </c>
      <c r="B192" s="9" t="s">
        <v>38</v>
      </c>
      <c r="C192" s="9" t="s">
        <v>113</v>
      </c>
      <c r="D192" s="9" t="s">
        <v>130</v>
      </c>
      <c r="E192" s="9" t="s">
        <v>73</v>
      </c>
      <c r="F192" s="9" t="s">
        <v>74</v>
      </c>
      <c r="G192" s="9" t="s">
        <v>24</v>
      </c>
      <c r="H192" s="9" t="s">
        <v>75</v>
      </c>
      <c r="I192" s="9">
        <v>4000011796</v>
      </c>
      <c r="J192" s="10">
        <v>57.61</v>
      </c>
      <c r="K192" s="10"/>
      <c r="L192" s="10">
        <f t="shared" si="36"/>
        <v>57.61</v>
      </c>
      <c r="M192" s="11">
        <v>0</v>
      </c>
      <c r="N192" s="10">
        <f t="shared" si="37"/>
        <v>0</v>
      </c>
      <c r="O192" s="10">
        <f t="shared" si="38"/>
        <v>57.61</v>
      </c>
      <c r="P192" s="11">
        <f t="shared" si="39"/>
        <v>0.13438301842780498</v>
      </c>
      <c r="Q192" s="10">
        <f t="shared" si="40"/>
        <v>428.70000000000005</v>
      </c>
      <c r="R192" s="10">
        <f t="shared" si="41"/>
        <v>2623.9199999999996</v>
      </c>
      <c r="S192" s="10">
        <f t="shared" si="42"/>
        <v>352.61028971308599</v>
      </c>
      <c r="T192" s="9" t="s">
        <v>76</v>
      </c>
      <c r="U192" s="10">
        <v>4534</v>
      </c>
      <c r="V192" s="10">
        <f t="shared" si="43"/>
        <v>3173.7999999999997</v>
      </c>
      <c r="W192" s="166">
        <v>490110</v>
      </c>
      <c r="X192" s="12" t="s">
        <v>26</v>
      </c>
      <c r="Y192" s="12">
        <f t="shared" si="44"/>
        <v>352.61028971308599</v>
      </c>
      <c r="Z192" s="13">
        <f t="shared" si="45"/>
        <v>352.61028971308599</v>
      </c>
      <c r="AA192" s="13">
        <f t="shared" si="46"/>
        <v>352.61028971308599</v>
      </c>
      <c r="AB192" s="13">
        <f t="shared" si="47"/>
        <v>57.61</v>
      </c>
      <c r="AC192" s="13">
        <f t="shared" si="48"/>
        <v>295.00028971308598</v>
      </c>
      <c r="AD192" s="14">
        <f t="shared" si="49"/>
        <v>0.83661849446629466</v>
      </c>
      <c r="AE192" s="14">
        <f t="shared" si="50"/>
        <v>5.1206438068579407</v>
      </c>
      <c r="AF192" s="13" t="str">
        <f>IF(AD192&gt;=Assumptions!$B$3,"OK","Review")</f>
        <v>OK</v>
      </c>
      <c r="AG192" s="13">
        <f>IFERROR(IF(Assumptions!$B$13="Cost Price",AB192,AA192)*SUMIF(Assumptions!$A$6:$A$10,X192,Assumptions!$B$6:$B$10),0)</f>
        <v>28.208823177046881</v>
      </c>
      <c r="AH192" s="13">
        <f>IFERROR(IF(Assumptions!$B$13="Cost Price",AB192,AA192)*SUMIF(Assumptions!$A$6:$A$10,X192,Assumptions!$C$6:$C$10),0)</f>
        <v>17.630514485654299</v>
      </c>
      <c r="AI192" s="13">
        <f>IFERROR(IF(Assumptions!$B$13="Cost Price",AB192,AA192)*SUMIF(Assumptions!$A$6:$A$10,X192,Assumptions!$D$6:$D$10),0)</f>
        <v>35.261028971308598</v>
      </c>
      <c r="AJ192" s="13">
        <v>53.539807137858638</v>
      </c>
      <c r="AK192" s="13">
        <f t="shared" si="51"/>
        <v>134.64017377186843</v>
      </c>
      <c r="AL192" s="14">
        <v>0.33</v>
      </c>
      <c r="AM192" s="13">
        <f t="shared" si="52"/>
        <v>160.36011594121754</v>
      </c>
      <c r="AN192" s="14">
        <f t="shared" si="53"/>
        <v>0.45478002378121268</v>
      </c>
      <c r="AO192" t="str">
        <f>IF(AN192&gt;=Assumptions!$B$3,"OK","Review")</f>
        <v>OK</v>
      </c>
    </row>
    <row r="193" spans="1:41" ht="15" customHeight="1">
      <c r="A193" s="9" t="s">
        <v>242</v>
      </c>
      <c r="B193" s="9" t="s">
        <v>38</v>
      </c>
      <c r="C193" s="9" t="s">
        <v>105</v>
      </c>
      <c r="D193" s="9" t="s">
        <v>131</v>
      </c>
      <c r="E193" s="9" t="s">
        <v>73</v>
      </c>
      <c r="F193" s="9" t="s">
        <v>74</v>
      </c>
      <c r="G193" s="9" t="s">
        <v>24</v>
      </c>
      <c r="H193" s="9" t="s">
        <v>84</v>
      </c>
      <c r="I193" s="9">
        <v>4000011797</v>
      </c>
      <c r="J193" s="10">
        <v>39.18</v>
      </c>
      <c r="K193" s="10"/>
      <c r="L193" s="10">
        <f t="shared" si="36"/>
        <v>39.18</v>
      </c>
      <c r="M193" s="11">
        <v>0</v>
      </c>
      <c r="N193" s="10">
        <f t="shared" si="37"/>
        <v>0</v>
      </c>
      <c r="O193" s="10">
        <f t="shared" si="38"/>
        <v>39.18</v>
      </c>
      <c r="P193" s="11">
        <f t="shared" si="39"/>
        <v>9.1392582225332392E-2</v>
      </c>
      <c r="Q193" s="10">
        <f t="shared" si="40"/>
        <v>428.70000000000005</v>
      </c>
      <c r="R193" s="10">
        <f t="shared" si="41"/>
        <v>2623.9199999999996</v>
      </c>
      <c r="S193" s="10">
        <f t="shared" si="42"/>
        <v>239.80682435269412</v>
      </c>
      <c r="T193" s="9" t="s">
        <v>76</v>
      </c>
      <c r="U193" s="10">
        <v>4534</v>
      </c>
      <c r="V193" s="10">
        <f t="shared" si="43"/>
        <v>3173.7999999999997</v>
      </c>
      <c r="W193" s="166">
        <v>490110</v>
      </c>
      <c r="X193" s="12" t="s">
        <v>26</v>
      </c>
      <c r="Y193" s="12">
        <f t="shared" si="44"/>
        <v>239.80682435269412</v>
      </c>
      <c r="Z193" s="13">
        <f t="shared" si="45"/>
        <v>239.80682435269412</v>
      </c>
      <c r="AA193" s="13">
        <f t="shared" si="46"/>
        <v>239.80682435269412</v>
      </c>
      <c r="AB193" s="13">
        <f t="shared" si="47"/>
        <v>39.18</v>
      </c>
      <c r="AC193" s="13">
        <f t="shared" si="48"/>
        <v>200.62682435269411</v>
      </c>
      <c r="AD193" s="14">
        <f t="shared" si="49"/>
        <v>0.83661849446629466</v>
      </c>
      <c r="AE193" s="14">
        <f t="shared" si="50"/>
        <v>5.1206438068579407</v>
      </c>
      <c r="AF193" s="13" t="str">
        <f>IF(AD193&gt;=Assumptions!$B$3,"OK","Review")</f>
        <v>OK</v>
      </c>
      <c r="AG193" s="13">
        <f>IFERROR(IF(Assumptions!$B$13="Cost Price",AB193,AA193)*SUMIF(Assumptions!$A$6:$A$10,X193,Assumptions!$B$6:$B$10),0)</f>
        <v>19.184545948215529</v>
      </c>
      <c r="AH193" s="13">
        <f>IFERROR(IF(Assumptions!$B$13="Cost Price",AB193,AA193)*SUMIF(Assumptions!$A$6:$A$10,X193,Assumptions!$C$6:$C$10),0)</f>
        <v>11.990341217634708</v>
      </c>
      <c r="AI193" s="13">
        <f>IFERROR(IF(Assumptions!$B$13="Cost Price",AB193,AA193)*SUMIF(Assumptions!$A$6:$A$10,X193,Assumptions!$D$6:$D$10),0)</f>
        <v>23.980682435269415</v>
      </c>
      <c r="AJ193" s="13">
        <v>36.411901469559126</v>
      </c>
      <c r="AK193" s="13">
        <f t="shared" si="51"/>
        <v>91.567471070678778</v>
      </c>
      <c r="AL193" s="14">
        <v>0.33</v>
      </c>
      <c r="AM193" s="13">
        <f t="shared" si="52"/>
        <v>109.05935328201534</v>
      </c>
      <c r="AN193" s="14">
        <f t="shared" si="53"/>
        <v>0.45478002378121274</v>
      </c>
      <c r="AO193" t="str">
        <f>IF(AN193&gt;=Assumptions!$B$3,"OK","Review")</f>
        <v>OK</v>
      </c>
    </row>
    <row r="194" spans="1:41" ht="15" customHeight="1">
      <c r="A194" s="9" t="s">
        <v>242</v>
      </c>
      <c r="B194" s="9" t="s">
        <v>38</v>
      </c>
      <c r="C194" s="9" t="s">
        <v>71</v>
      </c>
      <c r="D194" s="9" t="s">
        <v>133</v>
      </c>
      <c r="E194" s="9" t="s">
        <v>73</v>
      </c>
      <c r="F194" s="9" t="s">
        <v>74</v>
      </c>
      <c r="G194" s="9" t="s">
        <v>24</v>
      </c>
      <c r="H194" s="9" t="s">
        <v>84</v>
      </c>
      <c r="I194" s="9">
        <v>4000011799</v>
      </c>
      <c r="J194" s="10">
        <v>50.05</v>
      </c>
      <c r="K194" s="10"/>
      <c r="L194" s="10">
        <f t="shared" ref="L194:L257" si="54">J194+K194</f>
        <v>50.05</v>
      </c>
      <c r="M194" s="11">
        <v>0</v>
      </c>
      <c r="N194" s="10">
        <f t="shared" ref="N194:N257" si="55">M194*L194</f>
        <v>0</v>
      </c>
      <c r="O194" s="10">
        <f t="shared" ref="O194:O257" si="56">L194+N194</f>
        <v>50.05</v>
      </c>
      <c r="P194" s="11">
        <f t="shared" ref="P194:P257" si="57">IFERROR(O194/Q194,"")</f>
        <v>0.1167483088406811</v>
      </c>
      <c r="Q194" s="10">
        <f t="shared" ref="Q194:Q257" si="58">SUMIFS(O:O,T:T,T194,B:B,B194,A:A,A194,G:G,G194,E:E,E194)</f>
        <v>428.70000000000005</v>
      </c>
      <c r="R194" s="10">
        <f t="shared" ref="R194:R257" si="59">V194-SUMIFS(Q:Q,A:A,A194,B:B,B194,G:G,G194,E:E,E194,T:T,"Fixed Price ( Base Price with GST)")</f>
        <v>2623.9199999999996</v>
      </c>
      <c r="S194" s="10">
        <f t="shared" ref="S194:S257" si="60">IF(T194="Fixed Price ( Base Price with GST)",O194,P194*R194)</f>
        <v>306.3382225332399</v>
      </c>
      <c r="T194" s="9" t="s">
        <v>76</v>
      </c>
      <c r="U194" s="10">
        <v>4534</v>
      </c>
      <c r="V194" s="10">
        <f t="shared" ref="V194:V257" si="61">IFERROR(U194*(1-30%),0)</f>
        <v>3173.7999999999997</v>
      </c>
      <c r="W194" s="166">
        <v>490110</v>
      </c>
      <c r="X194" s="12" t="s">
        <v>26</v>
      </c>
      <c r="Y194" s="12">
        <f t="shared" ref="Y194:Y257" si="62">IFERROR(S194,0)</f>
        <v>306.3382225332399</v>
      </c>
      <c r="Z194" s="13">
        <f t="shared" ref="Z194:Z257" si="63">IF(ISNUMBER(S194),S194,0)</f>
        <v>306.3382225332399</v>
      </c>
      <c r="AA194" s="13">
        <f t="shared" ref="AA194:AA257" si="64">IFERROR(Z194/(1+M194),Z194)</f>
        <v>306.3382225332399</v>
      </c>
      <c r="AB194" s="13">
        <f t="shared" ref="AB194:AB257" si="65">IF(ISNUMBER(J194),J194,0)</f>
        <v>50.05</v>
      </c>
      <c r="AC194" s="13">
        <f t="shared" ref="AC194:AC257" si="66">AA194-AB194</f>
        <v>256.28822253323989</v>
      </c>
      <c r="AD194" s="14">
        <f t="shared" ref="AD194:AD257" si="67">IFERROR(AC194/AA194,0)</f>
        <v>0.83661849446629455</v>
      </c>
      <c r="AE194" s="14">
        <f t="shared" ref="AE194:AE257" si="68">IFERROR(AC194/AB194,0)</f>
        <v>5.1206438068579399</v>
      </c>
      <c r="AF194" s="13" t="str">
        <f>IF(AD194&gt;=Assumptions!$B$3,"OK","Review")</f>
        <v>OK</v>
      </c>
      <c r="AG194" s="13">
        <f>IFERROR(IF(Assumptions!$B$13="Cost Price",AB194,AA194)*SUMIF(Assumptions!$A$6:$A$10,X194,Assumptions!$B$6:$B$10),0)</f>
        <v>24.507057802659194</v>
      </c>
      <c r="AH194" s="13">
        <f>IFERROR(IF(Assumptions!$B$13="Cost Price",AB194,AA194)*SUMIF(Assumptions!$A$6:$A$10,X194,Assumptions!$C$6:$C$10),0)</f>
        <v>15.316911126661996</v>
      </c>
      <c r="AI194" s="13">
        <f>IFERROR(IF(Assumptions!$B$13="Cost Price",AB194,AA194)*SUMIF(Assumptions!$A$6:$A$10,X194,Assumptions!$D$6:$D$10),0)</f>
        <v>30.633822253323991</v>
      </c>
      <c r="AJ194" s="13">
        <v>30.633822253323991</v>
      </c>
      <c r="AK194" s="13">
        <f t="shared" ref="AK194:AK257" si="69">SUM(AG194:AJ194)</f>
        <v>101.09161343596918</v>
      </c>
      <c r="AL194" s="14">
        <v>0.33</v>
      </c>
      <c r="AM194" s="13">
        <f t="shared" ref="AM194:AM257" si="70">AC194-AK194</f>
        <v>155.19660909727071</v>
      </c>
      <c r="AN194" s="14">
        <f t="shared" ref="AN194:AN257" si="71">IFERROR(AM194/AA194,0)</f>
        <v>0.50661849446629459</v>
      </c>
      <c r="AO194" t="str">
        <f>IF(AN194&gt;=Assumptions!$B$3,"OK","Review")</f>
        <v>OK</v>
      </c>
    </row>
    <row r="195" spans="1:41" ht="15" customHeight="1">
      <c r="A195" s="9" t="s">
        <v>242</v>
      </c>
      <c r="B195" s="9" t="s">
        <v>38</v>
      </c>
      <c r="C195" s="9" t="s">
        <v>78</v>
      </c>
      <c r="D195" s="9" t="s">
        <v>135</v>
      </c>
      <c r="E195" s="9" t="s">
        <v>73</v>
      </c>
      <c r="F195" s="9" t="s">
        <v>74</v>
      </c>
      <c r="G195" s="9" t="s">
        <v>24</v>
      </c>
      <c r="H195" s="9" t="s">
        <v>84</v>
      </c>
      <c r="I195" s="9">
        <v>4000011801</v>
      </c>
      <c r="J195" s="10">
        <v>65.510000000000005</v>
      </c>
      <c r="K195" s="10"/>
      <c r="L195" s="10">
        <f t="shared" si="54"/>
        <v>65.510000000000005</v>
      </c>
      <c r="M195" s="11">
        <v>0</v>
      </c>
      <c r="N195" s="10">
        <f t="shared" si="55"/>
        <v>0</v>
      </c>
      <c r="O195" s="10">
        <f t="shared" si="56"/>
        <v>65.510000000000005</v>
      </c>
      <c r="P195" s="11">
        <f t="shared" si="57"/>
        <v>0.15281082341964078</v>
      </c>
      <c r="Q195" s="10">
        <f t="shared" si="58"/>
        <v>428.70000000000005</v>
      </c>
      <c r="R195" s="10">
        <f t="shared" si="59"/>
        <v>2623.9199999999996</v>
      </c>
      <c r="S195" s="10">
        <f t="shared" si="60"/>
        <v>400.96337578726377</v>
      </c>
      <c r="T195" s="9" t="s">
        <v>76</v>
      </c>
      <c r="U195" s="10">
        <v>4534</v>
      </c>
      <c r="V195" s="10">
        <f t="shared" si="61"/>
        <v>3173.7999999999997</v>
      </c>
      <c r="W195" s="166">
        <v>490110</v>
      </c>
      <c r="X195" s="12" t="s">
        <v>26</v>
      </c>
      <c r="Y195" s="12">
        <f t="shared" si="62"/>
        <v>400.96337578726377</v>
      </c>
      <c r="Z195" s="13">
        <f t="shared" si="63"/>
        <v>400.96337578726377</v>
      </c>
      <c r="AA195" s="13">
        <f t="shared" si="64"/>
        <v>400.96337578726377</v>
      </c>
      <c r="AB195" s="13">
        <f t="shared" si="65"/>
        <v>65.510000000000005</v>
      </c>
      <c r="AC195" s="13">
        <f t="shared" si="66"/>
        <v>335.45337578726378</v>
      </c>
      <c r="AD195" s="14">
        <f t="shared" si="67"/>
        <v>0.83661849446629466</v>
      </c>
      <c r="AE195" s="14">
        <f t="shared" si="68"/>
        <v>5.1206438068579416</v>
      </c>
      <c r="AF195" s="13" t="str">
        <f>IF(AD195&gt;=Assumptions!$B$3,"OK","Review")</f>
        <v>OK</v>
      </c>
      <c r="AG195" s="13">
        <f>IFERROR(IF(Assumptions!$B$13="Cost Price",AB195,AA195)*SUMIF(Assumptions!$A$6:$A$10,X195,Assumptions!$B$6:$B$10),0)</f>
        <v>32.0770700629811</v>
      </c>
      <c r="AH195" s="13">
        <f>IFERROR(IF(Assumptions!$B$13="Cost Price",AB195,AA195)*SUMIF(Assumptions!$A$6:$A$10,X195,Assumptions!$C$6:$C$10),0)</f>
        <v>20.048168789363189</v>
      </c>
      <c r="AI195" s="13">
        <f>IFERROR(IF(Assumptions!$B$13="Cost Price",AB195,AA195)*SUMIF(Assumptions!$A$6:$A$10,X195,Assumptions!$D$6:$D$10),0)</f>
        <v>40.096337578726377</v>
      </c>
      <c r="AJ195" s="13">
        <v>60.881665780265919</v>
      </c>
      <c r="AK195" s="13">
        <f t="shared" si="69"/>
        <v>153.10324221133658</v>
      </c>
      <c r="AL195" s="14">
        <v>0.33</v>
      </c>
      <c r="AM195" s="13">
        <f t="shared" si="70"/>
        <v>182.3501335759272</v>
      </c>
      <c r="AN195" s="14">
        <f t="shared" si="71"/>
        <v>0.45478002378121285</v>
      </c>
      <c r="AO195" t="str">
        <f>IF(AN195&gt;=Assumptions!$B$3,"OK","Review")</f>
        <v>OK</v>
      </c>
    </row>
    <row r="196" spans="1:41" ht="15" customHeight="1">
      <c r="A196" s="9" t="s">
        <v>242</v>
      </c>
      <c r="B196" s="9" t="s">
        <v>38</v>
      </c>
      <c r="C196" s="9" t="s">
        <v>113</v>
      </c>
      <c r="D196" s="9" t="s">
        <v>137</v>
      </c>
      <c r="E196" s="9" t="s">
        <v>73</v>
      </c>
      <c r="F196" s="9" t="s">
        <v>74</v>
      </c>
      <c r="G196" s="9" t="s">
        <v>24</v>
      </c>
      <c r="H196" s="9" t="s">
        <v>84</v>
      </c>
      <c r="I196" s="9">
        <v>4000011803</v>
      </c>
      <c r="J196" s="10">
        <v>44.98</v>
      </c>
      <c r="K196" s="10"/>
      <c r="L196" s="10">
        <f t="shared" si="54"/>
        <v>44.98</v>
      </c>
      <c r="M196" s="11">
        <v>0</v>
      </c>
      <c r="N196" s="10">
        <f t="shared" si="55"/>
        <v>0</v>
      </c>
      <c r="O196" s="10">
        <f t="shared" si="56"/>
        <v>44.98</v>
      </c>
      <c r="P196" s="11">
        <f t="shared" si="57"/>
        <v>0.10492185677630042</v>
      </c>
      <c r="Q196" s="10">
        <f t="shared" si="58"/>
        <v>428.70000000000005</v>
      </c>
      <c r="R196" s="10">
        <f t="shared" si="59"/>
        <v>2623.9199999999996</v>
      </c>
      <c r="S196" s="10">
        <f t="shared" si="60"/>
        <v>275.30655843247018</v>
      </c>
      <c r="T196" s="9" t="s">
        <v>76</v>
      </c>
      <c r="U196" s="10">
        <v>4534</v>
      </c>
      <c r="V196" s="10">
        <f t="shared" si="61"/>
        <v>3173.7999999999997</v>
      </c>
      <c r="W196" s="166">
        <v>490110</v>
      </c>
      <c r="X196" s="12" t="s">
        <v>26</v>
      </c>
      <c r="Y196" s="12">
        <f t="shared" si="62"/>
        <v>275.30655843247018</v>
      </c>
      <c r="Z196" s="13">
        <f t="shared" si="63"/>
        <v>275.30655843247018</v>
      </c>
      <c r="AA196" s="13">
        <f t="shared" si="64"/>
        <v>275.30655843247018</v>
      </c>
      <c r="AB196" s="13">
        <f t="shared" si="65"/>
        <v>44.98</v>
      </c>
      <c r="AC196" s="13">
        <f t="shared" si="66"/>
        <v>230.32655843247019</v>
      </c>
      <c r="AD196" s="14">
        <f t="shared" si="67"/>
        <v>0.83661849446629466</v>
      </c>
      <c r="AE196" s="14">
        <f t="shared" si="68"/>
        <v>5.1206438068579416</v>
      </c>
      <c r="AF196" s="13" t="str">
        <f>IF(AD196&gt;=Assumptions!$B$3,"OK","Review")</f>
        <v>OK</v>
      </c>
      <c r="AG196" s="13">
        <f>IFERROR(IF(Assumptions!$B$13="Cost Price",AB196,AA196)*SUMIF(Assumptions!$A$6:$A$10,X196,Assumptions!$B$6:$B$10),0)</f>
        <v>22.024524674597615</v>
      </c>
      <c r="AH196" s="13">
        <f>IFERROR(IF(Assumptions!$B$13="Cost Price",AB196,AA196)*SUMIF(Assumptions!$A$6:$A$10,X196,Assumptions!$C$6:$C$10),0)</f>
        <v>13.765327921623509</v>
      </c>
      <c r="AI196" s="13">
        <f>IFERROR(IF(Assumptions!$B$13="Cost Price",AB196,AA196)*SUMIF(Assumptions!$A$6:$A$10,X196,Assumptions!$D$6:$D$10),0)</f>
        <v>27.530655843247018</v>
      </c>
      <c r="AJ196" s="13">
        <v>41.802126801959403</v>
      </c>
      <c r="AK196" s="13">
        <f t="shared" si="69"/>
        <v>105.12263524142755</v>
      </c>
      <c r="AL196" s="14">
        <v>0.33</v>
      </c>
      <c r="AM196" s="13">
        <f t="shared" si="70"/>
        <v>125.20392319104265</v>
      </c>
      <c r="AN196" s="14">
        <f t="shared" si="71"/>
        <v>0.45478002378121285</v>
      </c>
      <c r="AO196" t="str">
        <f>IF(AN196&gt;=Assumptions!$B$3,"OK","Review")</f>
        <v>OK</v>
      </c>
    </row>
    <row r="197" spans="1:41" ht="15" customHeight="1">
      <c r="A197" s="9" t="s">
        <v>242</v>
      </c>
      <c r="B197" s="9" t="s">
        <v>38</v>
      </c>
      <c r="C197" s="9" t="s">
        <v>243</v>
      </c>
      <c r="D197" s="9" t="s">
        <v>247</v>
      </c>
      <c r="E197" s="9" t="s">
        <v>73</v>
      </c>
      <c r="F197" s="9" t="s">
        <v>90</v>
      </c>
      <c r="G197" s="9" t="s">
        <v>24</v>
      </c>
      <c r="H197" s="9" t="s">
        <v>75</v>
      </c>
      <c r="I197" s="9">
        <v>7000001004</v>
      </c>
      <c r="J197" s="10">
        <v>127</v>
      </c>
      <c r="K197" s="10">
        <v>10</v>
      </c>
      <c r="L197" s="10">
        <f t="shared" si="54"/>
        <v>137</v>
      </c>
      <c r="M197" s="11">
        <v>0.18</v>
      </c>
      <c r="N197" s="10">
        <f t="shared" si="55"/>
        <v>24.66</v>
      </c>
      <c r="O197" s="10">
        <f t="shared" si="56"/>
        <v>161.66</v>
      </c>
      <c r="P197" s="11">
        <f t="shared" si="57"/>
        <v>0.58798283261802575</v>
      </c>
      <c r="Q197" s="10">
        <f t="shared" si="58"/>
        <v>274.94</v>
      </c>
      <c r="R197" s="10">
        <f t="shared" si="59"/>
        <v>2623.9199999999996</v>
      </c>
      <c r="S197" s="10">
        <f t="shared" si="60"/>
        <v>161.66</v>
      </c>
      <c r="T197" s="9" t="s">
        <v>91</v>
      </c>
      <c r="U197" s="10">
        <v>4534</v>
      </c>
      <c r="V197" s="10">
        <f t="shared" si="61"/>
        <v>3173.7999999999997</v>
      </c>
      <c r="W197" s="166">
        <v>49119990</v>
      </c>
      <c r="X197" s="12" t="s">
        <v>26</v>
      </c>
      <c r="Y197" s="12">
        <f t="shared" si="62"/>
        <v>161.66</v>
      </c>
      <c r="Z197" s="13">
        <f t="shared" si="63"/>
        <v>161.66</v>
      </c>
      <c r="AA197" s="13">
        <f t="shared" si="64"/>
        <v>137</v>
      </c>
      <c r="AB197" s="13">
        <f t="shared" si="65"/>
        <v>127</v>
      </c>
      <c r="AC197" s="13">
        <f t="shared" si="66"/>
        <v>10</v>
      </c>
      <c r="AD197" s="14">
        <f t="shared" si="67"/>
        <v>7.2992700729927001E-2</v>
      </c>
      <c r="AE197" s="14">
        <f t="shared" si="68"/>
        <v>7.874015748031496E-2</v>
      </c>
      <c r="AF197" s="13" t="str">
        <f>IF(AD197&gt;=Assumptions!$B$3,"OK","Review")</f>
        <v>Review</v>
      </c>
      <c r="AG197" s="13">
        <f>IFERROR(IF(Assumptions!$B$13="Cost Price",AB197,AA197)*SUMIF(Assumptions!$A$6:$A$10,X197,Assumptions!$B$6:$B$10),0)</f>
        <v>10.96</v>
      </c>
      <c r="AH197" s="13">
        <f>IFERROR(IF(Assumptions!$B$13="Cost Price",AB197,AA197)*SUMIF(Assumptions!$A$6:$A$10,X197,Assumptions!$C$6:$C$10),0)</f>
        <v>6.8500000000000005</v>
      </c>
      <c r="AI197" s="13">
        <f>IFERROR(IF(Assumptions!$B$13="Cost Price",AB197,AA197)*SUMIF(Assumptions!$A$6:$A$10,X197,Assumptions!$D$6:$D$10),0)</f>
        <v>13.700000000000001</v>
      </c>
      <c r="AJ197" s="13">
        <v>13.700000000000001</v>
      </c>
      <c r="AK197" s="13">
        <f t="shared" si="69"/>
        <v>45.210000000000008</v>
      </c>
      <c r="AL197" s="14">
        <v>0.33</v>
      </c>
      <c r="AM197" s="13">
        <f t="shared" si="70"/>
        <v>-35.210000000000008</v>
      </c>
      <c r="AN197" s="14">
        <f t="shared" si="71"/>
        <v>-0.25700729927007304</v>
      </c>
      <c r="AO197" t="str">
        <f>IF(AN197&gt;=Assumptions!$B$3,"OK","Review")</f>
        <v>Review</v>
      </c>
    </row>
    <row r="198" spans="1:41" ht="15" customHeight="1">
      <c r="A198" s="9" t="s">
        <v>242</v>
      </c>
      <c r="B198" s="9" t="s">
        <v>38</v>
      </c>
      <c r="C198" s="9" t="s">
        <v>92</v>
      </c>
      <c r="D198" s="9" t="s">
        <v>93</v>
      </c>
      <c r="E198" s="9" t="s">
        <v>73</v>
      </c>
      <c r="F198" s="9" t="s">
        <v>94</v>
      </c>
      <c r="G198" s="9" t="s">
        <v>24</v>
      </c>
      <c r="H198" s="9" t="s">
        <v>75</v>
      </c>
      <c r="I198" s="9">
        <v>8400007</v>
      </c>
      <c r="J198" s="10">
        <v>96</v>
      </c>
      <c r="K198" s="10"/>
      <c r="L198" s="10">
        <f t="shared" si="54"/>
        <v>96</v>
      </c>
      <c r="M198" s="11">
        <v>0.18</v>
      </c>
      <c r="N198" s="10">
        <f t="shared" si="55"/>
        <v>17.28</v>
      </c>
      <c r="O198" s="10">
        <f t="shared" si="56"/>
        <v>113.28</v>
      </c>
      <c r="P198" s="11">
        <f t="shared" si="57"/>
        <v>0.41201716738197425</v>
      </c>
      <c r="Q198" s="10">
        <f t="shared" si="58"/>
        <v>274.94</v>
      </c>
      <c r="R198" s="10">
        <f t="shared" si="59"/>
        <v>2623.9199999999996</v>
      </c>
      <c r="S198" s="10">
        <f t="shared" si="60"/>
        <v>113.28</v>
      </c>
      <c r="T198" s="9" t="s">
        <v>91</v>
      </c>
      <c r="U198" s="10">
        <v>4534</v>
      </c>
      <c r="V198" s="10">
        <f t="shared" si="61"/>
        <v>3173.7999999999997</v>
      </c>
      <c r="W198" s="166">
        <v>999299</v>
      </c>
      <c r="X198" s="12" t="s">
        <v>26</v>
      </c>
      <c r="Y198" s="12">
        <f t="shared" si="62"/>
        <v>113.28</v>
      </c>
      <c r="Z198" s="13">
        <f t="shared" si="63"/>
        <v>113.28</v>
      </c>
      <c r="AA198" s="13">
        <f t="shared" si="64"/>
        <v>96</v>
      </c>
      <c r="AB198" s="13">
        <f t="shared" si="65"/>
        <v>96</v>
      </c>
      <c r="AC198" s="13">
        <f t="shared" si="66"/>
        <v>0</v>
      </c>
      <c r="AD198" s="14">
        <f t="shared" si="67"/>
        <v>0</v>
      </c>
      <c r="AE198" s="14">
        <f t="shared" si="68"/>
        <v>0</v>
      </c>
      <c r="AF198" s="13" t="str">
        <f>IF(AD198&gt;=Assumptions!$B$3,"OK","Review")</f>
        <v>Review</v>
      </c>
      <c r="AG198" s="13">
        <f>IFERROR(IF(Assumptions!$B$13="Cost Price",AB198,AA198)*SUMIF(Assumptions!$A$6:$A$10,X198,Assumptions!$B$6:$B$10),0)</f>
        <v>7.68</v>
      </c>
      <c r="AH198" s="13">
        <f>IFERROR(IF(Assumptions!$B$13="Cost Price",AB198,AA198)*SUMIF(Assumptions!$A$6:$A$10,X198,Assumptions!$C$6:$C$10),0)</f>
        <v>4.8000000000000007</v>
      </c>
      <c r="AI198" s="13">
        <f>IFERROR(IF(Assumptions!$B$13="Cost Price",AB198,AA198)*SUMIF(Assumptions!$A$6:$A$10,X198,Assumptions!$D$6:$D$10),0)</f>
        <v>9.6000000000000014</v>
      </c>
      <c r="AJ198" s="13">
        <v>9.6000000000000014</v>
      </c>
      <c r="AK198" s="13">
        <f t="shared" si="69"/>
        <v>31.680000000000003</v>
      </c>
      <c r="AL198" s="14">
        <v>0.33</v>
      </c>
      <c r="AM198" s="13">
        <f t="shared" si="70"/>
        <v>-31.680000000000003</v>
      </c>
      <c r="AN198" s="14">
        <f t="shared" si="71"/>
        <v>-0.33</v>
      </c>
      <c r="AO198" t="str">
        <f>IF(AN198&gt;=Assumptions!$B$3,"OK","Review")</f>
        <v>Review</v>
      </c>
    </row>
    <row r="199" spans="1:41" ht="15" customHeight="1">
      <c r="A199" s="9" t="s">
        <v>242</v>
      </c>
      <c r="B199" s="9" t="s">
        <v>39</v>
      </c>
      <c r="C199" s="9" t="s">
        <v>105</v>
      </c>
      <c r="D199" s="9" t="s">
        <v>139</v>
      </c>
      <c r="E199" s="9" t="s">
        <v>73</v>
      </c>
      <c r="F199" s="9" t="s">
        <v>74</v>
      </c>
      <c r="G199" s="9" t="s">
        <v>24</v>
      </c>
      <c r="H199" s="9" t="s">
        <v>75</v>
      </c>
      <c r="I199" s="9">
        <v>4000011804</v>
      </c>
      <c r="J199" s="10">
        <v>39.65</v>
      </c>
      <c r="K199" s="10"/>
      <c r="L199" s="10">
        <f t="shared" si="54"/>
        <v>39.65</v>
      </c>
      <c r="M199" s="11">
        <v>0</v>
      </c>
      <c r="N199" s="10">
        <f t="shared" si="55"/>
        <v>0</v>
      </c>
      <c r="O199" s="10">
        <f t="shared" si="56"/>
        <v>39.65</v>
      </c>
      <c r="P199" s="11">
        <f t="shared" si="57"/>
        <v>9.198468855121214E-2</v>
      </c>
      <c r="Q199" s="10">
        <f t="shared" si="58"/>
        <v>431.05000000000007</v>
      </c>
      <c r="R199" s="10">
        <f t="shared" si="59"/>
        <v>2637.1399999999994</v>
      </c>
      <c r="S199" s="10">
        <f t="shared" si="60"/>
        <v>242.57650156594352</v>
      </c>
      <c r="T199" s="9" t="s">
        <v>76</v>
      </c>
      <c r="U199" s="10">
        <v>4504</v>
      </c>
      <c r="V199" s="10">
        <f t="shared" si="61"/>
        <v>3152.7999999999997</v>
      </c>
      <c r="W199" s="166">
        <v>490110</v>
      </c>
      <c r="X199" s="12" t="s">
        <v>26</v>
      </c>
      <c r="Y199" s="12">
        <f t="shared" si="62"/>
        <v>242.57650156594352</v>
      </c>
      <c r="Z199" s="13">
        <f t="shared" si="63"/>
        <v>242.57650156594352</v>
      </c>
      <c r="AA199" s="13">
        <f t="shared" si="64"/>
        <v>242.57650156594352</v>
      </c>
      <c r="AB199" s="13">
        <f t="shared" si="65"/>
        <v>39.65</v>
      </c>
      <c r="AC199" s="13">
        <f t="shared" si="66"/>
        <v>202.92650156594351</v>
      </c>
      <c r="AD199" s="14">
        <f t="shared" si="67"/>
        <v>0.83654641012612141</v>
      </c>
      <c r="AE199" s="14">
        <f t="shared" si="68"/>
        <v>5.1179445539960531</v>
      </c>
      <c r="AF199" s="13" t="str">
        <f>IF(AD199&gt;=Assumptions!$B$3,"OK","Review")</f>
        <v>OK</v>
      </c>
      <c r="AG199" s="13">
        <f>IFERROR(IF(Assumptions!$B$13="Cost Price",AB199,AA199)*SUMIF(Assumptions!$A$6:$A$10,X199,Assumptions!$B$6:$B$10),0)</f>
        <v>19.406120125275482</v>
      </c>
      <c r="AH199" s="13">
        <f>IFERROR(IF(Assumptions!$B$13="Cost Price",AB199,AA199)*SUMIF(Assumptions!$A$6:$A$10,X199,Assumptions!$C$6:$C$10),0)</f>
        <v>12.128825078297176</v>
      </c>
      <c r="AI199" s="13">
        <f>IFERROR(IF(Assumptions!$B$13="Cost Price",AB199,AA199)*SUMIF(Assumptions!$A$6:$A$10,X199,Assumptions!$D$6:$D$10),0)</f>
        <v>24.257650156594352</v>
      </c>
      <c r="AJ199" s="13">
        <v>36.686621273634145</v>
      </c>
      <c r="AK199" s="13">
        <f t="shared" si="69"/>
        <v>92.479216633801158</v>
      </c>
      <c r="AL199" s="14">
        <v>0.33</v>
      </c>
      <c r="AM199" s="13">
        <f t="shared" si="70"/>
        <v>110.44728493214235</v>
      </c>
      <c r="AN199" s="14">
        <f t="shared" si="71"/>
        <v>0.4553090848419119</v>
      </c>
      <c r="AO199" t="str">
        <f>IF(AN199&gt;=Assumptions!$B$3,"OK","Review")</f>
        <v>OK</v>
      </c>
    </row>
    <row r="200" spans="1:41" ht="15" customHeight="1">
      <c r="A200" s="9" t="s">
        <v>242</v>
      </c>
      <c r="B200" s="9" t="s">
        <v>39</v>
      </c>
      <c r="C200" s="9" t="s">
        <v>71</v>
      </c>
      <c r="D200" s="9" t="s">
        <v>141</v>
      </c>
      <c r="E200" s="9" t="s">
        <v>73</v>
      </c>
      <c r="F200" s="9" t="s">
        <v>74</v>
      </c>
      <c r="G200" s="9" t="s">
        <v>24</v>
      </c>
      <c r="H200" s="9" t="s">
        <v>75</v>
      </c>
      <c r="I200" s="9">
        <v>4000011807</v>
      </c>
      <c r="J200" s="10">
        <v>48.5</v>
      </c>
      <c r="K200" s="10"/>
      <c r="L200" s="10">
        <f t="shared" si="54"/>
        <v>48.5</v>
      </c>
      <c r="M200" s="11">
        <v>0</v>
      </c>
      <c r="N200" s="10">
        <f t="shared" si="55"/>
        <v>0</v>
      </c>
      <c r="O200" s="10">
        <f t="shared" si="56"/>
        <v>48.5</v>
      </c>
      <c r="P200" s="11">
        <f t="shared" si="57"/>
        <v>0.11251594942582065</v>
      </c>
      <c r="Q200" s="10">
        <f t="shared" si="58"/>
        <v>431.05000000000007</v>
      </c>
      <c r="R200" s="10">
        <f t="shared" si="59"/>
        <v>2637.1399999999994</v>
      </c>
      <c r="S200" s="10">
        <f t="shared" si="60"/>
        <v>296.72031086880861</v>
      </c>
      <c r="T200" s="9" t="s">
        <v>76</v>
      </c>
      <c r="U200" s="10">
        <v>4504</v>
      </c>
      <c r="V200" s="10">
        <f t="shared" si="61"/>
        <v>3152.7999999999997</v>
      </c>
      <c r="W200" s="166">
        <v>490110</v>
      </c>
      <c r="X200" s="12" t="s">
        <v>26</v>
      </c>
      <c r="Y200" s="12">
        <f t="shared" si="62"/>
        <v>296.72031086880861</v>
      </c>
      <c r="Z200" s="13">
        <f t="shared" si="63"/>
        <v>296.72031086880861</v>
      </c>
      <c r="AA200" s="13">
        <f t="shared" si="64"/>
        <v>296.72031086880861</v>
      </c>
      <c r="AB200" s="13">
        <f t="shared" si="65"/>
        <v>48.5</v>
      </c>
      <c r="AC200" s="13">
        <f t="shared" si="66"/>
        <v>248.22031086880861</v>
      </c>
      <c r="AD200" s="14">
        <f t="shared" si="67"/>
        <v>0.83654641012612141</v>
      </c>
      <c r="AE200" s="14">
        <f t="shared" si="68"/>
        <v>5.117944553996054</v>
      </c>
      <c r="AF200" s="13" t="str">
        <f>IF(AD200&gt;=Assumptions!$B$3,"OK","Review")</f>
        <v>OK</v>
      </c>
      <c r="AG200" s="13">
        <f>IFERROR(IF(Assumptions!$B$13="Cost Price",AB200,AA200)*SUMIF(Assumptions!$A$6:$A$10,X200,Assumptions!$B$6:$B$10),0)</f>
        <v>23.737624869504689</v>
      </c>
      <c r="AH200" s="13">
        <f>IFERROR(IF(Assumptions!$B$13="Cost Price",AB200,AA200)*SUMIF(Assumptions!$A$6:$A$10,X200,Assumptions!$C$6:$C$10),0)</f>
        <v>14.836015543440432</v>
      </c>
      <c r="AI200" s="13">
        <f>IFERROR(IF(Assumptions!$B$13="Cost Price",AB200,AA200)*SUMIF(Assumptions!$A$6:$A$10,X200,Assumptions!$D$6:$D$10),0)</f>
        <v>29.672031086880864</v>
      </c>
      <c r="AJ200" s="13">
        <v>44.875186173297756</v>
      </c>
      <c r="AK200" s="13">
        <f t="shared" si="69"/>
        <v>113.12085767312374</v>
      </c>
      <c r="AL200" s="14">
        <v>0.33</v>
      </c>
      <c r="AM200" s="13">
        <f t="shared" si="70"/>
        <v>135.09945319568487</v>
      </c>
      <c r="AN200" s="14">
        <f t="shared" si="71"/>
        <v>0.45530908484191196</v>
      </c>
      <c r="AO200" t="str">
        <f>IF(AN200&gt;=Assumptions!$B$3,"OK","Review")</f>
        <v>OK</v>
      </c>
    </row>
    <row r="201" spans="1:41" ht="15" customHeight="1">
      <c r="A201" s="9" t="s">
        <v>242</v>
      </c>
      <c r="B201" s="9" t="s">
        <v>39</v>
      </c>
      <c r="C201" s="9" t="s">
        <v>78</v>
      </c>
      <c r="D201" s="9" t="s">
        <v>143</v>
      </c>
      <c r="E201" s="9" t="s">
        <v>73</v>
      </c>
      <c r="F201" s="9" t="s">
        <v>74</v>
      </c>
      <c r="G201" s="9" t="s">
        <v>24</v>
      </c>
      <c r="H201" s="9" t="s">
        <v>75</v>
      </c>
      <c r="I201" s="9">
        <v>4000011810</v>
      </c>
      <c r="J201" s="10">
        <v>40.619999999999997</v>
      </c>
      <c r="K201" s="10"/>
      <c r="L201" s="10">
        <f t="shared" si="54"/>
        <v>40.619999999999997</v>
      </c>
      <c r="M201" s="11">
        <v>0</v>
      </c>
      <c r="N201" s="10">
        <f t="shared" si="55"/>
        <v>0</v>
      </c>
      <c r="O201" s="10">
        <f t="shared" si="56"/>
        <v>40.619999999999997</v>
      </c>
      <c r="P201" s="11">
        <f t="shared" si="57"/>
        <v>9.4235007539728549E-2</v>
      </c>
      <c r="Q201" s="10">
        <f t="shared" si="58"/>
        <v>431.05000000000007</v>
      </c>
      <c r="R201" s="10">
        <f t="shared" si="59"/>
        <v>2637.1399999999994</v>
      </c>
      <c r="S201" s="10">
        <f t="shared" si="60"/>
        <v>248.51090778331968</v>
      </c>
      <c r="T201" s="9" t="s">
        <v>76</v>
      </c>
      <c r="U201" s="10">
        <v>4504</v>
      </c>
      <c r="V201" s="10">
        <f t="shared" si="61"/>
        <v>3152.7999999999997</v>
      </c>
      <c r="W201" s="166">
        <v>490110</v>
      </c>
      <c r="X201" s="12" t="s">
        <v>26</v>
      </c>
      <c r="Y201" s="12">
        <f t="shared" si="62"/>
        <v>248.51090778331968</v>
      </c>
      <c r="Z201" s="13">
        <f t="shared" si="63"/>
        <v>248.51090778331968</v>
      </c>
      <c r="AA201" s="13">
        <f t="shared" si="64"/>
        <v>248.51090778331968</v>
      </c>
      <c r="AB201" s="13">
        <f t="shared" si="65"/>
        <v>40.619999999999997</v>
      </c>
      <c r="AC201" s="13">
        <f t="shared" si="66"/>
        <v>207.89090778331968</v>
      </c>
      <c r="AD201" s="14">
        <f t="shared" si="67"/>
        <v>0.83654641012612141</v>
      </c>
      <c r="AE201" s="14">
        <f t="shared" si="68"/>
        <v>5.1179445539960531</v>
      </c>
      <c r="AF201" s="13" t="str">
        <f>IF(AD201&gt;=Assumptions!$B$3,"OK","Review")</f>
        <v>OK</v>
      </c>
      <c r="AG201" s="13">
        <f>IFERROR(IF(Assumptions!$B$13="Cost Price",AB201,AA201)*SUMIF(Assumptions!$A$6:$A$10,X201,Assumptions!$B$6:$B$10),0)</f>
        <v>19.880872622665574</v>
      </c>
      <c r="AH201" s="13">
        <f>IFERROR(IF(Assumptions!$B$13="Cost Price",AB201,AA201)*SUMIF(Assumptions!$A$6:$A$10,X201,Assumptions!$C$6:$C$10),0)</f>
        <v>12.425545389165984</v>
      </c>
      <c r="AI201" s="13">
        <f>IFERROR(IF(Assumptions!$B$13="Cost Price",AB201,AA201)*SUMIF(Assumptions!$A$6:$A$10,X201,Assumptions!$D$6:$D$10),0)</f>
        <v>24.851090778331969</v>
      </c>
      <c r="AJ201" s="13">
        <v>37.584124997100098</v>
      </c>
      <c r="AK201" s="13">
        <f t="shared" si="69"/>
        <v>94.741633787263623</v>
      </c>
      <c r="AL201" s="14">
        <v>0.33</v>
      </c>
      <c r="AM201" s="13">
        <f t="shared" si="70"/>
        <v>113.14927399605605</v>
      </c>
      <c r="AN201" s="14">
        <f t="shared" si="71"/>
        <v>0.4553090848419119</v>
      </c>
      <c r="AO201" t="str">
        <f>IF(AN201&gt;=Assumptions!$B$3,"OK","Review")</f>
        <v>OK</v>
      </c>
    </row>
    <row r="202" spans="1:41" ht="15" customHeight="1">
      <c r="A202" s="9" t="s">
        <v>242</v>
      </c>
      <c r="B202" s="9" t="s">
        <v>39</v>
      </c>
      <c r="C202" s="9" t="s">
        <v>78</v>
      </c>
      <c r="D202" s="9" t="s">
        <v>144</v>
      </c>
      <c r="E202" s="9" t="s">
        <v>73</v>
      </c>
      <c r="F202" s="9" t="s">
        <v>74</v>
      </c>
      <c r="G202" s="9" t="s">
        <v>24</v>
      </c>
      <c r="H202" s="9" t="s">
        <v>75</v>
      </c>
      <c r="I202" s="9">
        <v>4000011809</v>
      </c>
      <c r="J202" s="10">
        <v>55.07</v>
      </c>
      <c r="K202" s="10"/>
      <c r="L202" s="10">
        <f t="shared" si="54"/>
        <v>55.07</v>
      </c>
      <c r="M202" s="11">
        <v>0</v>
      </c>
      <c r="N202" s="10">
        <f t="shared" si="55"/>
        <v>0</v>
      </c>
      <c r="O202" s="10">
        <f t="shared" si="56"/>
        <v>55.07</v>
      </c>
      <c r="P202" s="11">
        <f t="shared" si="57"/>
        <v>0.12775780071917409</v>
      </c>
      <c r="Q202" s="10">
        <f t="shared" si="58"/>
        <v>431.05000000000007</v>
      </c>
      <c r="R202" s="10">
        <f t="shared" si="59"/>
        <v>2637.1399999999994</v>
      </c>
      <c r="S202" s="10">
        <f t="shared" si="60"/>
        <v>336.91520658856268</v>
      </c>
      <c r="T202" s="9" t="s">
        <v>76</v>
      </c>
      <c r="U202" s="10">
        <v>4504</v>
      </c>
      <c r="V202" s="10">
        <f t="shared" si="61"/>
        <v>3152.7999999999997</v>
      </c>
      <c r="W202" s="166">
        <v>490110</v>
      </c>
      <c r="X202" s="12" t="s">
        <v>26</v>
      </c>
      <c r="Y202" s="12">
        <f t="shared" si="62"/>
        <v>336.91520658856268</v>
      </c>
      <c r="Z202" s="13">
        <f t="shared" si="63"/>
        <v>336.91520658856268</v>
      </c>
      <c r="AA202" s="13">
        <f t="shared" si="64"/>
        <v>336.91520658856268</v>
      </c>
      <c r="AB202" s="13">
        <f t="shared" si="65"/>
        <v>55.07</v>
      </c>
      <c r="AC202" s="13">
        <f t="shared" si="66"/>
        <v>281.84520658856269</v>
      </c>
      <c r="AD202" s="14">
        <f t="shared" si="67"/>
        <v>0.83654641012612141</v>
      </c>
      <c r="AE202" s="14">
        <f t="shared" si="68"/>
        <v>5.117944553996054</v>
      </c>
      <c r="AF202" s="13" t="str">
        <f>IF(AD202&gt;=Assumptions!$B$3,"OK","Review")</f>
        <v>OK</v>
      </c>
      <c r="AG202" s="13">
        <f>IFERROR(IF(Assumptions!$B$13="Cost Price",AB202,AA202)*SUMIF(Assumptions!$A$6:$A$10,X202,Assumptions!$B$6:$B$10),0)</f>
        <v>26.953216527085015</v>
      </c>
      <c r="AH202" s="13">
        <f>IFERROR(IF(Assumptions!$B$13="Cost Price",AB202,AA202)*SUMIF(Assumptions!$A$6:$A$10,X202,Assumptions!$C$6:$C$10),0)</f>
        <v>16.845760329428135</v>
      </c>
      <c r="AI202" s="13">
        <f>IFERROR(IF(Assumptions!$B$13="Cost Price",AB202,AA202)*SUMIF(Assumptions!$A$6:$A$10,X202,Assumptions!$D$6:$D$10),0)</f>
        <v>33.69152065885627</v>
      </c>
      <c r="AJ202" s="13">
        <v>50.954154692031082</v>
      </c>
      <c r="AK202" s="13">
        <f t="shared" si="69"/>
        <v>128.44465220740051</v>
      </c>
      <c r="AL202" s="14">
        <v>0.33</v>
      </c>
      <c r="AM202" s="13">
        <f t="shared" si="70"/>
        <v>153.40055438116218</v>
      </c>
      <c r="AN202" s="14">
        <f t="shared" si="71"/>
        <v>0.45530908484191196</v>
      </c>
      <c r="AO202" t="str">
        <f>IF(AN202&gt;=Assumptions!$B$3,"OK","Review")</f>
        <v>OK</v>
      </c>
    </row>
    <row r="203" spans="1:41" ht="15" customHeight="1">
      <c r="A203" s="9" t="s">
        <v>242</v>
      </c>
      <c r="B203" s="9" t="s">
        <v>39</v>
      </c>
      <c r="C203" s="9" t="s">
        <v>113</v>
      </c>
      <c r="D203" s="9" t="s">
        <v>146</v>
      </c>
      <c r="E203" s="9" t="s">
        <v>73</v>
      </c>
      <c r="F203" s="9" t="s">
        <v>74</v>
      </c>
      <c r="G203" s="9" t="s">
        <v>24</v>
      </c>
      <c r="H203" s="9" t="s">
        <v>75</v>
      </c>
      <c r="I203" s="9">
        <v>4000011812</v>
      </c>
      <c r="J203" s="10">
        <v>39.94</v>
      </c>
      <c r="K203" s="10"/>
      <c r="L203" s="10">
        <f t="shared" si="54"/>
        <v>39.94</v>
      </c>
      <c r="M203" s="11">
        <v>0</v>
      </c>
      <c r="N203" s="10">
        <f t="shared" si="55"/>
        <v>0</v>
      </c>
      <c r="O203" s="10">
        <f t="shared" si="56"/>
        <v>39.94</v>
      </c>
      <c r="P203" s="11">
        <f t="shared" si="57"/>
        <v>9.2657464331284051E-2</v>
      </c>
      <c r="Q203" s="10">
        <f t="shared" si="58"/>
        <v>431.05000000000007</v>
      </c>
      <c r="R203" s="10">
        <f t="shared" si="59"/>
        <v>2637.1399999999994</v>
      </c>
      <c r="S203" s="10">
        <f t="shared" si="60"/>
        <v>244.35070548660238</v>
      </c>
      <c r="T203" s="9" t="s">
        <v>76</v>
      </c>
      <c r="U203" s="10">
        <v>4504</v>
      </c>
      <c r="V203" s="10">
        <f t="shared" si="61"/>
        <v>3152.7999999999997</v>
      </c>
      <c r="W203" s="166">
        <v>490110</v>
      </c>
      <c r="X203" s="12" t="s">
        <v>26</v>
      </c>
      <c r="Y203" s="12">
        <f t="shared" si="62"/>
        <v>244.35070548660238</v>
      </c>
      <c r="Z203" s="13">
        <f t="shared" si="63"/>
        <v>244.35070548660238</v>
      </c>
      <c r="AA203" s="13">
        <f t="shared" si="64"/>
        <v>244.35070548660238</v>
      </c>
      <c r="AB203" s="13">
        <f t="shared" si="65"/>
        <v>39.94</v>
      </c>
      <c r="AC203" s="13">
        <f t="shared" si="66"/>
        <v>204.41070548660238</v>
      </c>
      <c r="AD203" s="14">
        <f t="shared" si="67"/>
        <v>0.83654641012612141</v>
      </c>
      <c r="AE203" s="14">
        <f t="shared" si="68"/>
        <v>5.117944553996054</v>
      </c>
      <c r="AF203" s="13" t="str">
        <f>IF(AD203&gt;=Assumptions!$B$3,"OK","Review")</f>
        <v>OK</v>
      </c>
      <c r="AG203" s="13">
        <f>IFERROR(IF(Assumptions!$B$13="Cost Price",AB203,AA203)*SUMIF(Assumptions!$A$6:$A$10,X203,Assumptions!$B$6:$B$10),0)</f>
        <v>19.548056438928192</v>
      </c>
      <c r="AH203" s="13">
        <f>IFERROR(IF(Assumptions!$B$13="Cost Price",AB203,AA203)*SUMIF(Assumptions!$A$6:$A$10,X203,Assumptions!$C$6:$C$10),0)</f>
        <v>12.217535274330119</v>
      </c>
      <c r="AI203" s="13">
        <f>IFERROR(IF(Assumptions!$B$13="Cost Price",AB203,AA203)*SUMIF(Assumptions!$A$6:$A$10,X203,Assumptions!$D$6:$D$10),0)</f>
        <v>24.435070548660239</v>
      </c>
      <c r="AJ203" s="13">
        <v>36.954947129103346</v>
      </c>
      <c r="AK203" s="13">
        <f t="shared" si="69"/>
        <v>93.155609391021898</v>
      </c>
      <c r="AL203" s="14">
        <v>0.33</v>
      </c>
      <c r="AM203" s="13">
        <f t="shared" si="70"/>
        <v>111.25509609558048</v>
      </c>
      <c r="AN203" s="14">
        <f t="shared" si="71"/>
        <v>0.45530908484191196</v>
      </c>
      <c r="AO203" t="str">
        <f>IF(AN203&gt;=Assumptions!$B$3,"OK","Review")</f>
        <v>OK</v>
      </c>
    </row>
    <row r="204" spans="1:41" ht="15" customHeight="1">
      <c r="A204" s="9" t="s">
        <v>242</v>
      </c>
      <c r="B204" s="9" t="s">
        <v>39</v>
      </c>
      <c r="C204" s="9" t="s">
        <v>105</v>
      </c>
      <c r="D204" s="9" t="s">
        <v>147</v>
      </c>
      <c r="E204" s="9" t="s">
        <v>73</v>
      </c>
      <c r="F204" s="9" t="s">
        <v>74</v>
      </c>
      <c r="G204" s="9" t="s">
        <v>24</v>
      </c>
      <c r="H204" s="9" t="s">
        <v>84</v>
      </c>
      <c r="I204" s="9">
        <v>4000011813</v>
      </c>
      <c r="J204" s="10">
        <v>41.81</v>
      </c>
      <c r="K204" s="10"/>
      <c r="L204" s="10">
        <f t="shared" si="54"/>
        <v>41.81</v>
      </c>
      <c r="M204" s="11">
        <v>0</v>
      </c>
      <c r="N204" s="10">
        <f t="shared" si="55"/>
        <v>0</v>
      </c>
      <c r="O204" s="10">
        <f t="shared" si="56"/>
        <v>41.81</v>
      </c>
      <c r="P204" s="11">
        <f t="shared" si="57"/>
        <v>9.6995708154506421E-2</v>
      </c>
      <c r="Q204" s="10">
        <f t="shared" si="58"/>
        <v>431.05000000000007</v>
      </c>
      <c r="R204" s="10">
        <f t="shared" si="59"/>
        <v>2637.1399999999994</v>
      </c>
      <c r="S204" s="10">
        <f t="shared" si="60"/>
        <v>255.79126180257501</v>
      </c>
      <c r="T204" s="9" t="s">
        <v>76</v>
      </c>
      <c r="U204" s="10">
        <v>4504</v>
      </c>
      <c r="V204" s="10">
        <f t="shared" si="61"/>
        <v>3152.7999999999997</v>
      </c>
      <c r="W204" s="166">
        <v>490110</v>
      </c>
      <c r="X204" s="12" t="s">
        <v>26</v>
      </c>
      <c r="Y204" s="12">
        <f t="shared" si="62"/>
        <v>255.79126180257501</v>
      </c>
      <c r="Z204" s="13">
        <f t="shared" si="63"/>
        <v>255.79126180257501</v>
      </c>
      <c r="AA204" s="13">
        <f t="shared" si="64"/>
        <v>255.79126180257501</v>
      </c>
      <c r="AB204" s="13">
        <f t="shared" si="65"/>
        <v>41.81</v>
      </c>
      <c r="AC204" s="13">
        <f t="shared" si="66"/>
        <v>213.98126180257501</v>
      </c>
      <c r="AD204" s="14">
        <f t="shared" si="67"/>
        <v>0.83654641012612141</v>
      </c>
      <c r="AE204" s="14">
        <f t="shared" si="68"/>
        <v>5.1179445539960531</v>
      </c>
      <c r="AF204" s="13" t="str">
        <f>IF(AD204&gt;=Assumptions!$B$3,"OK","Review")</f>
        <v>OK</v>
      </c>
      <c r="AG204" s="13">
        <f>IFERROR(IF(Assumptions!$B$13="Cost Price",AB204,AA204)*SUMIF(Assumptions!$A$6:$A$10,X204,Assumptions!$B$6:$B$10),0)</f>
        <v>20.463300944206001</v>
      </c>
      <c r="AH204" s="13">
        <f>IFERROR(IF(Assumptions!$B$13="Cost Price",AB204,AA204)*SUMIF(Assumptions!$A$6:$A$10,X204,Assumptions!$C$6:$C$10),0)</f>
        <v>12.789563090128752</v>
      </c>
      <c r="AI204" s="13">
        <f>IFERROR(IF(Assumptions!$B$13="Cost Price",AB204,AA204)*SUMIF(Assumptions!$A$6:$A$10,X204,Assumptions!$D$6:$D$10),0)</f>
        <v>25.579126180257504</v>
      </c>
      <c r="AJ204" s="13">
        <v>38.685186266094419</v>
      </c>
      <c r="AK204" s="13">
        <f t="shared" si="69"/>
        <v>97.517176480686672</v>
      </c>
      <c r="AL204" s="14">
        <v>0.33</v>
      </c>
      <c r="AM204" s="13">
        <f t="shared" si="70"/>
        <v>116.46408532188833</v>
      </c>
      <c r="AN204" s="14">
        <f t="shared" si="71"/>
        <v>0.45530908484191196</v>
      </c>
      <c r="AO204" t="str">
        <f>IF(AN204&gt;=Assumptions!$B$3,"OK","Review")</f>
        <v>OK</v>
      </c>
    </row>
    <row r="205" spans="1:41" ht="15" customHeight="1">
      <c r="A205" s="9" t="s">
        <v>242</v>
      </c>
      <c r="B205" s="9" t="s">
        <v>39</v>
      </c>
      <c r="C205" s="9" t="s">
        <v>71</v>
      </c>
      <c r="D205" s="9" t="s">
        <v>149</v>
      </c>
      <c r="E205" s="9" t="s">
        <v>73</v>
      </c>
      <c r="F205" s="9" t="s">
        <v>74</v>
      </c>
      <c r="G205" s="9" t="s">
        <v>24</v>
      </c>
      <c r="H205" s="9" t="s">
        <v>84</v>
      </c>
      <c r="I205" s="9">
        <v>4000011815</v>
      </c>
      <c r="J205" s="10">
        <v>46.24</v>
      </c>
      <c r="K205" s="10"/>
      <c r="L205" s="10">
        <f t="shared" si="54"/>
        <v>46.24</v>
      </c>
      <c r="M205" s="11">
        <v>0</v>
      </c>
      <c r="N205" s="10">
        <f t="shared" si="55"/>
        <v>0</v>
      </c>
      <c r="O205" s="10">
        <f t="shared" si="56"/>
        <v>46.24</v>
      </c>
      <c r="P205" s="11">
        <f t="shared" si="57"/>
        <v>0.10727293817422572</v>
      </c>
      <c r="Q205" s="10">
        <f t="shared" si="58"/>
        <v>431.05000000000007</v>
      </c>
      <c r="R205" s="10">
        <f t="shared" si="59"/>
        <v>2637.1399999999994</v>
      </c>
      <c r="S205" s="10">
        <f t="shared" si="60"/>
        <v>282.89375617677752</v>
      </c>
      <c r="T205" s="9" t="s">
        <v>76</v>
      </c>
      <c r="U205" s="10">
        <v>4504</v>
      </c>
      <c r="V205" s="10">
        <f t="shared" si="61"/>
        <v>3152.7999999999997</v>
      </c>
      <c r="W205" s="166">
        <v>490110</v>
      </c>
      <c r="X205" s="12" t="s">
        <v>26</v>
      </c>
      <c r="Y205" s="12">
        <f t="shared" si="62"/>
        <v>282.89375617677752</v>
      </c>
      <c r="Z205" s="13">
        <f t="shared" si="63"/>
        <v>282.89375617677752</v>
      </c>
      <c r="AA205" s="13">
        <f t="shared" si="64"/>
        <v>282.89375617677752</v>
      </c>
      <c r="AB205" s="13">
        <f t="shared" si="65"/>
        <v>46.24</v>
      </c>
      <c r="AC205" s="13">
        <f t="shared" si="66"/>
        <v>236.65375617677751</v>
      </c>
      <c r="AD205" s="14">
        <f t="shared" si="67"/>
        <v>0.83654641012612141</v>
      </c>
      <c r="AE205" s="14">
        <f t="shared" si="68"/>
        <v>5.1179445539960531</v>
      </c>
      <c r="AF205" s="13" t="str">
        <f>IF(AD205&gt;=Assumptions!$B$3,"OK","Review")</f>
        <v>OK</v>
      </c>
      <c r="AG205" s="13">
        <f>IFERROR(IF(Assumptions!$B$13="Cost Price",AB205,AA205)*SUMIF(Assumptions!$A$6:$A$10,X205,Assumptions!$B$6:$B$10),0)</f>
        <v>22.631500494142202</v>
      </c>
      <c r="AH205" s="13">
        <f>IFERROR(IF(Assumptions!$B$13="Cost Price",AB205,AA205)*SUMIF(Assumptions!$A$6:$A$10,X205,Assumptions!$C$6:$C$10),0)</f>
        <v>14.144687808838876</v>
      </c>
      <c r="AI205" s="13">
        <f>IFERROR(IF(Assumptions!$B$13="Cost Price",AB205,AA205)*SUMIF(Assumptions!$A$6:$A$10,X205,Assumptions!$D$6:$D$10),0)</f>
        <v>28.289375617677752</v>
      </c>
      <c r="AJ205" s="13">
        <v>42.784095023779145</v>
      </c>
      <c r="AK205" s="13">
        <f t="shared" si="69"/>
        <v>107.84965894443798</v>
      </c>
      <c r="AL205" s="14">
        <v>0.33</v>
      </c>
      <c r="AM205" s="13">
        <f t="shared" si="70"/>
        <v>128.80409723233953</v>
      </c>
      <c r="AN205" s="14">
        <f t="shared" si="71"/>
        <v>0.4553090848419119</v>
      </c>
      <c r="AO205" t="str">
        <f>IF(AN205&gt;=Assumptions!$B$3,"OK","Review")</f>
        <v>OK</v>
      </c>
    </row>
    <row r="206" spans="1:41" ht="15" customHeight="1">
      <c r="A206" s="9" t="s">
        <v>242</v>
      </c>
      <c r="B206" s="9" t="s">
        <v>39</v>
      </c>
      <c r="C206" s="9" t="s">
        <v>78</v>
      </c>
      <c r="D206" s="9" t="s">
        <v>151</v>
      </c>
      <c r="E206" s="9" t="s">
        <v>73</v>
      </c>
      <c r="F206" s="9" t="s">
        <v>74</v>
      </c>
      <c r="G206" s="9" t="s">
        <v>24</v>
      </c>
      <c r="H206" s="9" t="s">
        <v>84</v>
      </c>
      <c r="I206" s="9">
        <v>4000011818</v>
      </c>
      <c r="J206" s="10">
        <v>75.930000000000007</v>
      </c>
      <c r="K206" s="10"/>
      <c r="L206" s="10">
        <f t="shared" si="54"/>
        <v>75.930000000000007</v>
      </c>
      <c r="M206" s="11">
        <v>0</v>
      </c>
      <c r="N206" s="10">
        <f t="shared" si="55"/>
        <v>0</v>
      </c>
      <c r="O206" s="10">
        <f t="shared" si="56"/>
        <v>75.930000000000007</v>
      </c>
      <c r="P206" s="11">
        <f t="shared" si="57"/>
        <v>0.17615125855469202</v>
      </c>
      <c r="Q206" s="10">
        <f t="shared" si="58"/>
        <v>431.05000000000007</v>
      </c>
      <c r="R206" s="10">
        <f t="shared" si="59"/>
        <v>2637.1399999999994</v>
      </c>
      <c r="S206" s="10">
        <f t="shared" si="60"/>
        <v>464.5355299849204</v>
      </c>
      <c r="T206" s="9" t="s">
        <v>76</v>
      </c>
      <c r="U206" s="10">
        <v>4504</v>
      </c>
      <c r="V206" s="10">
        <f t="shared" si="61"/>
        <v>3152.7999999999997</v>
      </c>
      <c r="W206" s="166">
        <v>490110</v>
      </c>
      <c r="X206" s="12" t="s">
        <v>26</v>
      </c>
      <c r="Y206" s="12">
        <f t="shared" si="62"/>
        <v>464.5355299849204</v>
      </c>
      <c r="Z206" s="13">
        <f t="shared" si="63"/>
        <v>464.5355299849204</v>
      </c>
      <c r="AA206" s="13">
        <f t="shared" si="64"/>
        <v>464.5355299849204</v>
      </c>
      <c r="AB206" s="13">
        <f t="shared" si="65"/>
        <v>75.930000000000007</v>
      </c>
      <c r="AC206" s="13">
        <f t="shared" si="66"/>
        <v>388.60552998492039</v>
      </c>
      <c r="AD206" s="14">
        <f t="shared" si="67"/>
        <v>0.83654641012612141</v>
      </c>
      <c r="AE206" s="14">
        <f t="shared" si="68"/>
        <v>5.117944553996054</v>
      </c>
      <c r="AF206" s="13" t="str">
        <f>IF(AD206&gt;=Assumptions!$B$3,"OK","Review")</f>
        <v>OK</v>
      </c>
      <c r="AG206" s="13">
        <f>IFERROR(IF(Assumptions!$B$13="Cost Price",AB206,AA206)*SUMIF(Assumptions!$A$6:$A$10,X206,Assumptions!$B$6:$B$10),0)</f>
        <v>37.162842398793636</v>
      </c>
      <c r="AH206" s="13">
        <f>IFERROR(IF(Assumptions!$B$13="Cost Price",AB206,AA206)*SUMIF(Assumptions!$A$6:$A$10,X206,Assumptions!$C$6:$C$10),0)</f>
        <v>23.226776499246022</v>
      </c>
      <c r="AI206" s="13">
        <f>IFERROR(IF(Assumptions!$B$13="Cost Price",AB206,AA206)*SUMIF(Assumptions!$A$6:$A$10,X206,Assumptions!$D$6:$D$10),0)</f>
        <v>46.453552998492043</v>
      </c>
      <c r="AJ206" s="13">
        <v>70.255111054402036</v>
      </c>
      <c r="AK206" s="13">
        <f t="shared" si="69"/>
        <v>177.09828295093374</v>
      </c>
      <c r="AL206" s="14">
        <v>0.33</v>
      </c>
      <c r="AM206" s="13">
        <f t="shared" si="70"/>
        <v>211.50724703398666</v>
      </c>
      <c r="AN206" s="14">
        <f t="shared" si="71"/>
        <v>0.45530908484191196</v>
      </c>
      <c r="AO206" t="str">
        <f>IF(AN206&gt;=Assumptions!$B$3,"OK","Review")</f>
        <v>OK</v>
      </c>
    </row>
    <row r="207" spans="1:41" ht="15" customHeight="1">
      <c r="A207" s="9" t="s">
        <v>242</v>
      </c>
      <c r="B207" s="9" t="s">
        <v>39</v>
      </c>
      <c r="C207" s="9" t="s">
        <v>113</v>
      </c>
      <c r="D207" s="9" t="s">
        <v>153</v>
      </c>
      <c r="E207" s="9" t="s">
        <v>73</v>
      </c>
      <c r="F207" s="9" t="s">
        <v>74</v>
      </c>
      <c r="G207" s="9" t="s">
        <v>24</v>
      </c>
      <c r="H207" s="9" t="s">
        <v>84</v>
      </c>
      <c r="I207" s="9">
        <v>4000011740</v>
      </c>
      <c r="J207" s="10">
        <v>43.29</v>
      </c>
      <c r="K207" s="10"/>
      <c r="L207" s="10">
        <f t="shared" si="54"/>
        <v>43.29</v>
      </c>
      <c r="M207" s="11">
        <v>0</v>
      </c>
      <c r="N207" s="10">
        <f t="shared" si="55"/>
        <v>0</v>
      </c>
      <c r="O207" s="10">
        <f t="shared" si="56"/>
        <v>43.29</v>
      </c>
      <c r="P207" s="11">
        <f t="shared" si="57"/>
        <v>0.1004291845493562</v>
      </c>
      <c r="Q207" s="10">
        <f t="shared" si="58"/>
        <v>431.05000000000007</v>
      </c>
      <c r="R207" s="10">
        <f t="shared" si="59"/>
        <v>2637.1399999999994</v>
      </c>
      <c r="S207" s="10">
        <f t="shared" si="60"/>
        <v>264.84581974248914</v>
      </c>
      <c r="T207" s="9" t="s">
        <v>76</v>
      </c>
      <c r="U207" s="10">
        <v>4504</v>
      </c>
      <c r="V207" s="10">
        <f t="shared" si="61"/>
        <v>3152.7999999999997</v>
      </c>
      <c r="W207" s="166">
        <v>490110</v>
      </c>
      <c r="X207" s="12" t="s">
        <v>26</v>
      </c>
      <c r="Y207" s="12">
        <f t="shared" si="62"/>
        <v>264.84581974248914</v>
      </c>
      <c r="Z207" s="13">
        <f t="shared" si="63"/>
        <v>264.84581974248914</v>
      </c>
      <c r="AA207" s="13">
        <f t="shared" si="64"/>
        <v>264.84581974248914</v>
      </c>
      <c r="AB207" s="13">
        <f t="shared" si="65"/>
        <v>43.29</v>
      </c>
      <c r="AC207" s="13">
        <f t="shared" si="66"/>
        <v>221.55581974248915</v>
      </c>
      <c r="AD207" s="14">
        <f t="shared" si="67"/>
        <v>0.83654641012612141</v>
      </c>
      <c r="AE207" s="14">
        <f t="shared" si="68"/>
        <v>5.1179445539960531</v>
      </c>
      <c r="AF207" s="13" t="str">
        <f>IF(AD207&gt;=Assumptions!$B$3,"OK","Review")</f>
        <v>OK</v>
      </c>
      <c r="AG207" s="13">
        <f>IFERROR(IF(Assumptions!$B$13="Cost Price",AB207,AA207)*SUMIF(Assumptions!$A$6:$A$10,X207,Assumptions!$B$6:$B$10),0)</f>
        <v>21.18766557939913</v>
      </c>
      <c r="AH207" s="13">
        <f>IFERROR(IF(Assumptions!$B$13="Cost Price",AB207,AA207)*SUMIF(Assumptions!$A$6:$A$10,X207,Assumptions!$C$6:$C$10),0)</f>
        <v>13.242290987124457</v>
      </c>
      <c r="AI207" s="13">
        <f>IFERROR(IF(Assumptions!$B$13="Cost Price",AB207,AA207)*SUMIF(Assumptions!$A$6:$A$10,X207,Assumptions!$D$6:$D$10),0)</f>
        <v>26.484581974248915</v>
      </c>
      <c r="AJ207" s="13">
        <v>40.054573390557934</v>
      </c>
      <c r="AK207" s="13">
        <f t="shared" si="69"/>
        <v>100.96911193133043</v>
      </c>
      <c r="AL207" s="14">
        <v>0.33</v>
      </c>
      <c r="AM207" s="13">
        <f t="shared" si="70"/>
        <v>120.58670781115872</v>
      </c>
      <c r="AN207" s="14">
        <f t="shared" si="71"/>
        <v>0.45530908484191202</v>
      </c>
      <c r="AO207" t="str">
        <f>IF(AN207&gt;=Assumptions!$B$3,"OK","Review")</f>
        <v>OK</v>
      </c>
    </row>
    <row r="208" spans="1:41" ht="15" customHeight="1">
      <c r="A208" s="9" t="s">
        <v>242</v>
      </c>
      <c r="B208" s="9" t="s">
        <v>39</v>
      </c>
      <c r="C208" s="9" t="s">
        <v>243</v>
      </c>
      <c r="D208" s="9" t="s">
        <v>248</v>
      </c>
      <c r="E208" s="9" t="s">
        <v>73</v>
      </c>
      <c r="F208" s="9" t="s">
        <v>90</v>
      </c>
      <c r="G208" s="9" t="s">
        <v>24</v>
      </c>
      <c r="H208" s="9" t="s">
        <v>75</v>
      </c>
      <c r="I208" s="9">
        <v>7000001005</v>
      </c>
      <c r="J208" s="10">
        <v>112.5</v>
      </c>
      <c r="K208" s="10">
        <v>10</v>
      </c>
      <c r="L208" s="10">
        <f t="shared" si="54"/>
        <v>122.5</v>
      </c>
      <c r="M208" s="11">
        <v>0.18</v>
      </c>
      <c r="N208" s="10">
        <f t="shared" si="55"/>
        <v>22.05</v>
      </c>
      <c r="O208" s="10">
        <f t="shared" si="56"/>
        <v>144.55000000000001</v>
      </c>
      <c r="P208" s="11">
        <f t="shared" si="57"/>
        <v>0.5606407322654462</v>
      </c>
      <c r="Q208" s="10">
        <f t="shared" si="58"/>
        <v>257.83000000000004</v>
      </c>
      <c r="R208" s="10">
        <f t="shared" si="59"/>
        <v>2637.1399999999994</v>
      </c>
      <c r="S208" s="10">
        <f t="shared" si="60"/>
        <v>144.55000000000001</v>
      </c>
      <c r="T208" s="9" t="s">
        <v>91</v>
      </c>
      <c r="U208" s="10">
        <v>4504</v>
      </c>
      <c r="V208" s="10">
        <f t="shared" si="61"/>
        <v>3152.7999999999997</v>
      </c>
      <c r="W208" s="166">
        <v>49119990</v>
      </c>
      <c r="X208" s="12" t="s">
        <v>26</v>
      </c>
      <c r="Y208" s="12">
        <f t="shared" si="62"/>
        <v>144.55000000000001</v>
      </c>
      <c r="Z208" s="13">
        <f t="shared" si="63"/>
        <v>144.55000000000001</v>
      </c>
      <c r="AA208" s="13">
        <f t="shared" si="64"/>
        <v>122.50000000000001</v>
      </c>
      <c r="AB208" s="13">
        <f t="shared" si="65"/>
        <v>112.5</v>
      </c>
      <c r="AC208" s="13">
        <f t="shared" si="66"/>
        <v>10.000000000000014</v>
      </c>
      <c r="AD208" s="14">
        <f t="shared" si="67"/>
        <v>8.1632653061224594E-2</v>
      </c>
      <c r="AE208" s="14">
        <f t="shared" si="68"/>
        <v>8.8888888888889017E-2</v>
      </c>
      <c r="AF208" s="13" t="str">
        <f>IF(AD208&gt;=Assumptions!$B$3,"OK","Review")</f>
        <v>Review</v>
      </c>
      <c r="AG208" s="13">
        <f>IFERROR(IF(Assumptions!$B$13="Cost Price",AB208,AA208)*SUMIF(Assumptions!$A$6:$A$10,X208,Assumptions!$B$6:$B$10),0)</f>
        <v>9.8000000000000007</v>
      </c>
      <c r="AH208" s="13">
        <f>IFERROR(IF(Assumptions!$B$13="Cost Price",AB208,AA208)*SUMIF(Assumptions!$A$6:$A$10,X208,Assumptions!$C$6:$C$10),0)</f>
        <v>6.1250000000000009</v>
      </c>
      <c r="AI208" s="13">
        <f>IFERROR(IF(Assumptions!$B$13="Cost Price",AB208,AA208)*SUMIF(Assumptions!$A$6:$A$10,X208,Assumptions!$D$6:$D$10),0)</f>
        <v>12.250000000000002</v>
      </c>
      <c r="AJ208" s="13">
        <v>12.250000000000002</v>
      </c>
      <c r="AK208" s="13">
        <f t="shared" si="69"/>
        <v>40.425000000000004</v>
      </c>
      <c r="AL208" s="14">
        <v>0.33</v>
      </c>
      <c r="AM208" s="13">
        <f t="shared" si="70"/>
        <v>-30.42499999999999</v>
      </c>
      <c r="AN208" s="14">
        <f t="shared" si="71"/>
        <v>-0.24836734693877541</v>
      </c>
      <c r="AO208" t="str">
        <f>IF(AN208&gt;=Assumptions!$B$3,"OK","Review")</f>
        <v>Review</v>
      </c>
    </row>
    <row r="209" spans="1:41" ht="15" customHeight="1">
      <c r="A209" s="9" t="s">
        <v>242</v>
      </c>
      <c r="B209" s="9" t="s">
        <v>39</v>
      </c>
      <c r="C209" s="9" t="s">
        <v>92</v>
      </c>
      <c r="D209" s="9" t="s">
        <v>93</v>
      </c>
      <c r="E209" s="9" t="s">
        <v>73</v>
      </c>
      <c r="F209" s="9" t="s">
        <v>94</v>
      </c>
      <c r="G209" s="9" t="s">
        <v>24</v>
      </c>
      <c r="H209" s="9" t="s">
        <v>75</v>
      </c>
      <c r="I209" s="9">
        <v>8400007</v>
      </c>
      <c r="J209" s="10">
        <v>96</v>
      </c>
      <c r="K209" s="10"/>
      <c r="L209" s="10">
        <f t="shared" si="54"/>
        <v>96</v>
      </c>
      <c r="M209" s="11">
        <v>0.18</v>
      </c>
      <c r="N209" s="10">
        <f t="shared" si="55"/>
        <v>17.28</v>
      </c>
      <c r="O209" s="10">
        <f t="shared" si="56"/>
        <v>113.28</v>
      </c>
      <c r="P209" s="11">
        <f t="shared" si="57"/>
        <v>0.43935926773455369</v>
      </c>
      <c r="Q209" s="10">
        <f t="shared" si="58"/>
        <v>257.83000000000004</v>
      </c>
      <c r="R209" s="10">
        <f t="shared" si="59"/>
        <v>2637.1399999999994</v>
      </c>
      <c r="S209" s="10">
        <f t="shared" si="60"/>
        <v>113.28</v>
      </c>
      <c r="T209" s="9" t="s">
        <v>91</v>
      </c>
      <c r="U209" s="10">
        <v>4504</v>
      </c>
      <c r="V209" s="10">
        <f t="shared" si="61"/>
        <v>3152.7999999999997</v>
      </c>
      <c r="W209" s="166">
        <v>999299</v>
      </c>
      <c r="X209" s="12" t="s">
        <v>26</v>
      </c>
      <c r="Y209" s="12">
        <f t="shared" si="62"/>
        <v>113.28</v>
      </c>
      <c r="Z209" s="13">
        <f t="shared" si="63"/>
        <v>113.28</v>
      </c>
      <c r="AA209" s="13">
        <f t="shared" si="64"/>
        <v>96</v>
      </c>
      <c r="AB209" s="13">
        <f t="shared" si="65"/>
        <v>96</v>
      </c>
      <c r="AC209" s="13">
        <f t="shared" si="66"/>
        <v>0</v>
      </c>
      <c r="AD209" s="14">
        <f t="shared" si="67"/>
        <v>0</v>
      </c>
      <c r="AE209" s="14">
        <f t="shared" si="68"/>
        <v>0</v>
      </c>
      <c r="AF209" s="13" t="str">
        <f>IF(AD209&gt;=Assumptions!$B$3,"OK","Review")</f>
        <v>Review</v>
      </c>
      <c r="AG209" s="13">
        <f>IFERROR(IF(Assumptions!$B$13="Cost Price",AB209,AA209)*SUMIF(Assumptions!$A$6:$A$10,X209,Assumptions!$B$6:$B$10),0)</f>
        <v>7.68</v>
      </c>
      <c r="AH209" s="13">
        <f>IFERROR(IF(Assumptions!$B$13="Cost Price",AB209,AA209)*SUMIF(Assumptions!$A$6:$A$10,X209,Assumptions!$C$6:$C$10),0)</f>
        <v>4.8000000000000007</v>
      </c>
      <c r="AI209" s="13">
        <f>IFERROR(IF(Assumptions!$B$13="Cost Price",AB209,AA209)*SUMIF(Assumptions!$A$6:$A$10,X209,Assumptions!$D$6:$D$10),0)</f>
        <v>9.6000000000000014</v>
      </c>
      <c r="AJ209" s="13">
        <v>9.6000000000000014</v>
      </c>
      <c r="AK209" s="13">
        <f t="shared" si="69"/>
        <v>31.680000000000003</v>
      </c>
      <c r="AL209" s="14">
        <v>0.33</v>
      </c>
      <c r="AM209" s="13">
        <f t="shared" si="70"/>
        <v>-31.680000000000003</v>
      </c>
      <c r="AN209" s="14">
        <f t="shared" si="71"/>
        <v>-0.33</v>
      </c>
      <c r="AO209" t="str">
        <f>IF(AN209&gt;=Assumptions!$B$3,"OK","Review")</f>
        <v>Review</v>
      </c>
    </row>
    <row r="210" spans="1:41" ht="15" customHeight="1">
      <c r="A210" s="9" t="s">
        <v>242</v>
      </c>
      <c r="B210" s="9" t="s">
        <v>40</v>
      </c>
      <c r="C210" s="9" t="s">
        <v>105</v>
      </c>
      <c r="D210" s="9" t="s">
        <v>155</v>
      </c>
      <c r="E210" s="9" t="s">
        <v>73</v>
      </c>
      <c r="F210" s="9" t="s">
        <v>74</v>
      </c>
      <c r="G210" s="9" t="s">
        <v>24</v>
      </c>
      <c r="H210" s="9" t="s">
        <v>75</v>
      </c>
      <c r="I210" s="9">
        <v>4000011741</v>
      </c>
      <c r="J210" s="10">
        <v>52.4</v>
      </c>
      <c r="K210" s="10"/>
      <c r="L210" s="10">
        <f t="shared" si="54"/>
        <v>52.4</v>
      </c>
      <c r="M210" s="11">
        <v>0</v>
      </c>
      <c r="N210" s="10">
        <f t="shared" si="55"/>
        <v>0</v>
      </c>
      <c r="O210" s="10">
        <f t="shared" si="56"/>
        <v>52.4</v>
      </c>
      <c r="P210" s="11">
        <f t="shared" si="57"/>
        <v>0.1084055692326789</v>
      </c>
      <c r="Q210" s="10">
        <f t="shared" si="58"/>
        <v>483.37</v>
      </c>
      <c r="R210" s="10">
        <f t="shared" si="59"/>
        <v>3022.0079999999998</v>
      </c>
      <c r="S210" s="10">
        <f t="shared" si="60"/>
        <v>327.60249746570946</v>
      </c>
      <c r="T210" s="9" t="s">
        <v>76</v>
      </c>
      <c r="U210" s="10">
        <v>5100</v>
      </c>
      <c r="V210" s="10">
        <f t="shared" si="61"/>
        <v>3570</v>
      </c>
      <c r="W210" s="166">
        <v>490110</v>
      </c>
      <c r="X210" s="12" t="s">
        <v>26</v>
      </c>
      <c r="Y210" s="12">
        <f t="shared" si="62"/>
        <v>327.60249746570946</v>
      </c>
      <c r="Z210" s="13">
        <f t="shared" si="63"/>
        <v>327.60249746570946</v>
      </c>
      <c r="AA210" s="13">
        <f t="shared" si="64"/>
        <v>327.60249746570946</v>
      </c>
      <c r="AB210" s="13">
        <f t="shared" si="65"/>
        <v>52.4</v>
      </c>
      <c r="AC210" s="13">
        <f t="shared" si="66"/>
        <v>275.20249746570948</v>
      </c>
      <c r="AD210" s="14">
        <f t="shared" si="67"/>
        <v>0.84005005943068323</v>
      </c>
      <c r="AE210" s="14">
        <f t="shared" si="68"/>
        <v>5.2519560585059066</v>
      </c>
      <c r="AF210" s="13" t="str">
        <f>IF(AD210&gt;=Assumptions!$B$3,"OK","Review")</f>
        <v>OK</v>
      </c>
      <c r="AG210" s="13">
        <f>IFERROR(IF(Assumptions!$B$13="Cost Price",AB210,AA210)*SUMIF(Assumptions!$A$6:$A$10,X210,Assumptions!$B$6:$B$10),0)</f>
        <v>26.208199797256757</v>
      </c>
      <c r="AH210" s="13">
        <f>IFERROR(IF(Assumptions!$B$13="Cost Price",AB210,AA210)*SUMIF(Assumptions!$A$6:$A$10,X210,Assumptions!$C$6:$C$10),0)</f>
        <v>16.380124873285475</v>
      </c>
      <c r="AI210" s="13">
        <f>IFERROR(IF(Assumptions!$B$13="Cost Price",AB210,AA210)*SUMIF(Assumptions!$A$6:$A$10,X210,Assumptions!$D$6:$D$10),0)</f>
        <v>32.760249746570949</v>
      </c>
      <c r="AJ210" s="13">
        <v>49.34630183917082</v>
      </c>
      <c r="AK210" s="13">
        <f t="shared" si="69"/>
        <v>124.694876256284</v>
      </c>
      <c r="AL210" s="14">
        <v>0.33</v>
      </c>
      <c r="AM210" s="13">
        <f t="shared" si="70"/>
        <v>150.50762120942548</v>
      </c>
      <c r="AN210" s="14">
        <f t="shared" si="71"/>
        <v>0.45942147075719192</v>
      </c>
      <c r="AO210" t="str">
        <f>IF(AN210&gt;=Assumptions!$B$3,"OK","Review")</f>
        <v>OK</v>
      </c>
    </row>
    <row r="211" spans="1:41" ht="15" customHeight="1">
      <c r="A211" s="9" t="s">
        <v>242</v>
      </c>
      <c r="B211" s="9" t="s">
        <v>40</v>
      </c>
      <c r="C211" s="9" t="s">
        <v>71</v>
      </c>
      <c r="D211" s="9" t="s">
        <v>157</v>
      </c>
      <c r="E211" s="9" t="s">
        <v>73</v>
      </c>
      <c r="F211" s="9" t="s">
        <v>74</v>
      </c>
      <c r="G211" s="9" t="s">
        <v>24</v>
      </c>
      <c r="H211" s="9" t="s">
        <v>75</v>
      </c>
      <c r="I211" s="9">
        <v>4000011743</v>
      </c>
      <c r="J211" s="10">
        <v>54.96</v>
      </c>
      <c r="K211" s="10"/>
      <c r="L211" s="10">
        <f t="shared" si="54"/>
        <v>54.96</v>
      </c>
      <c r="M211" s="11">
        <v>0</v>
      </c>
      <c r="N211" s="10">
        <f t="shared" si="55"/>
        <v>0</v>
      </c>
      <c r="O211" s="10">
        <f t="shared" si="56"/>
        <v>54.96</v>
      </c>
      <c r="P211" s="11">
        <f t="shared" si="57"/>
        <v>0.11370171917992428</v>
      </c>
      <c r="Q211" s="10">
        <f t="shared" si="58"/>
        <v>483.37</v>
      </c>
      <c r="R211" s="10">
        <f t="shared" si="59"/>
        <v>3022.0079999999998</v>
      </c>
      <c r="S211" s="10">
        <f t="shared" si="60"/>
        <v>343.60750497548457</v>
      </c>
      <c r="T211" s="9" t="s">
        <v>76</v>
      </c>
      <c r="U211" s="10">
        <v>5100</v>
      </c>
      <c r="V211" s="10">
        <f t="shared" si="61"/>
        <v>3570</v>
      </c>
      <c r="W211" s="166">
        <v>490110</v>
      </c>
      <c r="X211" s="12" t="s">
        <v>26</v>
      </c>
      <c r="Y211" s="12">
        <f t="shared" si="62"/>
        <v>343.60750497548457</v>
      </c>
      <c r="Z211" s="13">
        <f t="shared" si="63"/>
        <v>343.60750497548457</v>
      </c>
      <c r="AA211" s="13">
        <f t="shared" si="64"/>
        <v>343.60750497548457</v>
      </c>
      <c r="AB211" s="13">
        <f t="shared" si="65"/>
        <v>54.96</v>
      </c>
      <c r="AC211" s="13">
        <f t="shared" si="66"/>
        <v>288.64750497548459</v>
      </c>
      <c r="AD211" s="14">
        <f t="shared" si="67"/>
        <v>0.84005005943068323</v>
      </c>
      <c r="AE211" s="14">
        <f t="shared" si="68"/>
        <v>5.2519560585059057</v>
      </c>
      <c r="AF211" s="13" t="str">
        <f>IF(AD211&gt;=Assumptions!$B$3,"OK","Review")</f>
        <v>OK</v>
      </c>
      <c r="AG211" s="13">
        <f>IFERROR(IF(Assumptions!$B$13="Cost Price",AB211,AA211)*SUMIF(Assumptions!$A$6:$A$10,X211,Assumptions!$B$6:$B$10),0)</f>
        <v>27.488600398038766</v>
      </c>
      <c r="AH211" s="13">
        <f>IFERROR(IF(Assumptions!$B$13="Cost Price",AB211,AA211)*SUMIF(Assumptions!$A$6:$A$10,X211,Assumptions!$C$6:$C$10),0)</f>
        <v>17.180375248774229</v>
      </c>
      <c r="AI211" s="13">
        <f>IFERROR(IF(Assumptions!$B$13="Cost Price",AB211,AA211)*SUMIF(Assumptions!$A$6:$A$10,X211,Assumptions!$D$6:$D$10),0)</f>
        <v>34.360750497548459</v>
      </c>
      <c r="AJ211" s="13">
        <v>51.757113532076872</v>
      </c>
      <c r="AK211" s="13">
        <f t="shared" si="69"/>
        <v>130.78683967643832</v>
      </c>
      <c r="AL211" s="14">
        <v>0.33</v>
      </c>
      <c r="AM211" s="13">
        <f t="shared" si="70"/>
        <v>157.86066529904627</v>
      </c>
      <c r="AN211" s="14">
        <f t="shared" si="71"/>
        <v>0.45942147075719197</v>
      </c>
      <c r="AO211" t="str">
        <f>IF(AN211&gt;=Assumptions!$B$3,"OK","Review")</f>
        <v>OK</v>
      </c>
    </row>
    <row r="212" spans="1:41" ht="15" customHeight="1">
      <c r="A212" s="9" t="s">
        <v>242</v>
      </c>
      <c r="B212" s="9" t="s">
        <v>40</v>
      </c>
      <c r="C212" s="9" t="s">
        <v>78</v>
      </c>
      <c r="D212" s="9" t="s">
        <v>158</v>
      </c>
      <c r="E212" s="9" t="s">
        <v>73</v>
      </c>
      <c r="F212" s="9" t="s">
        <v>74</v>
      </c>
      <c r="G212" s="9" t="s">
        <v>24</v>
      </c>
      <c r="H212" s="9" t="s">
        <v>75</v>
      </c>
      <c r="I212" s="9">
        <v>4000011745</v>
      </c>
      <c r="J212" s="10">
        <v>19.91</v>
      </c>
      <c r="K212" s="10"/>
      <c r="L212" s="10">
        <f t="shared" si="54"/>
        <v>19.91</v>
      </c>
      <c r="M212" s="11">
        <v>0</v>
      </c>
      <c r="N212" s="10">
        <f t="shared" si="55"/>
        <v>0</v>
      </c>
      <c r="O212" s="10">
        <f t="shared" si="56"/>
        <v>19.91</v>
      </c>
      <c r="P212" s="11">
        <f t="shared" si="57"/>
        <v>4.1189978691271695E-2</v>
      </c>
      <c r="Q212" s="10">
        <f t="shared" si="58"/>
        <v>483.37</v>
      </c>
      <c r="R212" s="10">
        <f t="shared" si="59"/>
        <v>3022.0079999999998</v>
      </c>
      <c r="S212" s="10">
        <f t="shared" si="60"/>
        <v>124.47644512485259</v>
      </c>
      <c r="T212" s="9" t="s">
        <v>76</v>
      </c>
      <c r="U212" s="10">
        <v>5100</v>
      </c>
      <c r="V212" s="10">
        <f t="shared" si="61"/>
        <v>3570</v>
      </c>
      <c r="W212" s="166">
        <v>490110</v>
      </c>
      <c r="X212" s="12" t="s">
        <v>26</v>
      </c>
      <c r="Y212" s="12">
        <f t="shared" si="62"/>
        <v>124.47644512485259</v>
      </c>
      <c r="Z212" s="13">
        <f t="shared" si="63"/>
        <v>124.47644512485259</v>
      </c>
      <c r="AA212" s="13">
        <f t="shared" si="64"/>
        <v>124.47644512485259</v>
      </c>
      <c r="AB212" s="13">
        <f t="shared" si="65"/>
        <v>19.91</v>
      </c>
      <c r="AC212" s="13">
        <f t="shared" si="66"/>
        <v>104.56644512485259</v>
      </c>
      <c r="AD212" s="14">
        <f t="shared" si="67"/>
        <v>0.84005005943068323</v>
      </c>
      <c r="AE212" s="14">
        <f t="shared" si="68"/>
        <v>5.2519560585059057</v>
      </c>
      <c r="AF212" s="13" t="str">
        <f>IF(AD212&gt;=Assumptions!$B$3,"OK","Review")</f>
        <v>OK</v>
      </c>
      <c r="AG212" s="13">
        <f>IFERROR(IF(Assumptions!$B$13="Cost Price",AB212,AA212)*SUMIF(Assumptions!$A$6:$A$10,X212,Assumptions!$B$6:$B$10),0)</f>
        <v>9.9581156099882069</v>
      </c>
      <c r="AH212" s="13">
        <f>IFERROR(IF(Assumptions!$B$13="Cost Price",AB212,AA212)*SUMIF(Assumptions!$A$6:$A$10,X212,Assumptions!$C$6:$C$10),0)</f>
        <v>6.22382225624263</v>
      </c>
      <c r="AI212" s="13">
        <f>IFERROR(IF(Assumptions!$B$13="Cost Price",AB212,AA212)*SUMIF(Assumptions!$A$6:$A$10,X212,Assumptions!$D$6:$D$10),0)</f>
        <v>12.44764451248526</v>
      </c>
      <c r="AJ212" s="13">
        <v>18.749711252249828</v>
      </c>
      <c r="AK212" s="13">
        <f t="shared" si="69"/>
        <v>47.379293630965918</v>
      </c>
      <c r="AL212" s="14">
        <v>0.33</v>
      </c>
      <c r="AM212" s="13">
        <f t="shared" si="70"/>
        <v>57.187151493886674</v>
      </c>
      <c r="AN212" s="14">
        <f t="shared" si="71"/>
        <v>0.45942147075719197</v>
      </c>
      <c r="AO212" t="str">
        <f>IF(AN212&gt;=Assumptions!$B$3,"OK","Review")</f>
        <v>OK</v>
      </c>
    </row>
    <row r="213" spans="1:41" ht="15" customHeight="1">
      <c r="A213" s="9" t="s">
        <v>242</v>
      </c>
      <c r="B213" s="9" t="s">
        <v>40</v>
      </c>
      <c r="C213" s="9" t="s">
        <v>78</v>
      </c>
      <c r="D213" s="9" t="s">
        <v>159</v>
      </c>
      <c r="E213" s="9" t="s">
        <v>73</v>
      </c>
      <c r="F213" s="9" t="s">
        <v>74</v>
      </c>
      <c r="G213" s="9" t="s">
        <v>24</v>
      </c>
      <c r="H213" s="9" t="s">
        <v>75</v>
      </c>
      <c r="I213" s="9">
        <v>4000011744</v>
      </c>
      <c r="J213" s="10">
        <v>57.51</v>
      </c>
      <c r="K213" s="10"/>
      <c r="L213" s="10">
        <f t="shared" si="54"/>
        <v>57.51</v>
      </c>
      <c r="M213" s="11">
        <v>0</v>
      </c>
      <c r="N213" s="10">
        <f t="shared" si="55"/>
        <v>0</v>
      </c>
      <c r="O213" s="10">
        <f t="shared" si="56"/>
        <v>57.51</v>
      </c>
      <c r="P213" s="11">
        <f t="shared" si="57"/>
        <v>0.11897718104143823</v>
      </c>
      <c r="Q213" s="10">
        <f t="shared" si="58"/>
        <v>483.37</v>
      </c>
      <c r="R213" s="10">
        <f t="shared" si="59"/>
        <v>3022.0079999999998</v>
      </c>
      <c r="S213" s="10">
        <f t="shared" si="60"/>
        <v>359.54999292467465</v>
      </c>
      <c r="T213" s="9" t="s">
        <v>76</v>
      </c>
      <c r="U213" s="10">
        <v>5100</v>
      </c>
      <c r="V213" s="10">
        <f t="shared" si="61"/>
        <v>3570</v>
      </c>
      <c r="W213" s="166">
        <v>490110</v>
      </c>
      <c r="X213" s="12" t="s">
        <v>26</v>
      </c>
      <c r="Y213" s="12">
        <f t="shared" si="62"/>
        <v>359.54999292467465</v>
      </c>
      <c r="Z213" s="13">
        <f t="shared" si="63"/>
        <v>359.54999292467465</v>
      </c>
      <c r="AA213" s="13">
        <f t="shared" si="64"/>
        <v>359.54999292467465</v>
      </c>
      <c r="AB213" s="13">
        <f t="shared" si="65"/>
        <v>57.51</v>
      </c>
      <c r="AC213" s="13">
        <f t="shared" si="66"/>
        <v>302.03999292467466</v>
      </c>
      <c r="AD213" s="14">
        <f t="shared" si="67"/>
        <v>0.84005005943068323</v>
      </c>
      <c r="AE213" s="14">
        <f t="shared" si="68"/>
        <v>5.2519560585059066</v>
      </c>
      <c r="AF213" s="13" t="str">
        <f>IF(AD213&gt;=Assumptions!$B$3,"OK","Review")</f>
        <v>OK</v>
      </c>
      <c r="AG213" s="13">
        <f>IFERROR(IF(Assumptions!$B$13="Cost Price",AB213,AA213)*SUMIF(Assumptions!$A$6:$A$10,X213,Assumptions!$B$6:$B$10),0)</f>
        <v>28.763999433973972</v>
      </c>
      <c r="AH213" s="13">
        <f>IFERROR(IF(Assumptions!$B$13="Cost Price",AB213,AA213)*SUMIF(Assumptions!$A$6:$A$10,X213,Assumptions!$C$6:$C$10),0)</f>
        <v>17.977499646233735</v>
      </c>
      <c r="AI213" s="13">
        <f>IFERROR(IF(Assumptions!$B$13="Cost Price",AB213,AA213)*SUMIF(Assumptions!$A$6:$A$10,X213,Assumptions!$D$6:$D$10),0)</f>
        <v>35.95499929246747</v>
      </c>
      <c r="AJ213" s="13">
        <v>54.158507991807518</v>
      </c>
      <c r="AK213" s="13">
        <f t="shared" si="69"/>
        <v>136.85500636448268</v>
      </c>
      <c r="AL213" s="14">
        <v>0.33</v>
      </c>
      <c r="AM213" s="13">
        <f t="shared" si="70"/>
        <v>165.18498656019199</v>
      </c>
      <c r="AN213" s="14">
        <f t="shared" si="71"/>
        <v>0.45942147075719192</v>
      </c>
      <c r="AO213" t="str">
        <f>IF(AN213&gt;=Assumptions!$B$3,"OK","Review")</f>
        <v>OK</v>
      </c>
    </row>
    <row r="214" spans="1:41" ht="15" customHeight="1">
      <c r="A214" s="9" t="s">
        <v>242</v>
      </c>
      <c r="B214" s="9" t="s">
        <v>40</v>
      </c>
      <c r="C214" s="9" t="s">
        <v>161</v>
      </c>
      <c r="D214" s="9" t="s">
        <v>162</v>
      </c>
      <c r="E214" s="9" t="s">
        <v>73</v>
      </c>
      <c r="F214" s="9" t="s">
        <v>74</v>
      </c>
      <c r="G214" s="9" t="s">
        <v>24</v>
      </c>
      <c r="H214" s="9" t="s">
        <v>75</v>
      </c>
      <c r="I214" s="9">
        <v>4000011748</v>
      </c>
      <c r="J214" s="10">
        <v>70.11</v>
      </c>
      <c r="K214" s="10"/>
      <c r="L214" s="10">
        <f t="shared" si="54"/>
        <v>70.11</v>
      </c>
      <c r="M214" s="11">
        <v>0</v>
      </c>
      <c r="N214" s="10">
        <f t="shared" si="55"/>
        <v>0</v>
      </c>
      <c r="O214" s="10">
        <f t="shared" si="56"/>
        <v>70.11</v>
      </c>
      <c r="P214" s="11">
        <f t="shared" si="57"/>
        <v>0.1450441690630366</v>
      </c>
      <c r="Q214" s="10">
        <f t="shared" si="58"/>
        <v>483.37</v>
      </c>
      <c r="R214" s="10">
        <f t="shared" si="59"/>
        <v>3022.0079999999998</v>
      </c>
      <c r="S214" s="10">
        <f t="shared" si="60"/>
        <v>438.32463926184909</v>
      </c>
      <c r="T214" s="9" t="s">
        <v>76</v>
      </c>
      <c r="U214" s="10">
        <v>5100</v>
      </c>
      <c r="V214" s="10">
        <f t="shared" si="61"/>
        <v>3570</v>
      </c>
      <c r="W214" s="166">
        <v>490110</v>
      </c>
      <c r="X214" s="12" t="s">
        <v>26</v>
      </c>
      <c r="Y214" s="12">
        <f t="shared" si="62"/>
        <v>438.32463926184909</v>
      </c>
      <c r="Z214" s="13">
        <f t="shared" si="63"/>
        <v>438.32463926184909</v>
      </c>
      <c r="AA214" s="13">
        <f t="shared" si="64"/>
        <v>438.32463926184909</v>
      </c>
      <c r="AB214" s="13">
        <f t="shared" si="65"/>
        <v>70.11</v>
      </c>
      <c r="AC214" s="13">
        <f t="shared" si="66"/>
        <v>368.21463926184907</v>
      </c>
      <c r="AD214" s="14">
        <f t="shared" si="67"/>
        <v>0.84005005943068312</v>
      </c>
      <c r="AE214" s="14">
        <f t="shared" si="68"/>
        <v>5.2519560585059057</v>
      </c>
      <c r="AF214" s="13" t="str">
        <f>IF(AD214&gt;=Assumptions!$B$3,"OK","Review")</f>
        <v>OK</v>
      </c>
      <c r="AG214" s="13">
        <f>IFERROR(IF(Assumptions!$B$13="Cost Price",AB214,AA214)*SUMIF(Assumptions!$A$6:$A$10,X214,Assumptions!$B$6:$B$10),0)</f>
        <v>35.06597114094793</v>
      </c>
      <c r="AH214" s="13">
        <f>IFERROR(IF(Assumptions!$B$13="Cost Price",AB214,AA214)*SUMIF(Assumptions!$A$6:$A$10,X214,Assumptions!$C$6:$C$10),0)</f>
        <v>21.916231963092457</v>
      </c>
      <c r="AI214" s="13">
        <f>IFERROR(IF(Assumptions!$B$13="Cost Price",AB214,AA214)*SUMIF(Assumptions!$A$6:$A$10,X214,Assumptions!$D$6:$D$10),0)</f>
        <v>43.832463926184914</v>
      </c>
      <c r="AJ214" s="13">
        <v>66.024221792829508</v>
      </c>
      <c r="AK214" s="13">
        <f t="shared" si="69"/>
        <v>166.83888882305482</v>
      </c>
      <c r="AL214" s="14">
        <v>0.33</v>
      </c>
      <c r="AM214" s="13">
        <f t="shared" si="70"/>
        <v>201.37575043879426</v>
      </c>
      <c r="AN214" s="14">
        <f t="shared" si="71"/>
        <v>0.45942147075719181</v>
      </c>
      <c r="AO214" t="str">
        <f>IF(AN214&gt;=Assumptions!$B$3,"OK","Review")</f>
        <v>OK</v>
      </c>
    </row>
    <row r="215" spans="1:41" ht="15" customHeight="1">
      <c r="A215" s="9" t="s">
        <v>242</v>
      </c>
      <c r="B215" s="9" t="s">
        <v>40</v>
      </c>
      <c r="C215" s="9" t="s">
        <v>105</v>
      </c>
      <c r="D215" s="9" t="s">
        <v>163</v>
      </c>
      <c r="E215" s="9" t="s">
        <v>73</v>
      </c>
      <c r="F215" s="9" t="s">
        <v>74</v>
      </c>
      <c r="G215" s="9" t="s">
        <v>24</v>
      </c>
      <c r="H215" s="9" t="s">
        <v>84</v>
      </c>
      <c r="I215" s="9">
        <v>4000011749</v>
      </c>
      <c r="J215" s="10">
        <v>54.96</v>
      </c>
      <c r="K215" s="10"/>
      <c r="L215" s="10">
        <f t="shared" si="54"/>
        <v>54.96</v>
      </c>
      <c r="M215" s="11">
        <v>0</v>
      </c>
      <c r="N215" s="10">
        <f t="shared" si="55"/>
        <v>0</v>
      </c>
      <c r="O215" s="10">
        <f t="shared" si="56"/>
        <v>54.96</v>
      </c>
      <c r="P215" s="11">
        <f t="shared" si="57"/>
        <v>0.11370171917992428</v>
      </c>
      <c r="Q215" s="10">
        <f t="shared" si="58"/>
        <v>483.37</v>
      </c>
      <c r="R215" s="10">
        <f t="shared" si="59"/>
        <v>3022.0079999999998</v>
      </c>
      <c r="S215" s="10">
        <f t="shared" si="60"/>
        <v>343.60750497548457</v>
      </c>
      <c r="T215" s="9" t="s">
        <v>76</v>
      </c>
      <c r="U215" s="10">
        <v>5100</v>
      </c>
      <c r="V215" s="10">
        <f t="shared" si="61"/>
        <v>3570</v>
      </c>
      <c r="W215" s="166">
        <v>490110</v>
      </c>
      <c r="X215" s="12" t="s">
        <v>26</v>
      </c>
      <c r="Y215" s="12">
        <f t="shared" si="62"/>
        <v>343.60750497548457</v>
      </c>
      <c r="Z215" s="13">
        <f t="shared" si="63"/>
        <v>343.60750497548457</v>
      </c>
      <c r="AA215" s="13">
        <f t="shared" si="64"/>
        <v>343.60750497548457</v>
      </c>
      <c r="AB215" s="13">
        <f t="shared" si="65"/>
        <v>54.96</v>
      </c>
      <c r="AC215" s="13">
        <f t="shared" si="66"/>
        <v>288.64750497548459</v>
      </c>
      <c r="AD215" s="14">
        <f t="shared" si="67"/>
        <v>0.84005005943068323</v>
      </c>
      <c r="AE215" s="14">
        <f t="shared" si="68"/>
        <v>5.2519560585059057</v>
      </c>
      <c r="AF215" s="13" t="str">
        <f>IF(AD215&gt;=Assumptions!$B$3,"OK","Review")</f>
        <v>OK</v>
      </c>
      <c r="AG215" s="13">
        <f>IFERROR(IF(Assumptions!$B$13="Cost Price",AB215,AA215)*SUMIF(Assumptions!$A$6:$A$10,X215,Assumptions!$B$6:$B$10),0)</f>
        <v>27.488600398038766</v>
      </c>
      <c r="AH215" s="13">
        <f>IFERROR(IF(Assumptions!$B$13="Cost Price",AB215,AA215)*SUMIF(Assumptions!$A$6:$A$10,X215,Assumptions!$C$6:$C$10),0)</f>
        <v>17.180375248774229</v>
      </c>
      <c r="AI215" s="13">
        <f>IFERROR(IF(Assumptions!$B$13="Cost Price",AB215,AA215)*SUMIF(Assumptions!$A$6:$A$10,X215,Assumptions!$D$6:$D$10),0)</f>
        <v>34.360750497548459</v>
      </c>
      <c r="AJ215" s="13">
        <v>51.757113532076872</v>
      </c>
      <c r="AK215" s="13">
        <f t="shared" si="69"/>
        <v>130.78683967643832</v>
      </c>
      <c r="AL215" s="14">
        <v>0.33</v>
      </c>
      <c r="AM215" s="13">
        <f t="shared" si="70"/>
        <v>157.86066529904627</v>
      </c>
      <c r="AN215" s="14">
        <f t="shared" si="71"/>
        <v>0.45942147075719197</v>
      </c>
      <c r="AO215" t="str">
        <f>IF(AN215&gt;=Assumptions!$B$3,"OK","Review")</f>
        <v>OK</v>
      </c>
    </row>
    <row r="216" spans="1:41" ht="15" customHeight="1">
      <c r="A216" s="9" t="s">
        <v>242</v>
      </c>
      <c r="B216" s="9" t="s">
        <v>40</v>
      </c>
      <c r="C216" s="9" t="s">
        <v>71</v>
      </c>
      <c r="D216" s="9" t="s">
        <v>165</v>
      </c>
      <c r="E216" s="9" t="s">
        <v>73</v>
      </c>
      <c r="F216" s="9" t="s">
        <v>74</v>
      </c>
      <c r="G216" s="9" t="s">
        <v>24</v>
      </c>
      <c r="H216" s="9" t="s">
        <v>84</v>
      </c>
      <c r="I216" s="9">
        <v>4000011751</v>
      </c>
      <c r="J216" s="10">
        <v>60.05</v>
      </c>
      <c r="K216" s="10"/>
      <c r="L216" s="10">
        <f t="shared" si="54"/>
        <v>60.05</v>
      </c>
      <c r="M216" s="11">
        <v>0</v>
      </c>
      <c r="N216" s="10">
        <f t="shared" si="55"/>
        <v>0</v>
      </c>
      <c r="O216" s="10">
        <f t="shared" si="56"/>
        <v>60.05</v>
      </c>
      <c r="P216" s="11">
        <f t="shared" si="57"/>
        <v>0.12423195481722075</v>
      </c>
      <c r="Q216" s="10">
        <f t="shared" si="58"/>
        <v>483.37</v>
      </c>
      <c r="R216" s="10">
        <f t="shared" si="59"/>
        <v>3022.0079999999998</v>
      </c>
      <c r="S216" s="10">
        <f t="shared" si="60"/>
        <v>375.42996131327965</v>
      </c>
      <c r="T216" s="9" t="s">
        <v>76</v>
      </c>
      <c r="U216" s="10">
        <v>5100</v>
      </c>
      <c r="V216" s="10">
        <f t="shared" si="61"/>
        <v>3570</v>
      </c>
      <c r="W216" s="166">
        <v>490110</v>
      </c>
      <c r="X216" s="12" t="s">
        <v>26</v>
      </c>
      <c r="Y216" s="12">
        <f t="shared" si="62"/>
        <v>375.42996131327965</v>
      </c>
      <c r="Z216" s="13">
        <f t="shared" si="63"/>
        <v>375.42996131327965</v>
      </c>
      <c r="AA216" s="13">
        <f t="shared" si="64"/>
        <v>375.42996131327965</v>
      </c>
      <c r="AB216" s="13">
        <f t="shared" si="65"/>
        <v>60.05</v>
      </c>
      <c r="AC216" s="13">
        <f t="shared" si="66"/>
        <v>315.37996131327964</v>
      </c>
      <c r="AD216" s="14">
        <f t="shared" si="67"/>
        <v>0.84005005943068312</v>
      </c>
      <c r="AE216" s="14">
        <f t="shared" si="68"/>
        <v>5.2519560585059057</v>
      </c>
      <c r="AF216" s="13" t="str">
        <f>IF(AD216&gt;=Assumptions!$B$3,"OK","Review")</f>
        <v>OK</v>
      </c>
      <c r="AG216" s="13">
        <f>IFERROR(IF(Assumptions!$B$13="Cost Price",AB216,AA216)*SUMIF(Assumptions!$A$6:$A$10,X216,Assumptions!$B$6:$B$10),0)</f>
        <v>30.034396905062373</v>
      </c>
      <c r="AH216" s="13">
        <f>IFERROR(IF(Assumptions!$B$13="Cost Price",AB216,AA216)*SUMIF(Assumptions!$A$6:$A$10,X216,Assumptions!$C$6:$C$10),0)</f>
        <v>18.771498065663984</v>
      </c>
      <c r="AI216" s="13">
        <f>IFERROR(IF(Assumptions!$B$13="Cost Price",AB216,AA216)*SUMIF(Assumptions!$A$6:$A$10,X216,Assumptions!$D$6:$D$10),0)</f>
        <v>37.542996131327968</v>
      </c>
      <c r="AJ216" s="13">
        <v>56.550485218362738</v>
      </c>
      <c r="AK216" s="13">
        <f t="shared" si="69"/>
        <v>142.89937632041705</v>
      </c>
      <c r="AL216" s="14">
        <v>0.33</v>
      </c>
      <c r="AM216" s="13">
        <f t="shared" si="70"/>
        <v>172.48058499286259</v>
      </c>
      <c r="AN216" s="14">
        <f t="shared" si="71"/>
        <v>0.45942147075719192</v>
      </c>
      <c r="AO216" t="str">
        <f>IF(AN216&gt;=Assumptions!$B$3,"OK","Review")</f>
        <v>OK</v>
      </c>
    </row>
    <row r="217" spans="1:41" ht="15" customHeight="1">
      <c r="A217" s="9" t="s">
        <v>242</v>
      </c>
      <c r="B217" s="9" t="s">
        <v>40</v>
      </c>
      <c r="C217" s="9" t="s">
        <v>78</v>
      </c>
      <c r="D217" s="9" t="s">
        <v>166</v>
      </c>
      <c r="E217" s="9" t="s">
        <v>73</v>
      </c>
      <c r="F217" s="9" t="s">
        <v>74</v>
      </c>
      <c r="G217" s="9" t="s">
        <v>24</v>
      </c>
      <c r="H217" s="9" t="s">
        <v>84</v>
      </c>
      <c r="I217" s="9">
        <v>4000011752</v>
      </c>
      <c r="J217" s="10">
        <v>53.42</v>
      </c>
      <c r="K217" s="10"/>
      <c r="L217" s="10">
        <f t="shared" si="54"/>
        <v>53.42</v>
      </c>
      <c r="M217" s="11">
        <v>0</v>
      </c>
      <c r="N217" s="10">
        <f t="shared" si="55"/>
        <v>0</v>
      </c>
      <c r="O217" s="10">
        <f t="shared" si="56"/>
        <v>53.42</v>
      </c>
      <c r="P217" s="11">
        <f t="shared" si="57"/>
        <v>0.11051575397728448</v>
      </c>
      <c r="Q217" s="10">
        <f t="shared" si="58"/>
        <v>483.37</v>
      </c>
      <c r="R217" s="10">
        <f t="shared" si="59"/>
        <v>3022.0079999999998</v>
      </c>
      <c r="S217" s="10">
        <f t="shared" si="60"/>
        <v>333.97949264538551</v>
      </c>
      <c r="T217" s="9" t="s">
        <v>76</v>
      </c>
      <c r="U217" s="10">
        <v>5100</v>
      </c>
      <c r="V217" s="10">
        <f t="shared" si="61"/>
        <v>3570</v>
      </c>
      <c r="W217" s="166">
        <v>490110</v>
      </c>
      <c r="X217" s="12" t="s">
        <v>26</v>
      </c>
      <c r="Y217" s="12">
        <f t="shared" si="62"/>
        <v>333.97949264538551</v>
      </c>
      <c r="Z217" s="13">
        <f t="shared" si="63"/>
        <v>333.97949264538551</v>
      </c>
      <c r="AA217" s="13">
        <f t="shared" si="64"/>
        <v>333.97949264538551</v>
      </c>
      <c r="AB217" s="13">
        <f t="shared" si="65"/>
        <v>53.42</v>
      </c>
      <c r="AC217" s="13">
        <f t="shared" si="66"/>
        <v>280.55949264538549</v>
      </c>
      <c r="AD217" s="14">
        <f t="shared" si="67"/>
        <v>0.84005005943068312</v>
      </c>
      <c r="AE217" s="14">
        <f t="shared" si="68"/>
        <v>5.2519560585059057</v>
      </c>
      <c r="AF217" s="13" t="str">
        <f>IF(AD217&gt;=Assumptions!$B$3,"OK","Review")</f>
        <v>OK</v>
      </c>
      <c r="AG217" s="13">
        <f>IFERROR(IF(Assumptions!$B$13="Cost Price",AB217,AA217)*SUMIF(Assumptions!$A$6:$A$10,X217,Assumptions!$B$6:$B$10),0)</f>
        <v>26.718359411630843</v>
      </c>
      <c r="AH217" s="13">
        <f>IFERROR(IF(Assumptions!$B$13="Cost Price",AB217,AA217)*SUMIF(Assumptions!$A$6:$A$10,X217,Assumptions!$C$6:$C$10),0)</f>
        <v>16.698974632269277</v>
      </c>
      <c r="AI217" s="13">
        <f>IFERROR(IF(Assumptions!$B$13="Cost Price",AB217,AA217)*SUMIF(Assumptions!$A$6:$A$10,X217,Assumptions!$D$6:$D$10),0)</f>
        <v>33.397949264538553</v>
      </c>
      <c r="AJ217" s="13">
        <v>50.306859623063076</v>
      </c>
      <c r="AK217" s="13">
        <f t="shared" si="69"/>
        <v>127.12214293150174</v>
      </c>
      <c r="AL217" s="14">
        <v>0.33</v>
      </c>
      <c r="AM217" s="13">
        <f t="shared" si="70"/>
        <v>153.43734971388375</v>
      </c>
      <c r="AN217" s="14">
        <f t="shared" si="71"/>
        <v>0.45942147075719186</v>
      </c>
      <c r="AO217" t="str">
        <f>IF(AN217&gt;=Assumptions!$B$3,"OK","Review")</f>
        <v>OK</v>
      </c>
    </row>
    <row r="218" spans="1:41" ht="15" customHeight="1">
      <c r="A218" s="9" t="s">
        <v>242</v>
      </c>
      <c r="B218" s="9" t="s">
        <v>40</v>
      </c>
      <c r="C218" s="9" t="s">
        <v>161</v>
      </c>
      <c r="D218" s="9" t="s">
        <v>168</v>
      </c>
      <c r="E218" s="9" t="s">
        <v>73</v>
      </c>
      <c r="F218" s="9" t="s">
        <v>74</v>
      </c>
      <c r="G218" s="9" t="s">
        <v>24</v>
      </c>
      <c r="H218" s="9" t="s">
        <v>84</v>
      </c>
      <c r="I218" s="9">
        <v>4000011754</v>
      </c>
      <c r="J218" s="10">
        <v>60.05</v>
      </c>
      <c r="K218" s="10"/>
      <c r="L218" s="10">
        <f t="shared" si="54"/>
        <v>60.05</v>
      </c>
      <c r="M218" s="11">
        <v>0</v>
      </c>
      <c r="N218" s="10">
        <f t="shared" si="55"/>
        <v>0</v>
      </c>
      <c r="O218" s="10">
        <f t="shared" si="56"/>
        <v>60.05</v>
      </c>
      <c r="P218" s="11">
        <f t="shared" si="57"/>
        <v>0.12423195481722075</v>
      </c>
      <c r="Q218" s="10">
        <f t="shared" si="58"/>
        <v>483.37</v>
      </c>
      <c r="R218" s="10">
        <f t="shared" si="59"/>
        <v>3022.0079999999998</v>
      </c>
      <c r="S218" s="10">
        <f t="shared" si="60"/>
        <v>375.42996131327965</v>
      </c>
      <c r="T218" s="9" t="s">
        <v>76</v>
      </c>
      <c r="U218" s="10">
        <v>5100</v>
      </c>
      <c r="V218" s="10">
        <f t="shared" si="61"/>
        <v>3570</v>
      </c>
      <c r="W218" s="166">
        <v>490110</v>
      </c>
      <c r="X218" s="12" t="s">
        <v>26</v>
      </c>
      <c r="Y218" s="12">
        <f t="shared" si="62"/>
        <v>375.42996131327965</v>
      </c>
      <c r="Z218" s="13">
        <f t="shared" si="63"/>
        <v>375.42996131327965</v>
      </c>
      <c r="AA218" s="13">
        <f t="shared" si="64"/>
        <v>375.42996131327965</v>
      </c>
      <c r="AB218" s="13">
        <f t="shared" si="65"/>
        <v>60.05</v>
      </c>
      <c r="AC218" s="13">
        <f t="shared" si="66"/>
        <v>315.37996131327964</v>
      </c>
      <c r="AD218" s="14">
        <f t="shared" si="67"/>
        <v>0.84005005943068312</v>
      </c>
      <c r="AE218" s="14">
        <f t="shared" si="68"/>
        <v>5.2519560585059057</v>
      </c>
      <c r="AF218" s="13" t="str">
        <f>IF(AD218&gt;=Assumptions!$B$3,"OK","Review")</f>
        <v>OK</v>
      </c>
      <c r="AG218" s="13">
        <f>IFERROR(IF(Assumptions!$B$13="Cost Price",AB218,AA218)*SUMIF(Assumptions!$A$6:$A$10,X218,Assumptions!$B$6:$B$10),0)</f>
        <v>30.034396905062373</v>
      </c>
      <c r="AH218" s="13">
        <f>IFERROR(IF(Assumptions!$B$13="Cost Price",AB218,AA218)*SUMIF(Assumptions!$A$6:$A$10,X218,Assumptions!$C$6:$C$10),0)</f>
        <v>18.771498065663984</v>
      </c>
      <c r="AI218" s="13">
        <f>IFERROR(IF(Assumptions!$B$13="Cost Price",AB218,AA218)*SUMIF(Assumptions!$A$6:$A$10,X218,Assumptions!$D$6:$D$10),0)</f>
        <v>37.542996131327968</v>
      </c>
      <c r="AJ218" s="13">
        <v>56.550485218362738</v>
      </c>
      <c r="AK218" s="13">
        <f t="shared" si="69"/>
        <v>142.89937632041705</v>
      </c>
      <c r="AL218" s="14">
        <v>0.33</v>
      </c>
      <c r="AM218" s="13">
        <f t="shared" si="70"/>
        <v>172.48058499286259</v>
      </c>
      <c r="AN218" s="14">
        <f t="shared" si="71"/>
        <v>0.45942147075719192</v>
      </c>
      <c r="AO218" t="str">
        <f>IF(AN218&gt;=Assumptions!$B$3,"OK","Review")</f>
        <v>OK</v>
      </c>
    </row>
    <row r="219" spans="1:41" ht="15" customHeight="1">
      <c r="A219" s="9" t="s">
        <v>242</v>
      </c>
      <c r="B219" s="9" t="s">
        <v>40</v>
      </c>
      <c r="C219" s="9" t="s">
        <v>243</v>
      </c>
      <c r="D219" s="9" t="s">
        <v>249</v>
      </c>
      <c r="E219" s="9" t="s">
        <v>73</v>
      </c>
      <c r="F219" s="9" t="s">
        <v>90</v>
      </c>
      <c r="G219" s="9" t="s">
        <v>24</v>
      </c>
      <c r="H219" s="9" t="s">
        <v>75</v>
      </c>
      <c r="I219" s="9">
        <v>7000001006</v>
      </c>
      <c r="J219" s="10">
        <v>126.2</v>
      </c>
      <c r="K219" s="10">
        <v>10</v>
      </c>
      <c r="L219" s="10">
        <f t="shared" si="54"/>
        <v>136.19999999999999</v>
      </c>
      <c r="M219" s="11">
        <v>0.18</v>
      </c>
      <c r="N219" s="10">
        <f t="shared" si="55"/>
        <v>24.515999999999998</v>
      </c>
      <c r="O219" s="10">
        <f t="shared" si="56"/>
        <v>160.71599999999998</v>
      </c>
      <c r="P219" s="11">
        <f t="shared" si="57"/>
        <v>0.58656330749354002</v>
      </c>
      <c r="Q219" s="10">
        <f t="shared" si="58"/>
        <v>273.99599999999998</v>
      </c>
      <c r="R219" s="10">
        <f t="shared" si="59"/>
        <v>3022.0079999999998</v>
      </c>
      <c r="S219" s="10">
        <f t="shared" si="60"/>
        <v>160.71599999999998</v>
      </c>
      <c r="T219" s="9" t="s">
        <v>91</v>
      </c>
      <c r="U219" s="10">
        <v>5100</v>
      </c>
      <c r="V219" s="10">
        <f t="shared" si="61"/>
        <v>3570</v>
      </c>
      <c r="W219" s="166">
        <v>49119990</v>
      </c>
      <c r="X219" s="12" t="s">
        <v>26</v>
      </c>
      <c r="Y219" s="12">
        <f t="shared" si="62"/>
        <v>160.71599999999998</v>
      </c>
      <c r="Z219" s="13">
        <f t="shared" si="63"/>
        <v>160.71599999999998</v>
      </c>
      <c r="AA219" s="13">
        <f t="shared" si="64"/>
        <v>136.19999999999999</v>
      </c>
      <c r="AB219" s="13">
        <f t="shared" si="65"/>
        <v>126.2</v>
      </c>
      <c r="AC219" s="13">
        <f t="shared" si="66"/>
        <v>9.9999999999999858</v>
      </c>
      <c r="AD219" s="14">
        <f t="shared" si="67"/>
        <v>7.3421439060205484E-2</v>
      </c>
      <c r="AE219" s="14">
        <f t="shared" si="68"/>
        <v>7.9239302694136177E-2</v>
      </c>
      <c r="AF219" s="13" t="str">
        <f>IF(AD219&gt;=Assumptions!$B$3,"OK","Review")</f>
        <v>Review</v>
      </c>
      <c r="AG219" s="13">
        <f>IFERROR(IF(Assumptions!$B$13="Cost Price",AB219,AA219)*SUMIF(Assumptions!$A$6:$A$10,X219,Assumptions!$B$6:$B$10),0)</f>
        <v>10.895999999999999</v>
      </c>
      <c r="AH219" s="13">
        <f>IFERROR(IF(Assumptions!$B$13="Cost Price",AB219,AA219)*SUMIF(Assumptions!$A$6:$A$10,X219,Assumptions!$C$6:$C$10),0)</f>
        <v>6.81</v>
      </c>
      <c r="AI219" s="13">
        <f>IFERROR(IF(Assumptions!$B$13="Cost Price",AB219,AA219)*SUMIF(Assumptions!$A$6:$A$10,X219,Assumptions!$D$6:$D$10),0)</f>
        <v>13.62</v>
      </c>
      <c r="AJ219" s="13">
        <v>13.62</v>
      </c>
      <c r="AK219" s="13">
        <f t="shared" si="69"/>
        <v>44.945999999999998</v>
      </c>
      <c r="AL219" s="14">
        <v>0.33</v>
      </c>
      <c r="AM219" s="13">
        <f t="shared" si="70"/>
        <v>-34.946000000000012</v>
      </c>
      <c r="AN219" s="14">
        <f t="shared" si="71"/>
        <v>-0.25657856093979453</v>
      </c>
      <c r="AO219" t="str">
        <f>IF(AN219&gt;=Assumptions!$B$3,"OK","Review")</f>
        <v>Review</v>
      </c>
    </row>
    <row r="220" spans="1:41" ht="15" customHeight="1">
      <c r="A220" s="9" t="s">
        <v>242</v>
      </c>
      <c r="B220" s="9" t="s">
        <v>40</v>
      </c>
      <c r="C220" s="9" t="s">
        <v>92</v>
      </c>
      <c r="D220" s="9" t="s">
        <v>93</v>
      </c>
      <c r="E220" s="9" t="s">
        <v>73</v>
      </c>
      <c r="F220" s="9" t="s">
        <v>94</v>
      </c>
      <c r="G220" s="9" t="s">
        <v>24</v>
      </c>
      <c r="H220" s="9" t="s">
        <v>75</v>
      </c>
      <c r="I220" s="9">
        <v>8400007</v>
      </c>
      <c r="J220" s="10">
        <v>96</v>
      </c>
      <c r="K220" s="10"/>
      <c r="L220" s="10">
        <f t="shared" si="54"/>
        <v>96</v>
      </c>
      <c r="M220" s="11">
        <v>0.18</v>
      </c>
      <c r="N220" s="10">
        <f t="shared" si="55"/>
        <v>17.28</v>
      </c>
      <c r="O220" s="10">
        <f t="shared" si="56"/>
        <v>113.28</v>
      </c>
      <c r="P220" s="11">
        <f t="shared" si="57"/>
        <v>0.41343669250645998</v>
      </c>
      <c r="Q220" s="10">
        <f t="shared" si="58"/>
        <v>273.99599999999998</v>
      </c>
      <c r="R220" s="10">
        <f t="shared" si="59"/>
        <v>3022.0079999999998</v>
      </c>
      <c r="S220" s="10">
        <f t="shared" si="60"/>
        <v>113.28</v>
      </c>
      <c r="T220" s="9" t="s">
        <v>91</v>
      </c>
      <c r="U220" s="10">
        <v>5100</v>
      </c>
      <c r="V220" s="10">
        <f t="shared" si="61"/>
        <v>3570</v>
      </c>
      <c r="W220" s="166">
        <v>999299</v>
      </c>
      <c r="X220" s="12" t="s">
        <v>26</v>
      </c>
      <c r="Y220" s="12">
        <f t="shared" si="62"/>
        <v>113.28</v>
      </c>
      <c r="Z220" s="13">
        <f t="shared" si="63"/>
        <v>113.28</v>
      </c>
      <c r="AA220" s="13">
        <f t="shared" si="64"/>
        <v>96</v>
      </c>
      <c r="AB220" s="13">
        <f t="shared" si="65"/>
        <v>96</v>
      </c>
      <c r="AC220" s="13">
        <f t="shared" si="66"/>
        <v>0</v>
      </c>
      <c r="AD220" s="14">
        <f t="shared" si="67"/>
        <v>0</v>
      </c>
      <c r="AE220" s="14">
        <f t="shared" si="68"/>
        <v>0</v>
      </c>
      <c r="AF220" s="13" t="str">
        <f>IF(AD220&gt;=Assumptions!$B$3,"OK","Review")</f>
        <v>Review</v>
      </c>
      <c r="AG220" s="13">
        <f>IFERROR(IF(Assumptions!$B$13="Cost Price",AB220,AA220)*SUMIF(Assumptions!$A$6:$A$10,X220,Assumptions!$B$6:$B$10),0)</f>
        <v>7.68</v>
      </c>
      <c r="AH220" s="13">
        <f>IFERROR(IF(Assumptions!$B$13="Cost Price",AB220,AA220)*SUMIF(Assumptions!$A$6:$A$10,X220,Assumptions!$C$6:$C$10),0)</f>
        <v>4.8000000000000007</v>
      </c>
      <c r="AI220" s="13">
        <f>IFERROR(IF(Assumptions!$B$13="Cost Price",AB220,AA220)*SUMIF(Assumptions!$A$6:$A$10,X220,Assumptions!$D$6:$D$10),0)</f>
        <v>9.6000000000000014</v>
      </c>
      <c r="AJ220" s="13">
        <v>9.6000000000000014</v>
      </c>
      <c r="AK220" s="13">
        <f t="shared" si="69"/>
        <v>31.680000000000003</v>
      </c>
      <c r="AL220" s="14">
        <v>0.33</v>
      </c>
      <c r="AM220" s="13">
        <f t="shared" si="70"/>
        <v>-31.680000000000003</v>
      </c>
      <c r="AN220" s="14">
        <f t="shared" si="71"/>
        <v>-0.33</v>
      </c>
      <c r="AO220" t="str">
        <f>IF(AN220&gt;=Assumptions!$B$3,"OK","Review")</f>
        <v>Review</v>
      </c>
    </row>
    <row r="221" spans="1:41" ht="15" customHeight="1">
      <c r="A221" s="9" t="s">
        <v>242</v>
      </c>
      <c r="B221" s="9" t="s">
        <v>41</v>
      </c>
      <c r="C221" s="9" t="s">
        <v>105</v>
      </c>
      <c r="D221" s="9" t="s">
        <v>170</v>
      </c>
      <c r="E221" s="9" t="s">
        <v>73</v>
      </c>
      <c r="F221" s="9" t="s">
        <v>74</v>
      </c>
      <c r="G221" s="9" t="s">
        <v>24</v>
      </c>
      <c r="H221" s="9" t="s">
        <v>75</v>
      </c>
      <c r="I221" s="9">
        <v>4000011755</v>
      </c>
      <c r="J221" s="10">
        <v>51.85</v>
      </c>
      <c r="K221" s="10"/>
      <c r="L221" s="10">
        <f t="shared" si="54"/>
        <v>51.85</v>
      </c>
      <c r="M221" s="11">
        <v>0</v>
      </c>
      <c r="N221" s="10">
        <f t="shared" si="55"/>
        <v>0</v>
      </c>
      <c r="O221" s="10">
        <f t="shared" si="56"/>
        <v>51.85</v>
      </c>
      <c r="P221" s="11">
        <f t="shared" si="57"/>
        <v>8.7210280216638084E-2</v>
      </c>
      <c r="Q221" s="10">
        <f t="shared" si="58"/>
        <v>594.54</v>
      </c>
      <c r="R221" s="10">
        <f t="shared" si="59"/>
        <v>2949.3399999999997</v>
      </c>
      <c r="S221" s="10">
        <f t="shared" si="60"/>
        <v>257.21276785413932</v>
      </c>
      <c r="T221" s="9" t="s">
        <v>76</v>
      </c>
      <c r="U221" s="10">
        <v>5009</v>
      </c>
      <c r="V221" s="10">
        <f t="shared" si="61"/>
        <v>3506.2999999999997</v>
      </c>
      <c r="W221" s="166">
        <v>490110</v>
      </c>
      <c r="X221" s="12" t="s">
        <v>26</v>
      </c>
      <c r="Y221" s="12">
        <f t="shared" si="62"/>
        <v>257.21276785413932</v>
      </c>
      <c r="Z221" s="13">
        <f t="shared" si="63"/>
        <v>257.21276785413932</v>
      </c>
      <c r="AA221" s="13">
        <f t="shared" si="64"/>
        <v>257.21276785413932</v>
      </c>
      <c r="AB221" s="13">
        <f t="shared" si="65"/>
        <v>51.85</v>
      </c>
      <c r="AC221" s="13">
        <f t="shared" si="66"/>
        <v>205.36276785413932</v>
      </c>
      <c r="AD221" s="14">
        <f t="shared" si="67"/>
        <v>0.79841591678138157</v>
      </c>
      <c r="AE221" s="14">
        <f t="shared" si="68"/>
        <v>3.9607091196555317</v>
      </c>
      <c r="AF221" s="13" t="str">
        <f>IF(AD221&gt;=Assumptions!$B$3,"OK","Review")</f>
        <v>OK</v>
      </c>
      <c r="AG221" s="13">
        <f>IFERROR(IF(Assumptions!$B$13="Cost Price",AB221,AA221)*SUMIF(Assumptions!$A$6:$A$10,X221,Assumptions!$B$6:$B$10),0)</f>
        <v>20.577021428331147</v>
      </c>
      <c r="AH221" s="13">
        <f>IFERROR(IF(Assumptions!$B$13="Cost Price",AB221,AA221)*SUMIF(Assumptions!$A$6:$A$10,X221,Assumptions!$C$6:$C$10),0)</f>
        <v>12.860638392706967</v>
      </c>
      <c r="AI221" s="13">
        <f>IFERROR(IF(Assumptions!$B$13="Cost Price",AB221,AA221)*SUMIF(Assumptions!$A$6:$A$10,X221,Assumptions!$D$6:$D$10),0)</f>
        <v>25.721276785413934</v>
      </c>
      <c r="AJ221" s="13">
        <v>38.826365593568141</v>
      </c>
      <c r="AK221" s="13">
        <f t="shared" si="69"/>
        <v>97.985302200020186</v>
      </c>
      <c r="AL221" s="14">
        <v>0.33</v>
      </c>
      <c r="AM221" s="13">
        <f t="shared" si="70"/>
        <v>107.37746565411913</v>
      </c>
      <c r="AN221" s="14">
        <f t="shared" si="71"/>
        <v>0.41746553466199215</v>
      </c>
      <c r="AO221" t="str">
        <f>IF(AN221&gt;=Assumptions!$B$3,"OK","Review")</f>
        <v>OK</v>
      </c>
    </row>
    <row r="222" spans="1:41" ht="15" customHeight="1">
      <c r="A222" s="9" t="s">
        <v>242</v>
      </c>
      <c r="B222" s="9" t="s">
        <v>41</v>
      </c>
      <c r="C222" s="9" t="s">
        <v>71</v>
      </c>
      <c r="D222" s="9" t="s">
        <v>172</v>
      </c>
      <c r="E222" s="9" t="s">
        <v>73</v>
      </c>
      <c r="F222" s="9" t="s">
        <v>74</v>
      </c>
      <c r="G222" s="9" t="s">
        <v>24</v>
      </c>
      <c r="H222" s="9" t="s">
        <v>75</v>
      </c>
      <c r="I222" s="9">
        <v>4000011757</v>
      </c>
      <c r="J222" s="10">
        <v>72.88</v>
      </c>
      <c r="K222" s="10"/>
      <c r="L222" s="10">
        <f t="shared" si="54"/>
        <v>72.88</v>
      </c>
      <c r="M222" s="11">
        <v>0</v>
      </c>
      <c r="N222" s="10">
        <f t="shared" si="55"/>
        <v>0</v>
      </c>
      <c r="O222" s="10">
        <f t="shared" si="56"/>
        <v>72.88</v>
      </c>
      <c r="P222" s="11">
        <f t="shared" si="57"/>
        <v>0.12258216436236417</v>
      </c>
      <c r="Q222" s="10">
        <f t="shared" si="58"/>
        <v>594.54</v>
      </c>
      <c r="R222" s="10">
        <f t="shared" si="59"/>
        <v>2949.3399999999997</v>
      </c>
      <c r="S222" s="10">
        <f t="shared" si="60"/>
        <v>361.53648064049514</v>
      </c>
      <c r="T222" s="9" t="s">
        <v>76</v>
      </c>
      <c r="U222" s="10">
        <v>5009</v>
      </c>
      <c r="V222" s="10">
        <f t="shared" si="61"/>
        <v>3506.2999999999997</v>
      </c>
      <c r="W222" s="166">
        <v>490110</v>
      </c>
      <c r="X222" s="12" t="s">
        <v>26</v>
      </c>
      <c r="Y222" s="12">
        <f t="shared" si="62"/>
        <v>361.53648064049514</v>
      </c>
      <c r="Z222" s="13">
        <f t="shared" si="63"/>
        <v>361.53648064049514</v>
      </c>
      <c r="AA222" s="13">
        <f t="shared" si="64"/>
        <v>361.53648064049514</v>
      </c>
      <c r="AB222" s="13">
        <f t="shared" si="65"/>
        <v>72.88</v>
      </c>
      <c r="AC222" s="13">
        <f t="shared" si="66"/>
        <v>288.65648064049515</v>
      </c>
      <c r="AD222" s="14">
        <f t="shared" si="67"/>
        <v>0.79841591678138157</v>
      </c>
      <c r="AE222" s="14">
        <f t="shared" si="68"/>
        <v>3.9607091196555317</v>
      </c>
      <c r="AF222" s="13" t="str">
        <f>IF(AD222&gt;=Assumptions!$B$3,"OK","Review")</f>
        <v>OK</v>
      </c>
      <c r="AG222" s="13">
        <f>IFERROR(IF(Assumptions!$B$13="Cost Price",AB222,AA222)*SUMIF(Assumptions!$A$6:$A$10,X222,Assumptions!$B$6:$B$10),0)</f>
        <v>28.92291845123961</v>
      </c>
      <c r="AH222" s="13">
        <f>IFERROR(IF(Assumptions!$B$13="Cost Price",AB222,AA222)*SUMIF(Assumptions!$A$6:$A$10,X222,Assumptions!$C$6:$C$10),0)</f>
        <v>18.076824032024756</v>
      </c>
      <c r="AI222" s="13">
        <f>IFERROR(IF(Assumptions!$B$13="Cost Price",AB222,AA222)*SUMIF(Assumptions!$A$6:$A$10,X222,Assumptions!$D$6:$D$10),0)</f>
        <v>36.153648064049513</v>
      </c>
      <c r="AJ222" s="13">
        <v>54.574069902781986</v>
      </c>
      <c r="AK222" s="13">
        <f t="shared" si="69"/>
        <v>137.72746045009586</v>
      </c>
      <c r="AL222" s="14">
        <v>0.33</v>
      </c>
      <c r="AM222" s="13">
        <f t="shared" si="70"/>
        <v>150.92902019039929</v>
      </c>
      <c r="AN222" s="14">
        <f t="shared" si="71"/>
        <v>0.41746553466199215</v>
      </c>
      <c r="AO222" t="str">
        <f>IF(AN222&gt;=Assumptions!$B$3,"OK","Review")</f>
        <v>OK</v>
      </c>
    </row>
    <row r="223" spans="1:41" ht="15" customHeight="1">
      <c r="A223" s="9" t="s">
        <v>242</v>
      </c>
      <c r="B223" s="9" t="s">
        <v>41</v>
      </c>
      <c r="C223" s="9" t="s">
        <v>78</v>
      </c>
      <c r="D223" s="9" t="s">
        <v>173</v>
      </c>
      <c r="E223" s="9" t="s">
        <v>73</v>
      </c>
      <c r="F223" s="9" t="s">
        <v>74</v>
      </c>
      <c r="G223" s="9" t="s">
        <v>24</v>
      </c>
      <c r="H223" s="9" t="s">
        <v>75</v>
      </c>
      <c r="I223" s="9">
        <v>4000011760</v>
      </c>
      <c r="J223" s="10">
        <v>18.559999999999999</v>
      </c>
      <c r="K223" s="10"/>
      <c r="L223" s="10">
        <f t="shared" si="54"/>
        <v>18.559999999999999</v>
      </c>
      <c r="M223" s="11">
        <v>0</v>
      </c>
      <c r="N223" s="10">
        <f t="shared" si="55"/>
        <v>0</v>
      </c>
      <c r="O223" s="10">
        <f t="shared" si="56"/>
        <v>18.559999999999999</v>
      </c>
      <c r="P223" s="11">
        <f t="shared" si="57"/>
        <v>3.1217411780536213E-2</v>
      </c>
      <c r="Q223" s="10">
        <f t="shared" si="58"/>
        <v>594.54</v>
      </c>
      <c r="R223" s="10">
        <f t="shared" si="59"/>
        <v>2949.3399999999997</v>
      </c>
      <c r="S223" s="10">
        <f t="shared" si="60"/>
        <v>92.070761260806663</v>
      </c>
      <c r="T223" s="9" t="s">
        <v>76</v>
      </c>
      <c r="U223" s="10">
        <v>5009</v>
      </c>
      <c r="V223" s="10">
        <f t="shared" si="61"/>
        <v>3506.2999999999997</v>
      </c>
      <c r="W223" s="166">
        <v>490110</v>
      </c>
      <c r="X223" s="12" t="s">
        <v>26</v>
      </c>
      <c r="Y223" s="12">
        <f t="shared" si="62"/>
        <v>92.070761260806663</v>
      </c>
      <c r="Z223" s="13">
        <f t="shared" si="63"/>
        <v>92.070761260806663</v>
      </c>
      <c r="AA223" s="13">
        <f t="shared" si="64"/>
        <v>92.070761260806663</v>
      </c>
      <c r="AB223" s="13">
        <f t="shared" si="65"/>
        <v>18.559999999999999</v>
      </c>
      <c r="AC223" s="13">
        <f t="shared" si="66"/>
        <v>73.51076126080666</v>
      </c>
      <c r="AD223" s="14">
        <f t="shared" si="67"/>
        <v>0.79841591678138157</v>
      </c>
      <c r="AE223" s="14">
        <f t="shared" si="68"/>
        <v>3.9607091196555317</v>
      </c>
      <c r="AF223" s="13" t="str">
        <f>IF(AD223&gt;=Assumptions!$B$3,"OK","Review")</f>
        <v>OK</v>
      </c>
      <c r="AG223" s="13">
        <f>IFERROR(IF(Assumptions!$B$13="Cost Price",AB223,AA223)*SUMIF(Assumptions!$A$6:$A$10,X223,Assumptions!$B$6:$B$10),0)</f>
        <v>7.3656609008645333</v>
      </c>
      <c r="AH223" s="13">
        <f>IFERROR(IF(Assumptions!$B$13="Cost Price",AB223,AA223)*SUMIF(Assumptions!$A$6:$A$10,X223,Assumptions!$C$6:$C$10),0)</f>
        <v>4.6035380630403333</v>
      </c>
      <c r="AI223" s="13">
        <f>IFERROR(IF(Assumptions!$B$13="Cost Price",AB223,AA223)*SUMIF(Assumptions!$A$6:$A$10,X223,Assumptions!$D$6:$D$10),0)</f>
        <v>9.2070761260806666</v>
      </c>
      <c r="AJ223" s="13">
        <v>13.898116594341843</v>
      </c>
      <c r="AK223" s="13">
        <f t="shared" si="69"/>
        <v>35.074391684327374</v>
      </c>
      <c r="AL223" s="14">
        <v>0.33</v>
      </c>
      <c r="AM223" s="13">
        <f t="shared" si="70"/>
        <v>38.436369576479287</v>
      </c>
      <c r="AN223" s="14">
        <f t="shared" si="71"/>
        <v>0.41746553466199215</v>
      </c>
      <c r="AO223" t="str">
        <f>IF(AN223&gt;=Assumptions!$B$3,"OK","Review")</f>
        <v>OK</v>
      </c>
    </row>
    <row r="224" spans="1:41" ht="15" customHeight="1">
      <c r="A224" s="9" t="s">
        <v>242</v>
      </c>
      <c r="B224" s="9" t="s">
        <v>41</v>
      </c>
      <c r="C224" s="9" t="s">
        <v>78</v>
      </c>
      <c r="D224" s="9" t="s">
        <v>174</v>
      </c>
      <c r="E224" s="9" t="s">
        <v>73</v>
      </c>
      <c r="F224" s="9" t="s">
        <v>74</v>
      </c>
      <c r="G224" s="9" t="s">
        <v>24</v>
      </c>
      <c r="H224" s="9" t="s">
        <v>75</v>
      </c>
      <c r="I224" s="9">
        <v>4000011759</v>
      </c>
      <c r="J224" s="10">
        <v>59.69</v>
      </c>
      <c r="K224" s="10"/>
      <c r="L224" s="10">
        <f t="shared" si="54"/>
        <v>59.69</v>
      </c>
      <c r="M224" s="11">
        <v>0</v>
      </c>
      <c r="N224" s="10">
        <f t="shared" si="55"/>
        <v>0</v>
      </c>
      <c r="O224" s="10">
        <f t="shared" si="56"/>
        <v>59.69</v>
      </c>
      <c r="P224" s="11">
        <f t="shared" si="57"/>
        <v>0.10039694553772664</v>
      </c>
      <c r="Q224" s="10">
        <f t="shared" si="58"/>
        <v>594.54</v>
      </c>
      <c r="R224" s="10">
        <f t="shared" si="59"/>
        <v>2949.3399999999997</v>
      </c>
      <c r="S224" s="10">
        <f t="shared" si="60"/>
        <v>296.10472735223868</v>
      </c>
      <c r="T224" s="9" t="s">
        <v>76</v>
      </c>
      <c r="U224" s="10">
        <v>5009</v>
      </c>
      <c r="V224" s="10">
        <f t="shared" si="61"/>
        <v>3506.2999999999997</v>
      </c>
      <c r="W224" s="166">
        <v>490110</v>
      </c>
      <c r="X224" s="12" t="s">
        <v>26</v>
      </c>
      <c r="Y224" s="12">
        <f t="shared" si="62"/>
        <v>296.10472735223868</v>
      </c>
      <c r="Z224" s="13">
        <f t="shared" si="63"/>
        <v>296.10472735223868</v>
      </c>
      <c r="AA224" s="13">
        <f t="shared" si="64"/>
        <v>296.10472735223868</v>
      </c>
      <c r="AB224" s="13">
        <f t="shared" si="65"/>
        <v>59.69</v>
      </c>
      <c r="AC224" s="13">
        <f t="shared" si="66"/>
        <v>236.41472735223869</v>
      </c>
      <c r="AD224" s="14">
        <f t="shared" si="67"/>
        <v>0.79841591678138157</v>
      </c>
      <c r="AE224" s="14">
        <f t="shared" si="68"/>
        <v>3.9607091196555317</v>
      </c>
      <c r="AF224" s="13" t="str">
        <f>IF(AD224&gt;=Assumptions!$B$3,"OK","Review")</f>
        <v>OK</v>
      </c>
      <c r="AG224" s="13">
        <f>IFERROR(IF(Assumptions!$B$13="Cost Price",AB224,AA224)*SUMIF(Assumptions!$A$6:$A$10,X224,Assumptions!$B$6:$B$10),0)</f>
        <v>23.688378188179094</v>
      </c>
      <c r="AH224" s="13">
        <f>IFERROR(IF(Assumptions!$B$13="Cost Price",AB224,AA224)*SUMIF(Assumptions!$A$6:$A$10,X224,Assumptions!$C$6:$C$10),0)</f>
        <v>14.805236367611935</v>
      </c>
      <c r="AI224" s="13">
        <f>IFERROR(IF(Assumptions!$B$13="Cost Price",AB224,AA224)*SUMIF(Assumptions!$A$6:$A$10,X224,Assumptions!$D$6:$D$10),0)</f>
        <v>29.610472735223869</v>
      </c>
      <c r="AJ224" s="13">
        <v>44.697121741178051</v>
      </c>
      <c r="AK224" s="13">
        <f t="shared" si="69"/>
        <v>112.80120903219294</v>
      </c>
      <c r="AL224" s="14">
        <v>0.33</v>
      </c>
      <c r="AM224" s="13">
        <f t="shared" si="70"/>
        <v>123.61351832004574</v>
      </c>
      <c r="AN224" s="14">
        <f t="shared" si="71"/>
        <v>0.41746553466199215</v>
      </c>
      <c r="AO224" t="str">
        <f>IF(AN224&gt;=Assumptions!$B$3,"OK","Review")</f>
        <v>OK</v>
      </c>
    </row>
    <row r="225" spans="1:41" ht="15" customHeight="1">
      <c r="A225" s="9" t="s">
        <v>242</v>
      </c>
      <c r="B225" s="9" t="s">
        <v>41</v>
      </c>
      <c r="C225" s="9" t="s">
        <v>161</v>
      </c>
      <c r="D225" s="9" t="s">
        <v>176</v>
      </c>
      <c r="E225" s="9" t="s">
        <v>73</v>
      </c>
      <c r="F225" s="9" t="s">
        <v>74</v>
      </c>
      <c r="G225" s="9" t="s">
        <v>24</v>
      </c>
      <c r="H225" s="9" t="s">
        <v>75</v>
      </c>
      <c r="I225" s="9">
        <v>4000011762</v>
      </c>
      <c r="J225" s="10">
        <v>101.74</v>
      </c>
      <c r="K225" s="10"/>
      <c r="L225" s="10">
        <f t="shared" si="54"/>
        <v>101.74</v>
      </c>
      <c r="M225" s="11">
        <v>0</v>
      </c>
      <c r="N225" s="10">
        <f t="shared" si="55"/>
        <v>0</v>
      </c>
      <c r="O225" s="10">
        <f t="shared" si="56"/>
        <v>101.74</v>
      </c>
      <c r="P225" s="11">
        <f t="shared" si="57"/>
        <v>0.17112389410300399</v>
      </c>
      <c r="Q225" s="10">
        <f t="shared" si="58"/>
        <v>594.54</v>
      </c>
      <c r="R225" s="10">
        <f t="shared" si="59"/>
        <v>2949.3399999999997</v>
      </c>
      <c r="S225" s="10">
        <f t="shared" si="60"/>
        <v>504.70254583375373</v>
      </c>
      <c r="T225" s="9" t="s">
        <v>76</v>
      </c>
      <c r="U225" s="10">
        <v>5009</v>
      </c>
      <c r="V225" s="10">
        <f t="shared" si="61"/>
        <v>3506.2999999999997</v>
      </c>
      <c r="W225" s="166">
        <v>490110</v>
      </c>
      <c r="X225" s="12" t="s">
        <v>26</v>
      </c>
      <c r="Y225" s="12">
        <f t="shared" si="62"/>
        <v>504.70254583375373</v>
      </c>
      <c r="Z225" s="13">
        <f t="shared" si="63"/>
        <v>504.70254583375373</v>
      </c>
      <c r="AA225" s="13">
        <f t="shared" si="64"/>
        <v>504.70254583375373</v>
      </c>
      <c r="AB225" s="13">
        <f t="shared" si="65"/>
        <v>101.74</v>
      </c>
      <c r="AC225" s="13">
        <f t="shared" si="66"/>
        <v>402.96254583375372</v>
      </c>
      <c r="AD225" s="14">
        <f t="shared" si="67"/>
        <v>0.79841591678138157</v>
      </c>
      <c r="AE225" s="14">
        <f t="shared" si="68"/>
        <v>3.9607091196555313</v>
      </c>
      <c r="AF225" s="13" t="str">
        <f>IF(AD225&gt;=Assumptions!$B$3,"OK","Review")</f>
        <v>OK</v>
      </c>
      <c r="AG225" s="13">
        <f>IFERROR(IF(Assumptions!$B$13="Cost Price",AB225,AA225)*SUMIF(Assumptions!$A$6:$A$10,X225,Assumptions!$B$6:$B$10),0)</f>
        <v>40.376203666700299</v>
      </c>
      <c r="AH225" s="13">
        <f>IFERROR(IF(Assumptions!$B$13="Cost Price",AB225,AA225)*SUMIF(Assumptions!$A$6:$A$10,X225,Assumptions!$C$6:$C$10),0)</f>
        <v>25.235127291687689</v>
      </c>
      <c r="AI225" s="13">
        <f>IFERROR(IF(Assumptions!$B$13="Cost Price",AB225,AA225)*SUMIF(Assumptions!$A$6:$A$10,X225,Assumptions!$D$6:$D$10),0)</f>
        <v>50.470254583375379</v>
      </c>
      <c r="AJ225" s="13">
        <v>76.185042150233798</v>
      </c>
      <c r="AK225" s="13">
        <f t="shared" si="69"/>
        <v>192.26662769199714</v>
      </c>
      <c r="AL225" s="14">
        <v>0.33</v>
      </c>
      <c r="AM225" s="13">
        <f t="shared" si="70"/>
        <v>210.69591814175658</v>
      </c>
      <c r="AN225" s="14">
        <f t="shared" si="71"/>
        <v>0.4174655346619921</v>
      </c>
      <c r="AO225" t="str">
        <f>IF(AN225&gt;=Assumptions!$B$3,"OK","Review")</f>
        <v>OK</v>
      </c>
    </row>
    <row r="226" spans="1:41" ht="15" customHeight="1">
      <c r="A226" s="9" t="s">
        <v>242</v>
      </c>
      <c r="B226" s="9" t="s">
        <v>41</v>
      </c>
      <c r="C226" s="9" t="s">
        <v>105</v>
      </c>
      <c r="D226" s="9" t="s">
        <v>177</v>
      </c>
      <c r="E226" s="9" t="s">
        <v>73</v>
      </c>
      <c r="F226" s="9" t="s">
        <v>74</v>
      </c>
      <c r="G226" s="9" t="s">
        <v>24</v>
      </c>
      <c r="H226" s="9" t="s">
        <v>84</v>
      </c>
      <c r="I226" s="9">
        <v>4000011763</v>
      </c>
      <c r="J226" s="10">
        <v>57.08</v>
      </c>
      <c r="K226" s="10"/>
      <c r="L226" s="10">
        <f t="shared" si="54"/>
        <v>57.08</v>
      </c>
      <c r="M226" s="11">
        <v>0</v>
      </c>
      <c r="N226" s="10">
        <f t="shared" si="55"/>
        <v>0</v>
      </c>
      <c r="O226" s="10">
        <f t="shared" si="56"/>
        <v>57.08</v>
      </c>
      <c r="P226" s="11">
        <f t="shared" si="57"/>
        <v>9.6006997006088737E-2</v>
      </c>
      <c r="Q226" s="10">
        <f t="shared" si="58"/>
        <v>594.54</v>
      </c>
      <c r="R226" s="10">
        <f t="shared" si="59"/>
        <v>2949.3399999999997</v>
      </c>
      <c r="S226" s="10">
        <f t="shared" si="60"/>
        <v>283.15727654993771</v>
      </c>
      <c r="T226" s="9" t="s">
        <v>76</v>
      </c>
      <c r="U226" s="10">
        <v>5009</v>
      </c>
      <c r="V226" s="10">
        <f t="shared" si="61"/>
        <v>3506.2999999999997</v>
      </c>
      <c r="W226" s="166">
        <v>490110</v>
      </c>
      <c r="X226" s="12" t="s">
        <v>26</v>
      </c>
      <c r="Y226" s="12">
        <f t="shared" si="62"/>
        <v>283.15727654993771</v>
      </c>
      <c r="Z226" s="13">
        <f t="shared" si="63"/>
        <v>283.15727654993771</v>
      </c>
      <c r="AA226" s="13">
        <f t="shared" si="64"/>
        <v>283.15727654993771</v>
      </c>
      <c r="AB226" s="13">
        <f t="shared" si="65"/>
        <v>57.08</v>
      </c>
      <c r="AC226" s="13">
        <f t="shared" si="66"/>
        <v>226.07727654993772</v>
      </c>
      <c r="AD226" s="14">
        <f t="shared" si="67"/>
        <v>0.79841591678138157</v>
      </c>
      <c r="AE226" s="14">
        <f t="shared" si="68"/>
        <v>3.9607091196555313</v>
      </c>
      <c r="AF226" s="13" t="str">
        <f>IF(AD226&gt;=Assumptions!$B$3,"OK","Review")</f>
        <v>OK</v>
      </c>
      <c r="AG226" s="13">
        <f>IFERROR(IF(Assumptions!$B$13="Cost Price",AB226,AA226)*SUMIF(Assumptions!$A$6:$A$10,X226,Assumptions!$B$6:$B$10),0)</f>
        <v>22.652582123995018</v>
      </c>
      <c r="AH226" s="13">
        <f>IFERROR(IF(Assumptions!$B$13="Cost Price",AB226,AA226)*SUMIF(Assumptions!$A$6:$A$10,X226,Assumptions!$C$6:$C$10),0)</f>
        <v>14.157863827496886</v>
      </c>
      <c r="AI226" s="13">
        <f>IFERROR(IF(Assumptions!$B$13="Cost Price",AB226,AA226)*SUMIF(Assumptions!$A$6:$A$10,X226,Assumptions!$D$6:$D$10),0)</f>
        <v>28.315727654993772</v>
      </c>
      <c r="AJ226" s="13">
        <v>42.742699095098736</v>
      </c>
      <c r="AK226" s="13">
        <f t="shared" si="69"/>
        <v>107.86887270158442</v>
      </c>
      <c r="AL226" s="14">
        <v>0.33</v>
      </c>
      <c r="AM226" s="13">
        <f t="shared" si="70"/>
        <v>118.2084038483533</v>
      </c>
      <c r="AN226" s="14">
        <f t="shared" si="71"/>
        <v>0.4174655346619921</v>
      </c>
      <c r="AO226" t="str">
        <f>IF(AN226&gt;=Assumptions!$B$3,"OK","Review")</f>
        <v>OK</v>
      </c>
    </row>
    <row r="227" spans="1:41" ht="15" customHeight="1">
      <c r="A227" s="9" t="s">
        <v>242</v>
      </c>
      <c r="B227" s="9" t="s">
        <v>41</v>
      </c>
      <c r="C227" s="9" t="s">
        <v>71</v>
      </c>
      <c r="D227" s="9" t="s">
        <v>179</v>
      </c>
      <c r="E227" s="9" t="s">
        <v>73</v>
      </c>
      <c r="F227" s="9" t="s">
        <v>74</v>
      </c>
      <c r="G227" s="9" t="s">
        <v>24</v>
      </c>
      <c r="H227" s="9" t="s">
        <v>84</v>
      </c>
      <c r="I227" s="9">
        <v>4000011765</v>
      </c>
      <c r="J227" s="10">
        <v>78.069999999999993</v>
      </c>
      <c r="K227" s="10"/>
      <c r="L227" s="10">
        <f t="shared" si="54"/>
        <v>78.069999999999993</v>
      </c>
      <c r="M227" s="11">
        <v>0</v>
      </c>
      <c r="N227" s="10">
        <f t="shared" si="55"/>
        <v>0</v>
      </c>
      <c r="O227" s="10">
        <f t="shared" si="56"/>
        <v>78.069999999999993</v>
      </c>
      <c r="P227" s="11">
        <f t="shared" si="57"/>
        <v>0.13131160224711541</v>
      </c>
      <c r="Q227" s="10">
        <f t="shared" si="58"/>
        <v>594.54</v>
      </c>
      <c r="R227" s="10">
        <f t="shared" si="59"/>
        <v>2949.3399999999997</v>
      </c>
      <c r="S227" s="10">
        <f t="shared" si="60"/>
        <v>387.28256097150734</v>
      </c>
      <c r="T227" s="9" t="s">
        <v>76</v>
      </c>
      <c r="U227" s="10">
        <v>5009</v>
      </c>
      <c r="V227" s="10">
        <f t="shared" si="61"/>
        <v>3506.2999999999997</v>
      </c>
      <c r="W227" s="166">
        <v>490110</v>
      </c>
      <c r="X227" s="12" t="s">
        <v>26</v>
      </c>
      <c r="Y227" s="12">
        <f t="shared" si="62"/>
        <v>387.28256097150734</v>
      </c>
      <c r="Z227" s="13">
        <f t="shared" si="63"/>
        <v>387.28256097150734</v>
      </c>
      <c r="AA227" s="13">
        <f t="shared" si="64"/>
        <v>387.28256097150734</v>
      </c>
      <c r="AB227" s="13">
        <f t="shared" si="65"/>
        <v>78.069999999999993</v>
      </c>
      <c r="AC227" s="13">
        <f t="shared" si="66"/>
        <v>309.21256097150734</v>
      </c>
      <c r="AD227" s="14">
        <f t="shared" si="67"/>
        <v>0.79841591678138157</v>
      </c>
      <c r="AE227" s="14">
        <f t="shared" si="68"/>
        <v>3.9607091196555317</v>
      </c>
      <c r="AF227" s="13" t="str">
        <f>IF(AD227&gt;=Assumptions!$B$3,"OK","Review")</f>
        <v>OK</v>
      </c>
      <c r="AG227" s="13">
        <f>IFERROR(IF(Assumptions!$B$13="Cost Price",AB227,AA227)*SUMIF(Assumptions!$A$6:$A$10,X227,Assumptions!$B$6:$B$10),0)</f>
        <v>30.982604877720586</v>
      </c>
      <c r="AH227" s="13">
        <f>IFERROR(IF(Assumptions!$B$13="Cost Price",AB227,AA227)*SUMIF(Assumptions!$A$6:$A$10,X227,Assumptions!$C$6:$C$10),0)</f>
        <v>19.364128048575367</v>
      </c>
      <c r="AI227" s="13">
        <f>IFERROR(IF(Assumptions!$B$13="Cost Price",AB227,AA227)*SUMIF(Assumptions!$A$6:$A$10,X227,Assumptions!$D$6:$D$10),0)</f>
        <v>38.728256097150734</v>
      </c>
      <c r="AJ227" s="13">
        <v>58.460450566824775</v>
      </c>
      <c r="AK227" s="13">
        <f t="shared" si="69"/>
        <v>147.53543959027147</v>
      </c>
      <c r="AL227" s="14">
        <v>0.33</v>
      </c>
      <c r="AM227" s="13">
        <f t="shared" si="70"/>
        <v>161.67712138123588</v>
      </c>
      <c r="AN227" s="14">
        <f t="shared" si="71"/>
        <v>0.41746553466199215</v>
      </c>
      <c r="AO227" t="str">
        <f>IF(AN227&gt;=Assumptions!$B$3,"OK","Review")</f>
        <v>OK</v>
      </c>
    </row>
    <row r="228" spans="1:41" ht="15" customHeight="1">
      <c r="A228" s="9" t="s">
        <v>242</v>
      </c>
      <c r="B228" s="9" t="s">
        <v>41</v>
      </c>
      <c r="C228" s="9" t="s">
        <v>78</v>
      </c>
      <c r="D228" s="9" t="s">
        <v>180</v>
      </c>
      <c r="E228" s="9" t="s">
        <v>73</v>
      </c>
      <c r="F228" s="9" t="s">
        <v>74</v>
      </c>
      <c r="G228" s="9" t="s">
        <v>24</v>
      </c>
      <c r="H228" s="9" t="s">
        <v>84</v>
      </c>
      <c r="I228" s="9">
        <v>4000011766</v>
      </c>
      <c r="J228" s="10">
        <v>63.45</v>
      </c>
      <c r="K228" s="10"/>
      <c r="L228" s="10">
        <f t="shared" si="54"/>
        <v>63.45</v>
      </c>
      <c r="M228" s="11">
        <v>0</v>
      </c>
      <c r="N228" s="10">
        <f t="shared" si="55"/>
        <v>0</v>
      </c>
      <c r="O228" s="10">
        <f t="shared" si="56"/>
        <v>63.45</v>
      </c>
      <c r="P228" s="11">
        <f t="shared" si="57"/>
        <v>0.10672116257947321</v>
      </c>
      <c r="Q228" s="10">
        <f t="shared" si="58"/>
        <v>594.54</v>
      </c>
      <c r="R228" s="10">
        <f t="shared" si="59"/>
        <v>2949.3399999999997</v>
      </c>
      <c r="S228" s="10">
        <f t="shared" si="60"/>
        <v>314.75699364214347</v>
      </c>
      <c r="T228" s="9" t="s">
        <v>76</v>
      </c>
      <c r="U228" s="10">
        <v>5009</v>
      </c>
      <c r="V228" s="10">
        <f t="shared" si="61"/>
        <v>3506.2999999999997</v>
      </c>
      <c r="W228" s="166">
        <v>490110</v>
      </c>
      <c r="X228" s="12" t="s">
        <v>26</v>
      </c>
      <c r="Y228" s="12">
        <f t="shared" si="62"/>
        <v>314.75699364214347</v>
      </c>
      <c r="Z228" s="13">
        <f t="shared" si="63"/>
        <v>314.75699364214347</v>
      </c>
      <c r="AA228" s="13">
        <f t="shared" si="64"/>
        <v>314.75699364214347</v>
      </c>
      <c r="AB228" s="13">
        <f t="shared" si="65"/>
        <v>63.45</v>
      </c>
      <c r="AC228" s="13">
        <f t="shared" si="66"/>
        <v>251.30699364214348</v>
      </c>
      <c r="AD228" s="14">
        <f t="shared" si="67"/>
        <v>0.79841591678138157</v>
      </c>
      <c r="AE228" s="14">
        <f t="shared" si="68"/>
        <v>3.9607091196555313</v>
      </c>
      <c r="AF228" s="13" t="str">
        <f>IF(AD228&gt;=Assumptions!$B$3,"OK","Review")</f>
        <v>OK</v>
      </c>
      <c r="AG228" s="13">
        <f>IFERROR(IF(Assumptions!$B$13="Cost Price",AB228,AA228)*SUMIF(Assumptions!$A$6:$A$10,X228,Assumptions!$B$6:$B$10),0)</f>
        <v>25.180559491371479</v>
      </c>
      <c r="AH228" s="13">
        <f>IFERROR(IF(Assumptions!$B$13="Cost Price",AB228,AA228)*SUMIF(Assumptions!$A$6:$A$10,X228,Assumptions!$C$6:$C$10),0)</f>
        <v>15.737849682107175</v>
      </c>
      <c r="AI228" s="13">
        <f>IFERROR(IF(Assumptions!$B$13="Cost Price",AB228,AA228)*SUMIF(Assumptions!$A$6:$A$10,X228,Assumptions!$D$6:$D$10),0)</f>
        <v>31.47569936421435</v>
      </c>
      <c r="AJ228" s="13">
        <v>47.5126884650318</v>
      </c>
      <c r="AK228" s="13">
        <f t="shared" si="69"/>
        <v>119.9067970027248</v>
      </c>
      <c r="AL228" s="14">
        <v>0.33</v>
      </c>
      <c r="AM228" s="13">
        <f t="shared" si="70"/>
        <v>131.40019663941868</v>
      </c>
      <c r="AN228" s="14">
        <f t="shared" si="71"/>
        <v>0.41746553466199215</v>
      </c>
      <c r="AO228" t="str">
        <f>IF(AN228&gt;=Assumptions!$B$3,"OK","Review")</f>
        <v>OK</v>
      </c>
    </row>
    <row r="229" spans="1:41" ht="15" customHeight="1">
      <c r="A229" s="9" t="s">
        <v>242</v>
      </c>
      <c r="B229" s="9" t="s">
        <v>41</v>
      </c>
      <c r="C229" s="9" t="s">
        <v>161</v>
      </c>
      <c r="D229" s="9" t="s">
        <v>182</v>
      </c>
      <c r="E229" s="9" t="s">
        <v>73</v>
      </c>
      <c r="F229" s="9" t="s">
        <v>74</v>
      </c>
      <c r="G229" s="9" t="s">
        <v>24</v>
      </c>
      <c r="H229" s="9" t="s">
        <v>84</v>
      </c>
      <c r="I229" s="9">
        <v>4000011768</v>
      </c>
      <c r="J229" s="10">
        <v>91.22</v>
      </c>
      <c r="K229" s="10"/>
      <c r="L229" s="10">
        <f t="shared" si="54"/>
        <v>91.22</v>
      </c>
      <c r="M229" s="11">
        <v>0</v>
      </c>
      <c r="N229" s="10">
        <f t="shared" si="55"/>
        <v>0</v>
      </c>
      <c r="O229" s="10">
        <f t="shared" si="56"/>
        <v>91.22</v>
      </c>
      <c r="P229" s="11">
        <f t="shared" si="57"/>
        <v>0.15342954216705354</v>
      </c>
      <c r="Q229" s="10">
        <f t="shared" si="58"/>
        <v>594.54</v>
      </c>
      <c r="R229" s="10">
        <f t="shared" si="59"/>
        <v>2949.3399999999997</v>
      </c>
      <c r="S229" s="10">
        <f t="shared" si="60"/>
        <v>452.51588589497766</v>
      </c>
      <c r="T229" s="9" t="s">
        <v>76</v>
      </c>
      <c r="U229" s="10">
        <v>5009</v>
      </c>
      <c r="V229" s="10">
        <f t="shared" si="61"/>
        <v>3506.2999999999997</v>
      </c>
      <c r="W229" s="166">
        <v>490110</v>
      </c>
      <c r="X229" s="12" t="s">
        <v>26</v>
      </c>
      <c r="Y229" s="12">
        <f t="shared" si="62"/>
        <v>452.51588589497766</v>
      </c>
      <c r="Z229" s="13">
        <f t="shared" si="63"/>
        <v>452.51588589497766</v>
      </c>
      <c r="AA229" s="13">
        <f t="shared" si="64"/>
        <v>452.51588589497766</v>
      </c>
      <c r="AB229" s="13">
        <f t="shared" si="65"/>
        <v>91.22</v>
      </c>
      <c r="AC229" s="13">
        <f t="shared" si="66"/>
        <v>361.29588589497769</v>
      </c>
      <c r="AD229" s="14">
        <f t="shared" si="67"/>
        <v>0.79841591678138168</v>
      </c>
      <c r="AE229" s="14">
        <f t="shared" si="68"/>
        <v>3.9607091196555326</v>
      </c>
      <c r="AF229" s="13" t="str">
        <f>IF(AD229&gt;=Assumptions!$B$3,"OK","Review")</f>
        <v>OK</v>
      </c>
      <c r="AG229" s="13">
        <f>IFERROR(IF(Assumptions!$B$13="Cost Price",AB229,AA229)*SUMIF(Assumptions!$A$6:$A$10,X229,Assumptions!$B$6:$B$10),0)</f>
        <v>36.201270871598211</v>
      </c>
      <c r="AH229" s="13">
        <f>IFERROR(IF(Assumptions!$B$13="Cost Price",AB229,AA229)*SUMIF(Assumptions!$A$6:$A$10,X229,Assumptions!$C$6:$C$10),0)</f>
        <v>22.625794294748886</v>
      </c>
      <c r="AI229" s="13">
        <f>IFERROR(IF(Assumptions!$B$13="Cost Price",AB229,AA229)*SUMIF(Assumptions!$A$6:$A$10,X229,Assumptions!$D$6:$D$10),0)</f>
        <v>45.251588589497771</v>
      </c>
      <c r="AJ229" s="13">
        <v>68.307445890940912</v>
      </c>
      <c r="AK229" s="13">
        <f t="shared" si="69"/>
        <v>172.38609964678579</v>
      </c>
      <c r="AL229" s="14">
        <v>0.33</v>
      </c>
      <c r="AM229" s="13">
        <f t="shared" si="70"/>
        <v>188.90978624819189</v>
      </c>
      <c r="AN229" s="14">
        <f t="shared" si="71"/>
        <v>0.41746553466199215</v>
      </c>
      <c r="AO229" t="str">
        <f>IF(AN229&gt;=Assumptions!$B$3,"OK","Review")</f>
        <v>OK</v>
      </c>
    </row>
    <row r="230" spans="1:41" ht="15" customHeight="1">
      <c r="A230" s="9" t="s">
        <v>242</v>
      </c>
      <c r="B230" s="9" t="s">
        <v>41</v>
      </c>
      <c r="C230" s="9" t="s">
        <v>243</v>
      </c>
      <c r="D230" s="9" t="s">
        <v>250</v>
      </c>
      <c r="E230" s="9" t="s">
        <v>73</v>
      </c>
      <c r="F230" s="9" t="s">
        <v>90</v>
      </c>
      <c r="G230" s="9" t="s">
        <v>24</v>
      </c>
      <c r="H230" s="9" t="s">
        <v>75</v>
      </c>
      <c r="I230" s="9">
        <v>7000001007</v>
      </c>
      <c r="J230" s="10">
        <v>130</v>
      </c>
      <c r="K230" s="10">
        <v>10</v>
      </c>
      <c r="L230" s="10">
        <f t="shared" si="54"/>
        <v>140</v>
      </c>
      <c r="M230" s="11">
        <v>0.18</v>
      </c>
      <c r="N230" s="10">
        <f t="shared" si="55"/>
        <v>25.2</v>
      </c>
      <c r="O230" s="10">
        <f t="shared" si="56"/>
        <v>165.2</v>
      </c>
      <c r="P230" s="11">
        <f t="shared" si="57"/>
        <v>0.59322033898305082</v>
      </c>
      <c r="Q230" s="10">
        <f t="shared" si="58"/>
        <v>278.48</v>
      </c>
      <c r="R230" s="10">
        <f t="shared" si="59"/>
        <v>2949.3399999999997</v>
      </c>
      <c r="S230" s="10">
        <f t="shared" si="60"/>
        <v>165.2</v>
      </c>
      <c r="T230" s="9" t="s">
        <v>91</v>
      </c>
      <c r="U230" s="10">
        <v>5009</v>
      </c>
      <c r="V230" s="10">
        <f t="shared" si="61"/>
        <v>3506.2999999999997</v>
      </c>
      <c r="W230" s="166">
        <v>49119990</v>
      </c>
      <c r="X230" s="12" t="s">
        <v>26</v>
      </c>
      <c r="Y230" s="12">
        <f t="shared" si="62"/>
        <v>165.2</v>
      </c>
      <c r="Z230" s="13">
        <f t="shared" si="63"/>
        <v>165.2</v>
      </c>
      <c r="AA230" s="13">
        <f t="shared" si="64"/>
        <v>140</v>
      </c>
      <c r="AB230" s="13">
        <f t="shared" si="65"/>
        <v>130</v>
      </c>
      <c r="AC230" s="13">
        <f t="shared" si="66"/>
        <v>10</v>
      </c>
      <c r="AD230" s="14">
        <f t="shared" si="67"/>
        <v>7.1428571428571425E-2</v>
      </c>
      <c r="AE230" s="14">
        <f t="shared" si="68"/>
        <v>7.6923076923076927E-2</v>
      </c>
      <c r="AF230" s="13" t="str">
        <f>IF(AD230&gt;=Assumptions!$B$3,"OK","Review")</f>
        <v>Review</v>
      </c>
      <c r="AG230" s="13">
        <f>IFERROR(IF(Assumptions!$B$13="Cost Price",AB230,AA230)*SUMIF(Assumptions!$A$6:$A$10,X230,Assumptions!$B$6:$B$10),0)</f>
        <v>11.200000000000001</v>
      </c>
      <c r="AH230" s="13">
        <f>IFERROR(IF(Assumptions!$B$13="Cost Price",AB230,AA230)*SUMIF(Assumptions!$A$6:$A$10,X230,Assumptions!$C$6:$C$10),0)</f>
        <v>7</v>
      </c>
      <c r="AI230" s="13">
        <f>IFERROR(IF(Assumptions!$B$13="Cost Price",AB230,AA230)*SUMIF(Assumptions!$A$6:$A$10,X230,Assumptions!$D$6:$D$10),0)</f>
        <v>14</v>
      </c>
      <c r="AJ230" s="13">
        <v>14</v>
      </c>
      <c r="AK230" s="13">
        <f t="shared" si="69"/>
        <v>46.2</v>
      </c>
      <c r="AL230" s="14">
        <v>0.33</v>
      </c>
      <c r="AM230" s="13">
        <f t="shared" si="70"/>
        <v>-36.200000000000003</v>
      </c>
      <c r="AN230" s="14">
        <f t="shared" si="71"/>
        <v>-0.25857142857142862</v>
      </c>
      <c r="AO230" t="str">
        <f>IF(AN230&gt;=Assumptions!$B$3,"OK","Review")</f>
        <v>Review</v>
      </c>
    </row>
    <row r="231" spans="1:41" ht="15" customHeight="1">
      <c r="A231" s="9" t="s">
        <v>242</v>
      </c>
      <c r="B231" s="9" t="s">
        <v>41</v>
      </c>
      <c r="C231" s="9" t="s">
        <v>92</v>
      </c>
      <c r="D231" s="9" t="s">
        <v>93</v>
      </c>
      <c r="E231" s="9" t="s">
        <v>73</v>
      </c>
      <c r="F231" s="9" t="s">
        <v>94</v>
      </c>
      <c r="G231" s="9" t="s">
        <v>24</v>
      </c>
      <c r="H231" s="9" t="s">
        <v>75</v>
      </c>
      <c r="I231" s="9">
        <v>8400007</v>
      </c>
      <c r="J231" s="10">
        <v>96</v>
      </c>
      <c r="K231" s="10"/>
      <c r="L231" s="10">
        <f t="shared" si="54"/>
        <v>96</v>
      </c>
      <c r="M231" s="11">
        <v>0.18</v>
      </c>
      <c r="N231" s="10">
        <f t="shared" si="55"/>
        <v>17.28</v>
      </c>
      <c r="O231" s="10">
        <f t="shared" si="56"/>
        <v>113.28</v>
      </c>
      <c r="P231" s="11">
        <f t="shared" si="57"/>
        <v>0.40677966101694912</v>
      </c>
      <c r="Q231" s="10">
        <f t="shared" si="58"/>
        <v>278.48</v>
      </c>
      <c r="R231" s="10">
        <f t="shared" si="59"/>
        <v>2949.3399999999997</v>
      </c>
      <c r="S231" s="10">
        <f t="shared" si="60"/>
        <v>113.28</v>
      </c>
      <c r="T231" s="9" t="s">
        <v>91</v>
      </c>
      <c r="U231" s="10">
        <v>5009</v>
      </c>
      <c r="V231" s="10">
        <f t="shared" si="61"/>
        <v>3506.2999999999997</v>
      </c>
      <c r="W231" s="166">
        <v>999299</v>
      </c>
      <c r="X231" s="12" t="s">
        <v>26</v>
      </c>
      <c r="Y231" s="12">
        <f t="shared" si="62"/>
        <v>113.28</v>
      </c>
      <c r="Z231" s="13">
        <f t="shared" si="63"/>
        <v>113.28</v>
      </c>
      <c r="AA231" s="13">
        <f t="shared" si="64"/>
        <v>96</v>
      </c>
      <c r="AB231" s="13">
        <f t="shared" si="65"/>
        <v>96</v>
      </c>
      <c r="AC231" s="13">
        <f t="shared" si="66"/>
        <v>0</v>
      </c>
      <c r="AD231" s="14">
        <f t="shared" si="67"/>
        <v>0</v>
      </c>
      <c r="AE231" s="14">
        <f t="shared" si="68"/>
        <v>0</v>
      </c>
      <c r="AF231" s="13" t="str">
        <f>IF(AD231&gt;=Assumptions!$B$3,"OK","Review")</f>
        <v>Review</v>
      </c>
      <c r="AG231" s="13">
        <f>IFERROR(IF(Assumptions!$B$13="Cost Price",AB231,AA231)*SUMIF(Assumptions!$A$6:$A$10,X231,Assumptions!$B$6:$B$10),0)</f>
        <v>7.68</v>
      </c>
      <c r="AH231" s="13">
        <f>IFERROR(IF(Assumptions!$B$13="Cost Price",AB231,AA231)*SUMIF(Assumptions!$A$6:$A$10,X231,Assumptions!$C$6:$C$10),0)</f>
        <v>4.8000000000000007</v>
      </c>
      <c r="AI231" s="13">
        <f>IFERROR(IF(Assumptions!$B$13="Cost Price",AB231,AA231)*SUMIF(Assumptions!$A$6:$A$10,X231,Assumptions!$D$6:$D$10),0)</f>
        <v>9.6000000000000014</v>
      </c>
      <c r="AJ231" s="13">
        <v>9.6000000000000014</v>
      </c>
      <c r="AK231" s="13">
        <f t="shared" si="69"/>
        <v>31.680000000000003</v>
      </c>
      <c r="AL231" s="14">
        <v>0.33</v>
      </c>
      <c r="AM231" s="13">
        <f t="shared" si="70"/>
        <v>-31.680000000000003</v>
      </c>
      <c r="AN231" s="14">
        <f t="shared" si="71"/>
        <v>-0.33</v>
      </c>
      <c r="AO231" t="str">
        <f>IF(AN231&gt;=Assumptions!$B$3,"OK","Review")</f>
        <v>Review</v>
      </c>
    </row>
    <row r="232" spans="1:41" ht="15" customHeight="1">
      <c r="A232" s="9" t="s">
        <v>242</v>
      </c>
      <c r="B232" s="9" t="s">
        <v>42</v>
      </c>
      <c r="C232" s="9" t="s">
        <v>105</v>
      </c>
      <c r="D232" s="9" t="s">
        <v>184</v>
      </c>
      <c r="E232" s="9" t="s">
        <v>73</v>
      </c>
      <c r="F232" s="9" t="s">
        <v>74</v>
      </c>
      <c r="G232" s="9" t="s">
        <v>24</v>
      </c>
      <c r="H232" s="9" t="s">
        <v>75</v>
      </c>
      <c r="I232" s="9">
        <v>4000011770</v>
      </c>
      <c r="J232" s="10">
        <v>51.97</v>
      </c>
      <c r="K232" s="10"/>
      <c r="L232" s="10">
        <f t="shared" si="54"/>
        <v>51.97</v>
      </c>
      <c r="M232" s="11">
        <v>0</v>
      </c>
      <c r="N232" s="10">
        <f t="shared" si="55"/>
        <v>0</v>
      </c>
      <c r="O232" s="10">
        <f t="shared" si="56"/>
        <v>51.97</v>
      </c>
      <c r="P232" s="11">
        <f t="shared" si="57"/>
        <v>9.3604221825975747E-2</v>
      </c>
      <c r="Q232" s="10">
        <f t="shared" si="58"/>
        <v>555.21</v>
      </c>
      <c r="R232" s="10">
        <f t="shared" si="59"/>
        <v>2990.1959999999999</v>
      </c>
      <c r="S232" s="10">
        <f t="shared" si="60"/>
        <v>279.89496968714536</v>
      </c>
      <c r="T232" s="9" t="s">
        <v>76</v>
      </c>
      <c r="U232" s="10">
        <v>5035</v>
      </c>
      <c r="V232" s="10">
        <f t="shared" si="61"/>
        <v>3524.5</v>
      </c>
      <c r="W232" s="166">
        <v>490110</v>
      </c>
      <c r="X232" s="12" t="s">
        <v>26</v>
      </c>
      <c r="Y232" s="12">
        <f t="shared" si="62"/>
        <v>279.89496968714536</v>
      </c>
      <c r="Z232" s="13">
        <f t="shared" si="63"/>
        <v>279.89496968714536</v>
      </c>
      <c r="AA232" s="13">
        <f t="shared" si="64"/>
        <v>279.89496968714536</v>
      </c>
      <c r="AB232" s="13">
        <f t="shared" si="65"/>
        <v>51.97</v>
      </c>
      <c r="AC232" s="13">
        <f t="shared" si="66"/>
        <v>227.92496968714536</v>
      </c>
      <c r="AD232" s="14">
        <f t="shared" si="67"/>
        <v>0.81432320824454318</v>
      </c>
      <c r="AE232" s="14">
        <f t="shared" si="68"/>
        <v>4.3857027070838051</v>
      </c>
      <c r="AF232" s="13" t="str">
        <f>IF(AD232&gt;=Assumptions!$B$3,"OK","Review")</f>
        <v>OK</v>
      </c>
      <c r="AG232" s="13">
        <f>IFERROR(IF(Assumptions!$B$13="Cost Price",AB232,AA232)*SUMIF(Assumptions!$A$6:$A$10,X232,Assumptions!$B$6:$B$10),0)</f>
        <v>22.39159757497163</v>
      </c>
      <c r="AH232" s="13">
        <f>IFERROR(IF(Assumptions!$B$13="Cost Price",AB232,AA232)*SUMIF(Assumptions!$A$6:$A$10,X232,Assumptions!$C$6:$C$10),0)</f>
        <v>13.994748484357268</v>
      </c>
      <c r="AI232" s="13">
        <f>IFERROR(IF(Assumptions!$B$13="Cost Price",AB232,AA232)*SUMIF(Assumptions!$A$6:$A$10,X232,Assumptions!$D$6:$D$10),0)</f>
        <v>27.989496968714537</v>
      </c>
      <c r="AJ232" s="13">
        <v>42.128414675528177</v>
      </c>
      <c r="AK232" s="13">
        <f t="shared" si="69"/>
        <v>106.50425770357161</v>
      </c>
      <c r="AL232" s="14">
        <v>0.33</v>
      </c>
      <c r="AM232" s="13">
        <f t="shared" si="70"/>
        <v>121.42071198357375</v>
      </c>
      <c r="AN232" s="14">
        <f t="shared" si="71"/>
        <v>0.43380812495234422</v>
      </c>
      <c r="AO232" t="str">
        <f>IF(AN232&gt;=Assumptions!$B$3,"OK","Review")</f>
        <v>OK</v>
      </c>
    </row>
    <row r="233" spans="1:41" ht="15" customHeight="1">
      <c r="A233" s="9" t="s">
        <v>242</v>
      </c>
      <c r="B233" s="9" t="s">
        <v>42</v>
      </c>
      <c r="C233" s="9" t="s">
        <v>71</v>
      </c>
      <c r="D233" s="9" t="s">
        <v>186</v>
      </c>
      <c r="E233" s="9" t="s">
        <v>73</v>
      </c>
      <c r="F233" s="9" t="s">
        <v>74</v>
      </c>
      <c r="G233" s="9" t="s">
        <v>24</v>
      </c>
      <c r="H233" s="9" t="s">
        <v>75</v>
      </c>
      <c r="I233" s="9">
        <v>4000011772</v>
      </c>
      <c r="J233" s="10">
        <v>68.62</v>
      </c>
      <c r="K233" s="10"/>
      <c r="L233" s="10">
        <f t="shared" si="54"/>
        <v>68.62</v>
      </c>
      <c r="M233" s="11">
        <v>0</v>
      </c>
      <c r="N233" s="10">
        <f t="shared" si="55"/>
        <v>0</v>
      </c>
      <c r="O233" s="10">
        <f t="shared" si="56"/>
        <v>68.62</v>
      </c>
      <c r="P233" s="11">
        <f t="shared" si="57"/>
        <v>0.12359287476810576</v>
      </c>
      <c r="Q233" s="10">
        <f t="shared" si="58"/>
        <v>555.21</v>
      </c>
      <c r="R233" s="10">
        <f t="shared" si="59"/>
        <v>2990.1959999999999</v>
      </c>
      <c r="S233" s="10">
        <f t="shared" si="60"/>
        <v>369.5669197600908</v>
      </c>
      <c r="T233" s="9" t="s">
        <v>76</v>
      </c>
      <c r="U233" s="10">
        <v>5035</v>
      </c>
      <c r="V233" s="10">
        <f t="shared" si="61"/>
        <v>3524.5</v>
      </c>
      <c r="W233" s="166">
        <v>490110</v>
      </c>
      <c r="X233" s="12" t="s">
        <v>26</v>
      </c>
      <c r="Y233" s="12">
        <f t="shared" si="62"/>
        <v>369.5669197600908</v>
      </c>
      <c r="Z233" s="13">
        <f t="shared" si="63"/>
        <v>369.5669197600908</v>
      </c>
      <c r="AA233" s="13">
        <f t="shared" si="64"/>
        <v>369.5669197600908</v>
      </c>
      <c r="AB233" s="13">
        <f t="shared" si="65"/>
        <v>68.62</v>
      </c>
      <c r="AC233" s="13">
        <f t="shared" si="66"/>
        <v>300.94691976009079</v>
      </c>
      <c r="AD233" s="14">
        <f t="shared" si="67"/>
        <v>0.81432320824454318</v>
      </c>
      <c r="AE233" s="14">
        <f t="shared" si="68"/>
        <v>4.3857027070838059</v>
      </c>
      <c r="AF233" s="13" t="str">
        <f>IF(AD233&gt;=Assumptions!$B$3,"OK","Review")</f>
        <v>OK</v>
      </c>
      <c r="AG233" s="13">
        <f>IFERROR(IF(Assumptions!$B$13="Cost Price",AB233,AA233)*SUMIF(Assumptions!$A$6:$A$10,X233,Assumptions!$B$6:$B$10),0)</f>
        <v>29.565353580807265</v>
      </c>
      <c r="AH233" s="13">
        <f>IFERROR(IF(Assumptions!$B$13="Cost Price",AB233,AA233)*SUMIF(Assumptions!$A$6:$A$10,X233,Assumptions!$C$6:$C$10),0)</f>
        <v>18.478345988004541</v>
      </c>
      <c r="AI233" s="13">
        <f>IFERROR(IF(Assumptions!$B$13="Cost Price",AB233,AA233)*SUMIF(Assumptions!$A$6:$A$10,X233,Assumptions!$D$6:$D$10),0)</f>
        <v>36.956691976009083</v>
      </c>
      <c r="AJ233" s="13">
        <v>55.625395709731464</v>
      </c>
      <c r="AK233" s="13">
        <f t="shared" si="69"/>
        <v>140.62578725455234</v>
      </c>
      <c r="AL233" s="14">
        <v>0.33</v>
      </c>
      <c r="AM233" s="13">
        <f t="shared" si="70"/>
        <v>160.32113250553846</v>
      </c>
      <c r="AN233" s="14">
        <f t="shared" si="71"/>
        <v>0.43380812495234428</v>
      </c>
      <c r="AO233" t="str">
        <f>IF(AN233&gt;=Assumptions!$B$3,"OK","Review")</f>
        <v>OK</v>
      </c>
    </row>
    <row r="234" spans="1:41" ht="15" customHeight="1">
      <c r="A234" s="9" t="s">
        <v>242</v>
      </c>
      <c r="B234" s="9" t="s">
        <v>42</v>
      </c>
      <c r="C234" s="9" t="s">
        <v>78</v>
      </c>
      <c r="D234" s="9" t="s">
        <v>187</v>
      </c>
      <c r="E234" s="9" t="s">
        <v>73</v>
      </c>
      <c r="F234" s="9" t="s">
        <v>74</v>
      </c>
      <c r="G234" s="9" t="s">
        <v>24</v>
      </c>
      <c r="H234" s="9" t="s">
        <v>75</v>
      </c>
      <c r="I234" s="9">
        <v>4000011774</v>
      </c>
      <c r="J234" s="10">
        <v>21.8</v>
      </c>
      <c r="K234" s="10"/>
      <c r="L234" s="10">
        <f t="shared" si="54"/>
        <v>21.8</v>
      </c>
      <c r="M234" s="11">
        <v>0</v>
      </c>
      <c r="N234" s="10">
        <f t="shared" si="55"/>
        <v>0</v>
      </c>
      <c r="O234" s="10">
        <f t="shared" si="56"/>
        <v>21.8</v>
      </c>
      <c r="P234" s="11">
        <f t="shared" si="57"/>
        <v>3.9264422470776821E-2</v>
      </c>
      <c r="Q234" s="10">
        <f t="shared" si="58"/>
        <v>555.21</v>
      </c>
      <c r="R234" s="10">
        <f t="shared" si="59"/>
        <v>2990.1959999999999</v>
      </c>
      <c r="S234" s="10">
        <f t="shared" si="60"/>
        <v>117.40831901442697</v>
      </c>
      <c r="T234" s="9" t="s">
        <v>76</v>
      </c>
      <c r="U234" s="10">
        <v>5035</v>
      </c>
      <c r="V234" s="10">
        <f t="shared" si="61"/>
        <v>3524.5</v>
      </c>
      <c r="W234" s="166">
        <v>490110</v>
      </c>
      <c r="X234" s="12" t="s">
        <v>26</v>
      </c>
      <c r="Y234" s="12">
        <f t="shared" si="62"/>
        <v>117.40831901442697</v>
      </c>
      <c r="Z234" s="13">
        <f t="shared" si="63"/>
        <v>117.40831901442697</v>
      </c>
      <c r="AA234" s="13">
        <f t="shared" si="64"/>
        <v>117.40831901442697</v>
      </c>
      <c r="AB234" s="13">
        <f t="shared" si="65"/>
        <v>21.8</v>
      </c>
      <c r="AC234" s="13">
        <f t="shared" si="66"/>
        <v>95.608319014426968</v>
      </c>
      <c r="AD234" s="14">
        <f t="shared" si="67"/>
        <v>0.81432320824454318</v>
      </c>
      <c r="AE234" s="14">
        <f t="shared" si="68"/>
        <v>4.3857027070838059</v>
      </c>
      <c r="AF234" s="13" t="str">
        <f>IF(AD234&gt;=Assumptions!$B$3,"OK","Review")</f>
        <v>OK</v>
      </c>
      <c r="AG234" s="13">
        <f>IFERROR(IF(Assumptions!$B$13="Cost Price",AB234,AA234)*SUMIF(Assumptions!$A$6:$A$10,X234,Assumptions!$B$6:$B$10),0)</f>
        <v>9.3926655211541572</v>
      </c>
      <c r="AH234" s="13">
        <f>IFERROR(IF(Assumptions!$B$13="Cost Price",AB234,AA234)*SUMIF(Assumptions!$A$6:$A$10,X234,Assumptions!$C$6:$C$10),0)</f>
        <v>5.8704159507213483</v>
      </c>
      <c r="AI234" s="13">
        <f>IFERROR(IF(Assumptions!$B$13="Cost Price",AB234,AA234)*SUMIF(Assumptions!$A$6:$A$10,X234,Assumptions!$D$6:$D$10),0)</f>
        <v>11.740831901442697</v>
      </c>
      <c r="AJ234" s="13">
        <v>17.671722915653536</v>
      </c>
      <c r="AK234" s="13">
        <f t="shared" si="69"/>
        <v>44.675636288971738</v>
      </c>
      <c r="AL234" s="14">
        <v>0.33</v>
      </c>
      <c r="AM234" s="13">
        <f t="shared" si="70"/>
        <v>50.93268272545523</v>
      </c>
      <c r="AN234" s="14">
        <f t="shared" si="71"/>
        <v>0.43380812495234428</v>
      </c>
      <c r="AO234" t="str">
        <f>IF(AN234&gt;=Assumptions!$B$3,"OK","Review")</f>
        <v>OK</v>
      </c>
    </row>
    <row r="235" spans="1:41" ht="15" customHeight="1">
      <c r="A235" s="9" t="s">
        <v>242</v>
      </c>
      <c r="B235" s="9" t="s">
        <v>42</v>
      </c>
      <c r="C235" s="9" t="s">
        <v>78</v>
      </c>
      <c r="D235" s="9" t="s">
        <v>188</v>
      </c>
      <c r="E235" s="9" t="s">
        <v>73</v>
      </c>
      <c r="F235" s="9" t="s">
        <v>74</v>
      </c>
      <c r="G235" s="9" t="s">
        <v>24</v>
      </c>
      <c r="H235" s="9" t="s">
        <v>75</v>
      </c>
      <c r="I235" s="9">
        <v>4000011773</v>
      </c>
      <c r="J235" s="10">
        <v>60.31</v>
      </c>
      <c r="K235" s="10"/>
      <c r="L235" s="10">
        <f t="shared" si="54"/>
        <v>60.31</v>
      </c>
      <c r="M235" s="11">
        <v>0</v>
      </c>
      <c r="N235" s="10">
        <f t="shared" si="55"/>
        <v>0</v>
      </c>
      <c r="O235" s="10">
        <f t="shared" si="56"/>
        <v>60.31</v>
      </c>
      <c r="P235" s="11">
        <f t="shared" si="57"/>
        <v>0.10862556510149313</v>
      </c>
      <c r="Q235" s="10">
        <f t="shared" si="58"/>
        <v>555.21</v>
      </c>
      <c r="R235" s="10">
        <f t="shared" si="59"/>
        <v>2990.1959999999999</v>
      </c>
      <c r="S235" s="10">
        <f t="shared" si="60"/>
        <v>324.81173026422431</v>
      </c>
      <c r="T235" s="9" t="s">
        <v>76</v>
      </c>
      <c r="U235" s="10">
        <v>5035</v>
      </c>
      <c r="V235" s="10">
        <f t="shared" si="61"/>
        <v>3524.5</v>
      </c>
      <c r="W235" s="166">
        <v>490110</v>
      </c>
      <c r="X235" s="12" t="s">
        <v>26</v>
      </c>
      <c r="Y235" s="12">
        <f t="shared" si="62"/>
        <v>324.81173026422431</v>
      </c>
      <c r="Z235" s="13">
        <f t="shared" si="63"/>
        <v>324.81173026422431</v>
      </c>
      <c r="AA235" s="13">
        <f t="shared" si="64"/>
        <v>324.81173026422431</v>
      </c>
      <c r="AB235" s="13">
        <f t="shared" si="65"/>
        <v>60.31</v>
      </c>
      <c r="AC235" s="13">
        <f t="shared" si="66"/>
        <v>264.50173026422431</v>
      </c>
      <c r="AD235" s="14">
        <f t="shared" si="67"/>
        <v>0.81432320824454318</v>
      </c>
      <c r="AE235" s="14">
        <f t="shared" si="68"/>
        <v>4.3857027070838051</v>
      </c>
      <c r="AF235" s="13" t="str">
        <f>IF(AD235&gt;=Assumptions!$B$3,"OK","Review")</f>
        <v>OK</v>
      </c>
      <c r="AG235" s="13">
        <f>IFERROR(IF(Assumptions!$B$13="Cost Price",AB235,AA235)*SUMIF(Assumptions!$A$6:$A$10,X235,Assumptions!$B$6:$B$10),0)</f>
        <v>25.984938421137944</v>
      </c>
      <c r="AH235" s="13">
        <f>IFERROR(IF(Assumptions!$B$13="Cost Price",AB235,AA235)*SUMIF(Assumptions!$A$6:$A$10,X235,Assumptions!$C$6:$C$10),0)</f>
        <v>16.240586513211216</v>
      </c>
      <c r="AI235" s="13">
        <f>IFERROR(IF(Assumptions!$B$13="Cost Price",AB235,AA235)*SUMIF(Assumptions!$A$6:$A$10,X235,Assumptions!$D$6:$D$10),0)</f>
        <v>32.481173026422432</v>
      </c>
      <c r="AJ235" s="13">
        <v>48.889064635002974</v>
      </c>
      <c r="AK235" s="13">
        <f t="shared" si="69"/>
        <v>123.59576259577457</v>
      </c>
      <c r="AL235" s="14">
        <v>0.33</v>
      </c>
      <c r="AM235" s="13">
        <f t="shared" si="70"/>
        <v>140.90596766844973</v>
      </c>
      <c r="AN235" s="14">
        <f t="shared" si="71"/>
        <v>0.43380812495234417</v>
      </c>
      <c r="AO235" t="str">
        <f>IF(AN235&gt;=Assumptions!$B$3,"OK","Review")</f>
        <v>OK</v>
      </c>
    </row>
    <row r="236" spans="1:41" ht="15" customHeight="1">
      <c r="A236" s="9" t="s">
        <v>242</v>
      </c>
      <c r="B236" s="9" t="s">
        <v>42</v>
      </c>
      <c r="C236" s="9" t="s">
        <v>161</v>
      </c>
      <c r="D236" s="9" t="s">
        <v>190</v>
      </c>
      <c r="E236" s="9" t="s">
        <v>73</v>
      </c>
      <c r="F236" s="9" t="s">
        <v>74</v>
      </c>
      <c r="G236" s="9" t="s">
        <v>24</v>
      </c>
      <c r="H236" s="9" t="s">
        <v>75</v>
      </c>
      <c r="I236" s="9">
        <v>4000011776</v>
      </c>
      <c r="J236" s="10">
        <v>85.28</v>
      </c>
      <c r="K236" s="10"/>
      <c r="L236" s="10">
        <f t="shared" si="54"/>
        <v>85.28</v>
      </c>
      <c r="M236" s="11">
        <v>0</v>
      </c>
      <c r="N236" s="10">
        <f t="shared" si="55"/>
        <v>0</v>
      </c>
      <c r="O236" s="10">
        <f t="shared" si="56"/>
        <v>85.28</v>
      </c>
      <c r="P236" s="11">
        <f t="shared" si="57"/>
        <v>0.15359953891320399</v>
      </c>
      <c r="Q236" s="10">
        <f t="shared" si="58"/>
        <v>555.21</v>
      </c>
      <c r="R236" s="10">
        <f t="shared" si="59"/>
        <v>2990.1959999999999</v>
      </c>
      <c r="S236" s="10">
        <f t="shared" si="60"/>
        <v>459.29272686010694</v>
      </c>
      <c r="T236" s="9" t="s">
        <v>76</v>
      </c>
      <c r="U236" s="10">
        <v>5035</v>
      </c>
      <c r="V236" s="10">
        <f t="shared" si="61"/>
        <v>3524.5</v>
      </c>
      <c r="W236" s="166">
        <v>490110</v>
      </c>
      <c r="X236" s="12" t="s">
        <v>26</v>
      </c>
      <c r="Y236" s="12">
        <f t="shared" si="62"/>
        <v>459.29272686010694</v>
      </c>
      <c r="Z236" s="13">
        <f t="shared" si="63"/>
        <v>459.29272686010694</v>
      </c>
      <c r="AA236" s="13">
        <f t="shared" si="64"/>
        <v>459.29272686010694</v>
      </c>
      <c r="AB236" s="13">
        <f t="shared" si="65"/>
        <v>85.28</v>
      </c>
      <c r="AC236" s="13">
        <f t="shared" si="66"/>
        <v>374.01272686010691</v>
      </c>
      <c r="AD236" s="14">
        <f t="shared" si="67"/>
        <v>0.81432320824454307</v>
      </c>
      <c r="AE236" s="14">
        <f t="shared" si="68"/>
        <v>4.3857027070838051</v>
      </c>
      <c r="AF236" s="13" t="str">
        <f>IF(AD236&gt;=Assumptions!$B$3,"OK","Review")</f>
        <v>OK</v>
      </c>
      <c r="AG236" s="13">
        <f>IFERROR(IF(Assumptions!$B$13="Cost Price",AB236,AA236)*SUMIF(Assumptions!$A$6:$A$10,X236,Assumptions!$B$6:$B$10),0)</f>
        <v>36.743418148808558</v>
      </c>
      <c r="AH236" s="13">
        <f>IFERROR(IF(Assumptions!$B$13="Cost Price",AB236,AA236)*SUMIF(Assumptions!$A$6:$A$10,X236,Assumptions!$C$6:$C$10),0)</f>
        <v>22.964636343005349</v>
      </c>
      <c r="AI236" s="13">
        <f>IFERROR(IF(Assumptions!$B$13="Cost Price",AB236,AA236)*SUMIF(Assumptions!$A$6:$A$10,X236,Assumptions!$D$6:$D$10),0)</f>
        <v>45.929272686010698</v>
      </c>
      <c r="AJ236" s="13">
        <v>69.130483038850159</v>
      </c>
      <c r="AK236" s="13">
        <f t="shared" si="69"/>
        <v>174.76781021667477</v>
      </c>
      <c r="AL236" s="14">
        <v>0.33</v>
      </c>
      <c r="AM236" s="13">
        <f t="shared" si="70"/>
        <v>199.24491664343213</v>
      </c>
      <c r="AN236" s="14">
        <f t="shared" si="71"/>
        <v>0.43380812495234411</v>
      </c>
      <c r="AO236" t="str">
        <f>IF(AN236&gt;=Assumptions!$B$3,"OK","Review")</f>
        <v>OK</v>
      </c>
    </row>
    <row r="237" spans="1:41" ht="15" customHeight="1">
      <c r="A237" s="9" t="s">
        <v>242</v>
      </c>
      <c r="B237" s="9" t="s">
        <v>42</v>
      </c>
      <c r="C237" s="9" t="s">
        <v>105</v>
      </c>
      <c r="D237" s="9" t="s">
        <v>191</v>
      </c>
      <c r="E237" s="9" t="s">
        <v>73</v>
      </c>
      <c r="F237" s="9" t="s">
        <v>74</v>
      </c>
      <c r="G237" s="9" t="s">
        <v>24</v>
      </c>
      <c r="H237" s="9" t="s">
        <v>84</v>
      </c>
      <c r="I237" s="9">
        <v>4000011777</v>
      </c>
      <c r="J237" s="10">
        <v>57.48</v>
      </c>
      <c r="K237" s="10"/>
      <c r="L237" s="10">
        <f t="shared" si="54"/>
        <v>57.48</v>
      </c>
      <c r="M237" s="11">
        <v>0</v>
      </c>
      <c r="N237" s="10">
        <f t="shared" si="55"/>
        <v>0</v>
      </c>
      <c r="O237" s="10">
        <f t="shared" si="56"/>
        <v>57.48</v>
      </c>
      <c r="P237" s="11">
        <f t="shared" si="57"/>
        <v>0.10352839466147942</v>
      </c>
      <c r="Q237" s="10">
        <f t="shared" si="58"/>
        <v>555.21</v>
      </c>
      <c r="R237" s="10">
        <f t="shared" si="59"/>
        <v>2990.1959999999999</v>
      </c>
      <c r="S237" s="10">
        <f t="shared" si="60"/>
        <v>309.57019160317714</v>
      </c>
      <c r="T237" s="9" t="s">
        <v>76</v>
      </c>
      <c r="U237" s="10">
        <v>5035</v>
      </c>
      <c r="V237" s="10">
        <f t="shared" si="61"/>
        <v>3524.5</v>
      </c>
      <c r="W237" s="166">
        <v>490110</v>
      </c>
      <c r="X237" s="12" t="s">
        <v>26</v>
      </c>
      <c r="Y237" s="12">
        <f t="shared" si="62"/>
        <v>309.57019160317714</v>
      </c>
      <c r="Z237" s="13">
        <f t="shared" si="63"/>
        <v>309.57019160317714</v>
      </c>
      <c r="AA237" s="13">
        <f t="shared" si="64"/>
        <v>309.57019160317714</v>
      </c>
      <c r="AB237" s="13">
        <f t="shared" si="65"/>
        <v>57.48</v>
      </c>
      <c r="AC237" s="13">
        <f t="shared" si="66"/>
        <v>252.09019160317715</v>
      </c>
      <c r="AD237" s="14">
        <f t="shared" si="67"/>
        <v>0.81432320824454318</v>
      </c>
      <c r="AE237" s="14">
        <f t="shared" si="68"/>
        <v>4.3857027070838059</v>
      </c>
      <c r="AF237" s="13" t="str">
        <f>IF(AD237&gt;=Assumptions!$B$3,"OK","Review")</f>
        <v>OK</v>
      </c>
      <c r="AG237" s="13">
        <f>IFERROR(IF(Assumptions!$B$13="Cost Price",AB237,AA237)*SUMIF(Assumptions!$A$6:$A$10,X237,Assumptions!$B$6:$B$10),0)</f>
        <v>24.765615328254171</v>
      </c>
      <c r="AH237" s="13">
        <f>IFERROR(IF(Assumptions!$B$13="Cost Price",AB237,AA237)*SUMIF(Assumptions!$A$6:$A$10,X237,Assumptions!$C$6:$C$10),0)</f>
        <v>15.478509580158857</v>
      </c>
      <c r="AI237" s="13">
        <f>IFERROR(IF(Assumptions!$B$13="Cost Price",AB237,AA237)*SUMIF(Assumptions!$A$6:$A$10,X237,Assumptions!$D$6:$D$10),0)</f>
        <v>30.957019160317714</v>
      </c>
      <c r="AJ237" s="13">
        <v>46.594983173934182</v>
      </c>
      <c r="AK237" s="13">
        <f t="shared" si="69"/>
        <v>117.79612724266492</v>
      </c>
      <c r="AL237" s="14">
        <v>0.33</v>
      </c>
      <c r="AM237" s="13">
        <f t="shared" si="70"/>
        <v>134.29406436051221</v>
      </c>
      <c r="AN237" s="14">
        <f t="shared" si="71"/>
        <v>0.43380812495234422</v>
      </c>
      <c r="AO237" t="str">
        <f>IF(AN237&gt;=Assumptions!$B$3,"OK","Review")</f>
        <v>OK</v>
      </c>
    </row>
    <row r="238" spans="1:41" ht="15" customHeight="1">
      <c r="A238" s="9" t="s">
        <v>242</v>
      </c>
      <c r="B238" s="9" t="s">
        <v>42</v>
      </c>
      <c r="C238" s="9" t="s">
        <v>71</v>
      </c>
      <c r="D238" s="9" t="s">
        <v>193</v>
      </c>
      <c r="E238" s="9" t="s">
        <v>73</v>
      </c>
      <c r="F238" s="9" t="s">
        <v>74</v>
      </c>
      <c r="G238" s="9" t="s">
        <v>24</v>
      </c>
      <c r="H238" s="9" t="s">
        <v>84</v>
      </c>
      <c r="I238" s="9">
        <v>4000011779</v>
      </c>
      <c r="J238" s="10">
        <v>68.62</v>
      </c>
      <c r="K238" s="10"/>
      <c r="L238" s="10">
        <f t="shared" si="54"/>
        <v>68.62</v>
      </c>
      <c r="M238" s="11">
        <v>0</v>
      </c>
      <c r="N238" s="10">
        <f t="shared" si="55"/>
        <v>0</v>
      </c>
      <c r="O238" s="10">
        <f t="shared" si="56"/>
        <v>68.62</v>
      </c>
      <c r="P238" s="11">
        <f t="shared" si="57"/>
        <v>0.12359287476810576</v>
      </c>
      <c r="Q238" s="10">
        <f t="shared" si="58"/>
        <v>555.21</v>
      </c>
      <c r="R238" s="10">
        <f t="shared" si="59"/>
        <v>2990.1959999999999</v>
      </c>
      <c r="S238" s="10">
        <f t="shared" si="60"/>
        <v>369.5669197600908</v>
      </c>
      <c r="T238" s="9" t="s">
        <v>76</v>
      </c>
      <c r="U238" s="10">
        <v>5035</v>
      </c>
      <c r="V238" s="10">
        <f t="shared" si="61"/>
        <v>3524.5</v>
      </c>
      <c r="W238" s="166">
        <v>490110</v>
      </c>
      <c r="X238" s="12" t="s">
        <v>26</v>
      </c>
      <c r="Y238" s="12">
        <f t="shared" si="62"/>
        <v>369.5669197600908</v>
      </c>
      <c r="Z238" s="13">
        <f t="shared" si="63"/>
        <v>369.5669197600908</v>
      </c>
      <c r="AA238" s="13">
        <f t="shared" si="64"/>
        <v>369.5669197600908</v>
      </c>
      <c r="AB238" s="13">
        <f t="shared" si="65"/>
        <v>68.62</v>
      </c>
      <c r="AC238" s="13">
        <f t="shared" si="66"/>
        <v>300.94691976009079</v>
      </c>
      <c r="AD238" s="14">
        <f t="shared" si="67"/>
        <v>0.81432320824454318</v>
      </c>
      <c r="AE238" s="14">
        <f t="shared" si="68"/>
        <v>4.3857027070838059</v>
      </c>
      <c r="AF238" s="13" t="str">
        <f>IF(AD238&gt;=Assumptions!$B$3,"OK","Review")</f>
        <v>OK</v>
      </c>
      <c r="AG238" s="13">
        <f>IFERROR(IF(Assumptions!$B$13="Cost Price",AB238,AA238)*SUMIF(Assumptions!$A$6:$A$10,X238,Assumptions!$B$6:$B$10),0)</f>
        <v>29.565353580807265</v>
      </c>
      <c r="AH238" s="13">
        <f>IFERROR(IF(Assumptions!$B$13="Cost Price",AB238,AA238)*SUMIF(Assumptions!$A$6:$A$10,X238,Assumptions!$C$6:$C$10),0)</f>
        <v>18.478345988004541</v>
      </c>
      <c r="AI238" s="13">
        <f>IFERROR(IF(Assumptions!$B$13="Cost Price",AB238,AA238)*SUMIF(Assumptions!$A$6:$A$10,X238,Assumptions!$D$6:$D$10),0)</f>
        <v>36.956691976009083</v>
      </c>
      <c r="AJ238" s="13">
        <v>55.625395709731464</v>
      </c>
      <c r="AK238" s="13">
        <f t="shared" si="69"/>
        <v>140.62578725455234</v>
      </c>
      <c r="AL238" s="14">
        <v>0.33</v>
      </c>
      <c r="AM238" s="13">
        <f t="shared" si="70"/>
        <v>160.32113250553846</v>
      </c>
      <c r="AN238" s="14">
        <f t="shared" si="71"/>
        <v>0.43380812495234428</v>
      </c>
      <c r="AO238" t="str">
        <f>IF(AN238&gt;=Assumptions!$B$3,"OK","Review")</f>
        <v>OK</v>
      </c>
    </row>
    <row r="239" spans="1:41" ht="15" customHeight="1">
      <c r="A239" s="9" t="s">
        <v>242</v>
      </c>
      <c r="B239" s="9" t="s">
        <v>42</v>
      </c>
      <c r="C239" s="9" t="s">
        <v>78</v>
      </c>
      <c r="D239" s="9" t="s">
        <v>194</v>
      </c>
      <c r="E239" s="9" t="s">
        <v>73</v>
      </c>
      <c r="F239" s="9" t="s">
        <v>74</v>
      </c>
      <c r="G239" s="9" t="s">
        <v>24</v>
      </c>
      <c r="H239" s="9" t="s">
        <v>84</v>
      </c>
      <c r="I239" s="9">
        <v>4000011862</v>
      </c>
      <c r="J239" s="10">
        <v>64.13</v>
      </c>
      <c r="K239" s="10"/>
      <c r="L239" s="10">
        <f t="shared" si="54"/>
        <v>64.13</v>
      </c>
      <c r="M239" s="11">
        <v>0</v>
      </c>
      <c r="N239" s="10">
        <f t="shared" si="55"/>
        <v>0</v>
      </c>
      <c r="O239" s="10">
        <f t="shared" si="56"/>
        <v>64.13</v>
      </c>
      <c r="P239" s="11">
        <f t="shared" si="57"/>
        <v>0.11550584463536318</v>
      </c>
      <c r="Q239" s="10">
        <f t="shared" si="58"/>
        <v>555.21</v>
      </c>
      <c r="R239" s="10">
        <f t="shared" si="59"/>
        <v>2990.1959999999999</v>
      </c>
      <c r="S239" s="10">
        <f t="shared" si="60"/>
        <v>345.3851146052844</v>
      </c>
      <c r="T239" s="9" t="s">
        <v>76</v>
      </c>
      <c r="U239" s="10">
        <v>5035</v>
      </c>
      <c r="V239" s="10">
        <f t="shared" si="61"/>
        <v>3524.5</v>
      </c>
      <c r="W239" s="166">
        <v>490110</v>
      </c>
      <c r="X239" s="12" t="s">
        <v>26</v>
      </c>
      <c r="Y239" s="12">
        <f t="shared" si="62"/>
        <v>345.3851146052844</v>
      </c>
      <c r="Z239" s="13">
        <f t="shared" si="63"/>
        <v>345.3851146052844</v>
      </c>
      <c r="AA239" s="13">
        <f t="shared" si="64"/>
        <v>345.3851146052844</v>
      </c>
      <c r="AB239" s="13">
        <f t="shared" si="65"/>
        <v>64.13</v>
      </c>
      <c r="AC239" s="13">
        <f t="shared" si="66"/>
        <v>281.2551146052844</v>
      </c>
      <c r="AD239" s="14">
        <f t="shared" si="67"/>
        <v>0.81432320824454318</v>
      </c>
      <c r="AE239" s="14">
        <f t="shared" si="68"/>
        <v>4.3857027070838051</v>
      </c>
      <c r="AF239" s="13" t="str">
        <f>IF(AD239&gt;=Assumptions!$B$3,"OK","Review")</f>
        <v>OK</v>
      </c>
      <c r="AG239" s="13">
        <f>IFERROR(IF(Assumptions!$B$13="Cost Price",AB239,AA239)*SUMIF(Assumptions!$A$6:$A$10,X239,Assumptions!$B$6:$B$10),0)</f>
        <v>27.630809168422754</v>
      </c>
      <c r="AH239" s="13">
        <f>IFERROR(IF(Assumptions!$B$13="Cost Price",AB239,AA239)*SUMIF(Assumptions!$A$6:$A$10,X239,Assumptions!$C$6:$C$10),0)</f>
        <v>17.26925573026422</v>
      </c>
      <c r="AI239" s="13">
        <f>IFERROR(IF(Assumptions!$B$13="Cost Price",AB239,AA239)*SUMIF(Assumptions!$A$6:$A$10,X239,Assumptions!$D$6:$D$10),0)</f>
        <v>34.53851146052844</v>
      </c>
      <c r="AJ239" s="13">
        <v>51.985669292700052</v>
      </c>
      <c r="AK239" s="13">
        <f t="shared" si="69"/>
        <v>131.42424565191547</v>
      </c>
      <c r="AL239" s="14">
        <v>0.33</v>
      </c>
      <c r="AM239" s="13">
        <f t="shared" si="70"/>
        <v>149.83086895336893</v>
      </c>
      <c r="AN239" s="14">
        <f t="shared" si="71"/>
        <v>0.43380812495234422</v>
      </c>
      <c r="AO239" t="str">
        <f>IF(AN239&gt;=Assumptions!$B$3,"OK","Review")</f>
        <v>OK</v>
      </c>
    </row>
    <row r="240" spans="1:41" ht="15" customHeight="1">
      <c r="A240" s="9" t="s">
        <v>242</v>
      </c>
      <c r="B240" s="9" t="s">
        <v>42</v>
      </c>
      <c r="C240" s="9" t="s">
        <v>161</v>
      </c>
      <c r="D240" s="9" t="s">
        <v>196</v>
      </c>
      <c r="E240" s="9" t="s">
        <v>73</v>
      </c>
      <c r="F240" s="9" t="s">
        <v>74</v>
      </c>
      <c r="G240" s="9" t="s">
        <v>24</v>
      </c>
      <c r="H240" s="9" t="s">
        <v>84</v>
      </c>
      <c r="I240" s="9">
        <v>4000011864</v>
      </c>
      <c r="J240" s="10">
        <v>77</v>
      </c>
      <c r="K240" s="10"/>
      <c r="L240" s="10">
        <f t="shared" si="54"/>
        <v>77</v>
      </c>
      <c r="M240" s="11">
        <v>0</v>
      </c>
      <c r="N240" s="10">
        <f t="shared" si="55"/>
        <v>0</v>
      </c>
      <c r="O240" s="10">
        <f t="shared" si="56"/>
        <v>77</v>
      </c>
      <c r="P240" s="11">
        <f t="shared" si="57"/>
        <v>0.13868626285549612</v>
      </c>
      <c r="Q240" s="10">
        <f t="shared" si="58"/>
        <v>555.21</v>
      </c>
      <c r="R240" s="10">
        <f t="shared" si="59"/>
        <v>2990.1959999999999</v>
      </c>
      <c r="S240" s="10">
        <f t="shared" si="60"/>
        <v>414.69910844545308</v>
      </c>
      <c r="T240" s="9" t="s">
        <v>76</v>
      </c>
      <c r="U240" s="10">
        <v>5035</v>
      </c>
      <c r="V240" s="10">
        <f t="shared" si="61"/>
        <v>3524.5</v>
      </c>
      <c r="W240" s="166">
        <v>490110</v>
      </c>
      <c r="X240" s="12" t="s">
        <v>26</v>
      </c>
      <c r="Y240" s="12">
        <f t="shared" si="62"/>
        <v>414.69910844545308</v>
      </c>
      <c r="Z240" s="13">
        <f t="shared" si="63"/>
        <v>414.69910844545308</v>
      </c>
      <c r="AA240" s="13">
        <f t="shared" si="64"/>
        <v>414.69910844545308</v>
      </c>
      <c r="AB240" s="13">
        <f t="shared" si="65"/>
        <v>77</v>
      </c>
      <c r="AC240" s="13">
        <f t="shared" si="66"/>
        <v>337.69910844545308</v>
      </c>
      <c r="AD240" s="14">
        <f t="shared" si="67"/>
        <v>0.81432320824454318</v>
      </c>
      <c r="AE240" s="14">
        <f t="shared" si="68"/>
        <v>4.3857027070838059</v>
      </c>
      <c r="AF240" s="13" t="str">
        <f>IF(AD240&gt;=Assumptions!$B$3,"OK","Review")</f>
        <v>OK</v>
      </c>
      <c r="AG240" s="13">
        <f>IFERROR(IF(Assumptions!$B$13="Cost Price",AB240,AA240)*SUMIF(Assumptions!$A$6:$A$10,X240,Assumptions!$B$6:$B$10),0)</f>
        <v>33.17592867563625</v>
      </c>
      <c r="AH240" s="13">
        <f>IFERROR(IF(Assumptions!$B$13="Cost Price",AB240,AA240)*SUMIF(Assumptions!$A$6:$A$10,X240,Assumptions!$C$6:$C$10),0)</f>
        <v>20.734955422272655</v>
      </c>
      <c r="AI240" s="13">
        <f>IFERROR(IF(Assumptions!$B$13="Cost Price",AB240,AA240)*SUMIF(Assumptions!$A$6:$A$10,X240,Assumptions!$D$6:$D$10),0)</f>
        <v>41.469910844545311</v>
      </c>
      <c r="AJ240" s="13">
        <v>62.418470848867997</v>
      </c>
      <c r="AK240" s="13">
        <f t="shared" si="69"/>
        <v>157.79926579132223</v>
      </c>
      <c r="AL240" s="14">
        <v>0.33</v>
      </c>
      <c r="AM240" s="13">
        <f t="shared" si="70"/>
        <v>179.89984265413085</v>
      </c>
      <c r="AN240" s="14">
        <f t="shared" si="71"/>
        <v>0.43380812495234422</v>
      </c>
      <c r="AO240" t="str">
        <f>IF(AN240&gt;=Assumptions!$B$3,"OK","Review")</f>
        <v>OK</v>
      </c>
    </row>
    <row r="241" spans="1:41" ht="15" customHeight="1">
      <c r="A241" s="9" t="s">
        <v>242</v>
      </c>
      <c r="B241" s="9" t="s">
        <v>42</v>
      </c>
      <c r="C241" s="9" t="s">
        <v>243</v>
      </c>
      <c r="D241" s="9" t="s">
        <v>251</v>
      </c>
      <c r="E241" s="9" t="s">
        <v>73</v>
      </c>
      <c r="F241" s="9" t="s">
        <v>90</v>
      </c>
      <c r="G241" s="9" t="s">
        <v>24</v>
      </c>
      <c r="H241" s="9" t="s">
        <v>75</v>
      </c>
      <c r="I241" s="9">
        <v>7000001008</v>
      </c>
      <c r="J241" s="10">
        <v>120.4</v>
      </c>
      <c r="K241" s="10">
        <v>10</v>
      </c>
      <c r="L241" s="10">
        <f t="shared" si="54"/>
        <v>130.4</v>
      </c>
      <c r="M241" s="11">
        <v>0.18</v>
      </c>
      <c r="N241" s="10">
        <f t="shared" si="55"/>
        <v>23.472000000000001</v>
      </c>
      <c r="O241" s="10">
        <f t="shared" si="56"/>
        <v>153.87200000000001</v>
      </c>
      <c r="P241" s="11">
        <f t="shared" si="57"/>
        <v>0.57597173144876324</v>
      </c>
      <c r="Q241" s="10">
        <f t="shared" si="58"/>
        <v>267.15200000000004</v>
      </c>
      <c r="R241" s="10">
        <f t="shared" si="59"/>
        <v>2990.1959999999999</v>
      </c>
      <c r="S241" s="10">
        <f t="shared" si="60"/>
        <v>153.87200000000001</v>
      </c>
      <c r="T241" s="9" t="s">
        <v>91</v>
      </c>
      <c r="U241" s="10">
        <v>5035</v>
      </c>
      <c r="V241" s="10">
        <f t="shared" si="61"/>
        <v>3524.5</v>
      </c>
      <c r="W241" s="166">
        <v>49119990</v>
      </c>
      <c r="X241" s="12" t="s">
        <v>26</v>
      </c>
      <c r="Y241" s="12">
        <f t="shared" si="62"/>
        <v>153.87200000000001</v>
      </c>
      <c r="Z241" s="13">
        <f t="shared" si="63"/>
        <v>153.87200000000001</v>
      </c>
      <c r="AA241" s="13">
        <f t="shared" si="64"/>
        <v>130.4</v>
      </c>
      <c r="AB241" s="13">
        <f t="shared" si="65"/>
        <v>120.4</v>
      </c>
      <c r="AC241" s="13">
        <f t="shared" si="66"/>
        <v>10</v>
      </c>
      <c r="AD241" s="14">
        <f t="shared" si="67"/>
        <v>7.6687116564417179E-2</v>
      </c>
      <c r="AE241" s="14">
        <f t="shared" si="68"/>
        <v>8.3056478405315617E-2</v>
      </c>
      <c r="AF241" s="13" t="str">
        <f>IF(AD241&gt;=Assumptions!$B$3,"OK","Review")</f>
        <v>Review</v>
      </c>
      <c r="AG241" s="13">
        <f>IFERROR(IF(Assumptions!$B$13="Cost Price",AB241,AA241)*SUMIF(Assumptions!$A$6:$A$10,X241,Assumptions!$B$6:$B$10),0)</f>
        <v>10.432</v>
      </c>
      <c r="AH241" s="13">
        <f>IFERROR(IF(Assumptions!$B$13="Cost Price",AB241,AA241)*SUMIF(Assumptions!$A$6:$A$10,X241,Assumptions!$C$6:$C$10),0)</f>
        <v>6.5200000000000005</v>
      </c>
      <c r="AI241" s="13">
        <f>IFERROR(IF(Assumptions!$B$13="Cost Price",AB241,AA241)*SUMIF(Assumptions!$A$6:$A$10,X241,Assumptions!$D$6:$D$10),0)</f>
        <v>13.040000000000001</v>
      </c>
      <c r="AJ241" s="13">
        <v>13.040000000000001</v>
      </c>
      <c r="AK241" s="13">
        <f t="shared" si="69"/>
        <v>43.032000000000004</v>
      </c>
      <c r="AL241" s="14">
        <v>0.33</v>
      </c>
      <c r="AM241" s="13">
        <f t="shared" si="70"/>
        <v>-33.032000000000004</v>
      </c>
      <c r="AN241" s="14">
        <f t="shared" si="71"/>
        <v>-0.25331288343558284</v>
      </c>
      <c r="AO241" t="str">
        <f>IF(AN241&gt;=Assumptions!$B$3,"OK","Review")</f>
        <v>Review</v>
      </c>
    </row>
    <row r="242" spans="1:41" ht="15" customHeight="1">
      <c r="A242" s="9" t="s">
        <v>242</v>
      </c>
      <c r="B242" s="9" t="s">
        <v>42</v>
      </c>
      <c r="C242" s="9" t="s">
        <v>92</v>
      </c>
      <c r="D242" s="9" t="s">
        <v>93</v>
      </c>
      <c r="E242" s="9" t="s">
        <v>73</v>
      </c>
      <c r="F242" s="9" t="s">
        <v>94</v>
      </c>
      <c r="G242" s="9" t="s">
        <v>24</v>
      </c>
      <c r="H242" s="9" t="s">
        <v>75</v>
      </c>
      <c r="I242" s="9">
        <v>8400007</v>
      </c>
      <c r="J242" s="10">
        <v>96</v>
      </c>
      <c r="K242" s="10"/>
      <c r="L242" s="10">
        <f t="shared" si="54"/>
        <v>96</v>
      </c>
      <c r="M242" s="11">
        <v>0.18</v>
      </c>
      <c r="N242" s="10">
        <f t="shared" si="55"/>
        <v>17.28</v>
      </c>
      <c r="O242" s="10">
        <f t="shared" si="56"/>
        <v>113.28</v>
      </c>
      <c r="P242" s="11">
        <f t="shared" si="57"/>
        <v>0.42402826855123671</v>
      </c>
      <c r="Q242" s="10">
        <f t="shared" si="58"/>
        <v>267.15200000000004</v>
      </c>
      <c r="R242" s="10">
        <f t="shared" si="59"/>
        <v>2990.1959999999999</v>
      </c>
      <c r="S242" s="10">
        <f t="shared" si="60"/>
        <v>113.28</v>
      </c>
      <c r="T242" s="9" t="s">
        <v>91</v>
      </c>
      <c r="U242" s="10">
        <v>5035</v>
      </c>
      <c r="V242" s="10">
        <f t="shared" si="61"/>
        <v>3524.5</v>
      </c>
      <c r="W242" s="166">
        <v>999299</v>
      </c>
      <c r="X242" s="12" t="s">
        <v>26</v>
      </c>
      <c r="Y242" s="12">
        <f t="shared" si="62"/>
        <v>113.28</v>
      </c>
      <c r="Z242" s="13">
        <f t="shared" si="63"/>
        <v>113.28</v>
      </c>
      <c r="AA242" s="13">
        <f t="shared" si="64"/>
        <v>96</v>
      </c>
      <c r="AB242" s="13">
        <f t="shared" si="65"/>
        <v>96</v>
      </c>
      <c r="AC242" s="13">
        <f t="shared" si="66"/>
        <v>0</v>
      </c>
      <c r="AD242" s="14">
        <f t="shared" si="67"/>
        <v>0</v>
      </c>
      <c r="AE242" s="14">
        <f t="shared" si="68"/>
        <v>0</v>
      </c>
      <c r="AF242" s="13" t="str">
        <f>IF(AD242&gt;=Assumptions!$B$3,"OK","Review")</f>
        <v>Review</v>
      </c>
      <c r="AG242" s="13">
        <f>IFERROR(IF(Assumptions!$B$13="Cost Price",AB242,AA242)*SUMIF(Assumptions!$A$6:$A$10,X242,Assumptions!$B$6:$B$10),0)</f>
        <v>7.68</v>
      </c>
      <c r="AH242" s="13">
        <f>IFERROR(IF(Assumptions!$B$13="Cost Price",AB242,AA242)*SUMIF(Assumptions!$A$6:$A$10,X242,Assumptions!$C$6:$C$10),0)</f>
        <v>4.8000000000000007</v>
      </c>
      <c r="AI242" s="13">
        <f>IFERROR(IF(Assumptions!$B$13="Cost Price",AB242,AA242)*SUMIF(Assumptions!$A$6:$A$10,X242,Assumptions!$D$6:$D$10),0)</f>
        <v>9.6000000000000014</v>
      </c>
      <c r="AJ242" s="13">
        <v>9.6000000000000014</v>
      </c>
      <c r="AK242" s="13">
        <f t="shared" si="69"/>
        <v>31.680000000000003</v>
      </c>
      <c r="AL242" s="14">
        <v>0.33</v>
      </c>
      <c r="AM242" s="13">
        <f t="shared" si="70"/>
        <v>-31.680000000000003</v>
      </c>
      <c r="AN242" s="14">
        <f t="shared" si="71"/>
        <v>-0.33</v>
      </c>
      <c r="AO242" t="str">
        <f>IF(AN242&gt;=Assumptions!$B$3,"OK","Review")</f>
        <v>Review</v>
      </c>
    </row>
    <row r="243" spans="1:41" ht="15" customHeight="1">
      <c r="A243" s="9" t="s">
        <v>242</v>
      </c>
      <c r="B243" s="9" t="s">
        <v>43</v>
      </c>
      <c r="C243" s="9" t="s">
        <v>198</v>
      </c>
      <c r="D243" s="9" t="s">
        <v>199</v>
      </c>
      <c r="E243" s="9" t="s">
        <v>73</v>
      </c>
      <c r="F243" s="9" t="s">
        <v>74</v>
      </c>
      <c r="G243" s="9" t="s">
        <v>24</v>
      </c>
      <c r="H243" s="9" t="s">
        <v>75</v>
      </c>
      <c r="I243" s="9">
        <v>4000011865</v>
      </c>
      <c r="J243" s="10">
        <v>22.9</v>
      </c>
      <c r="K243" s="10"/>
      <c r="L243" s="10">
        <f t="shared" si="54"/>
        <v>22.9</v>
      </c>
      <c r="M243" s="11">
        <v>0</v>
      </c>
      <c r="N243" s="10">
        <f t="shared" si="55"/>
        <v>0</v>
      </c>
      <c r="O243" s="10">
        <f t="shared" si="56"/>
        <v>22.9</v>
      </c>
      <c r="P243" s="11">
        <f t="shared" si="57"/>
        <v>0.11356310438879247</v>
      </c>
      <c r="Q243" s="10">
        <f t="shared" si="58"/>
        <v>201.64999999999998</v>
      </c>
      <c r="R243" s="10">
        <f t="shared" si="59"/>
        <v>1492.0039999999997</v>
      </c>
      <c r="S243" s="10">
        <f t="shared" si="60"/>
        <v>169.43660600049589</v>
      </c>
      <c r="T243" s="9" t="s">
        <v>76</v>
      </c>
      <c r="U243" s="10">
        <v>3214</v>
      </c>
      <c r="V243" s="10">
        <f t="shared" si="61"/>
        <v>2249.7999999999997</v>
      </c>
      <c r="W243" s="166">
        <v>490110</v>
      </c>
      <c r="X243" s="12" t="s">
        <v>26</v>
      </c>
      <c r="Y243" s="12">
        <f t="shared" si="62"/>
        <v>169.43660600049589</v>
      </c>
      <c r="Z243" s="13">
        <f t="shared" si="63"/>
        <v>169.43660600049589</v>
      </c>
      <c r="AA243" s="13">
        <f t="shared" si="64"/>
        <v>169.43660600049589</v>
      </c>
      <c r="AB243" s="13">
        <f t="shared" si="65"/>
        <v>22.9</v>
      </c>
      <c r="AC243" s="13">
        <f t="shared" si="66"/>
        <v>146.53660600049588</v>
      </c>
      <c r="AD243" s="14">
        <f t="shared" si="67"/>
        <v>0.86484620684663038</v>
      </c>
      <c r="AE243" s="14">
        <f t="shared" si="68"/>
        <v>6.3989784279692525</v>
      </c>
      <c r="AF243" s="13" t="str">
        <f>IF(AD243&gt;=Assumptions!$B$3,"OK","Review")</f>
        <v>OK</v>
      </c>
      <c r="AG243" s="13">
        <f>IFERROR(IF(Assumptions!$B$13="Cost Price",AB243,AA243)*SUMIF(Assumptions!$A$6:$A$10,X243,Assumptions!$B$6:$B$10),0)</f>
        <v>13.554928480039671</v>
      </c>
      <c r="AH243" s="13">
        <f>IFERROR(IF(Assumptions!$B$13="Cost Price",AB243,AA243)*SUMIF(Assumptions!$A$6:$A$10,X243,Assumptions!$C$6:$C$10),0)</f>
        <v>8.471830300024795</v>
      </c>
      <c r="AI243" s="13">
        <f>IFERROR(IF(Assumptions!$B$13="Cost Price",AB243,AA243)*SUMIF(Assumptions!$A$6:$A$10,X243,Assumptions!$D$6:$D$10),0)</f>
        <v>16.94366060004959</v>
      </c>
      <c r="AJ243" s="13">
        <v>27.893415125216961</v>
      </c>
      <c r="AK243" s="13">
        <f t="shared" si="69"/>
        <v>66.863834505331013</v>
      </c>
      <c r="AL243" s="14">
        <v>0.33</v>
      </c>
      <c r="AM243" s="13">
        <f t="shared" si="70"/>
        <v>79.672771495164866</v>
      </c>
      <c r="AN243" s="14">
        <f t="shared" si="71"/>
        <v>0.47022171522328349</v>
      </c>
      <c r="AO243" t="str">
        <f>IF(AN243&gt;=Assumptions!$B$3,"OK","Review")</f>
        <v>OK</v>
      </c>
    </row>
    <row r="244" spans="1:41" ht="15" customHeight="1">
      <c r="A244" s="9" t="s">
        <v>242</v>
      </c>
      <c r="B244" s="9" t="s">
        <v>43</v>
      </c>
      <c r="C244" s="9" t="s">
        <v>200</v>
      </c>
      <c r="D244" s="9" t="s">
        <v>201</v>
      </c>
      <c r="E244" s="9" t="s">
        <v>73</v>
      </c>
      <c r="F244" s="9" t="s">
        <v>74</v>
      </c>
      <c r="G244" s="9" t="s">
        <v>24</v>
      </c>
      <c r="H244" s="9" t="s">
        <v>75</v>
      </c>
      <c r="I244" s="9">
        <v>4000011866</v>
      </c>
      <c r="J244" s="10">
        <v>12.46</v>
      </c>
      <c r="K244" s="10"/>
      <c r="L244" s="10">
        <f t="shared" si="54"/>
        <v>12.46</v>
      </c>
      <c r="M244" s="11">
        <v>0</v>
      </c>
      <c r="N244" s="10">
        <f t="shared" si="55"/>
        <v>0</v>
      </c>
      <c r="O244" s="10">
        <f t="shared" si="56"/>
        <v>12.46</v>
      </c>
      <c r="P244" s="11">
        <f t="shared" si="57"/>
        <v>6.1790230597570057E-2</v>
      </c>
      <c r="Q244" s="10">
        <f t="shared" si="58"/>
        <v>201.64999999999998</v>
      </c>
      <c r="R244" s="10">
        <f t="shared" si="59"/>
        <v>1492.0039999999997</v>
      </c>
      <c r="S244" s="10">
        <f t="shared" si="60"/>
        <v>92.1912712124969</v>
      </c>
      <c r="T244" s="9" t="s">
        <v>76</v>
      </c>
      <c r="U244" s="10">
        <v>3214</v>
      </c>
      <c r="V244" s="10">
        <f t="shared" si="61"/>
        <v>2249.7999999999997</v>
      </c>
      <c r="W244" s="166">
        <v>490110</v>
      </c>
      <c r="X244" s="12" t="s">
        <v>26</v>
      </c>
      <c r="Y244" s="12">
        <f t="shared" si="62"/>
        <v>92.1912712124969</v>
      </c>
      <c r="Z244" s="13">
        <f t="shared" si="63"/>
        <v>92.1912712124969</v>
      </c>
      <c r="AA244" s="13">
        <f t="shared" si="64"/>
        <v>92.1912712124969</v>
      </c>
      <c r="AB244" s="13">
        <f t="shared" si="65"/>
        <v>12.46</v>
      </c>
      <c r="AC244" s="13">
        <f t="shared" si="66"/>
        <v>79.731271212496893</v>
      </c>
      <c r="AD244" s="14">
        <f t="shared" si="67"/>
        <v>0.86484620684663038</v>
      </c>
      <c r="AE244" s="14">
        <f t="shared" si="68"/>
        <v>6.3989784279692525</v>
      </c>
      <c r="AF244" s="13" t="str">
        <f>IF(AD244&gt;=Assumptions!$B$3,"OK","Review")</f>
        <v>OK</v>
      </c>
      <c r="AG244" s="13">
        <f>IFERROR(IF(Assumptions!$B$13="Cost Price",AB244,AA244)*SUMIF(Assumptions!$A$6:$A$10,X244,Assumptions!$B$6:$B$10),0)</f>
        <v>7.3753016969997525</v>
      </c>
      <c r="AH244" s="13">
        <f>IFERROR(IF(Assumptions!$B$13="Cost Price",AB244,AA244)*SUMIF(Assumptions!$A$6:$A$10,X244,Assumptions!$C$6:$C$10),0)</f>
        <v>4.6095635606248448</v>
      </c>
      <c r="AI244" s="13">
        <f>IFERROR(IF(Assumptions!$B$13="Cost Price",AB244,AA244)*SUMIF(Assumptions!$A$6:$A$10,X244,Assumptions!$D$6:$D$10),0)</f>
        <v>9.2191271212496897</v>
      </c>
      <c r="AJ244" s="13">
        <v>15.176941155467397</v>
      </c>
      <c r="AK244" s="13">
        <f t="shared" si="69"/>
        <v>36.380933534341686</v>
      </c>
      <c r="AL244" s="14">
        <v>0.33</v>
      </c>
      <c r="AM244" s="13">
        <f t="shared" si="70"/>
        <v>43.350337678155206</v>
      </c>
      <c r="AN244" s="14">
        <f t="shared" si="71"/>
        <v>0.47022171522328343</v>
      </c>
      <c r="AO244" t="str">
        <f>IF(AN244&gt;=Assumptions!$B$3,"OK","Review")</f>
        <v>OK</v>
      </c>
    </row>
    <row r="245" spans="1:41" ht="15" customHeight="1">
      <c r="A245" s="9" t="s">
        <v>242</v>
      </c>
      <c r="B245" s="9" t="s">
        <v>43</v>
      </c>
      <c r="C245" s="9" t="s">
        <v>202</v>
      </c>
      <c r="D245" s="9" t="s">
        <v>203</v>
      </c>
      <c r="E245" s="9" t="s">
        <v>73</v>
      </c>
      <c r="F245" s="9" t="s">
        <v>74</v>
      </c>
      <c r="G245" s="9" t="s">
        <v>24</v>
      </c>
      <c r="H245" s="9" t="s">
        <v>75</v>
      </c>
      <c r="I245" s="9">
        <v>4000011867</v>
      </c>
      <c r="J245" s="10">
        <v>42.11</v>
      </c>
      <c r="K245" s="10"/>
      <c r="L245" s="10">
        <f t="shared" si="54"/>
        <v>42.11</v>
      </c>
      <c r="M245" s="11">
        <v>0</v>
      </c>
      <c r="N245" s="10">
        <f t="shared" si="55"/>
        <v>0</v>
      </c>
      <c r="O245" s="10">
        <f t="shared" si="56"/>
        <v>42.11</v>
      </c>
      <c r="P245" s="11">
        <f t="shared" si="57"/>
        <v>0.20882717579965288</v>
      </c>
      <c r="Q245" s="10">
        <f t="shared" si="58"/>
        <v>201.64999999999998</v>
      </c>
      <c r="R245" s="10">
        <f t="shared" si="59"/>
        <v>1492.0039999999997</v>
      </c>
      <c r="S245" s="10">
        <f t="shared" si="60"/>
        <v>311.57098160178521</v>
      </c>
      <c r="T245" s="9" t="s">
        <v>76</v>
      </c>
      <c r="U245" s="10">
        <v>3214</v>
      </c>
      <c r="V245" s="10">
        <f t="shared" si="61"/>
        <v>2249.7999999999997</v>
      </c>
      <c r="W245" s="166">
        <v>490110</v>
      </c>
      <c r="X245" s="12" t="s">
        <v>26</v>
      </c>
      <c r="Y245" s="12">
        <f t="shared" si="62"/>
        <v>311.57098160178521</v>
      </c>
      <c r="Z245" s="13">
        <f t="shared" si="63"/>
        <v>311.57098160178521</v>
      </c>
      <c r="AA245" s="13">
        <f t="shared" si="64"/>
        <v>311.57098160178521</v>
      </c>
      <c r="AB245" s="13">
        <f t="shared" si="65"/>
        <v>42.11</v>
      </c>
      <c r="AC245" s="13">
        <f t="shared" si="66"/>
        <v>269.46098160178519</v>
      </c>
      <c r="AD245" s="14">
        <f t="shared" si="67"/>
        <v>0.86484620684663038</v>
      </c>
      <c r="AE245" s="14">
        <f t="shared" si="68"/>
        <v>6.3989784279692516</v>
      </c>
      <c r="AF245" s="13" t="str">
        <f>IF(AD245&gt;=Assumptions!$B$3,"OK","Review")</f>
        <v>OK</v>
      </c>
      <c r="AG245" s="13">
        <f>IFERROR(IF(Assumptions!$B$13="Cost Price",AB245,AA245)*SUMIF(Assumptions!$A$6:$A$10,X245,Assumptions!$B$6:$B$10),0)</f>
        <v>24.925678528142818</v>
      </c>
      <c r="AH245" s="13">
        <f>IFERROR(IF(Assumptions!$B$13="Cost Price",AB245,AA245)*SUMIF(Assumptions!$A$6:$A$10,X245,Assumptions!$C$6:$C$10),0)</f>
        <v>15.57854908008926</v>
      </c>
      <c r="AI245" s="13">
        <f>IFERROR(IF(Assumptions!$B$13="Cost Price",AB245,AA245)*SUMIF(Assumptions!$A$6:$A$10,X245,Assumptions!$D$6:$D$10),0)</f>
        <v>31.157098160178521</v>
      </c>
      <c r="AJ245" s="13">
        <v>51.29221445078106</v>
      </c>
      <c r="AK245" s="13">
        <f t="shared" si="69"/>
        <v>122.95354021919165</v>
      </c>
      <c r="AL245" s="14">
        <v>0.33</v>
      </c>
      <c r="AM245" s="13">
        <f t="shared" si="70"/>
        <v>146.50744138259353</v>
      </c>
      <c r="AN245" s="14">
        <f t="shared" si="71"/>
        <v>0.47022171522328343</v>
      </c>
      <c r="AO245" t="str">
        <f>IF(AN245&gt;=Assumptions!$B$3,"OK","Review")</f>
        <v>OK</v>
      </c>
    </row>
    <row r="246" spans="1:41" ht="15" customHeight="1">
      <c r="A246" s="9" t="s">
        <v>242</v>
      </c>
      <c r="B246" s="9" t="s">
        <v>43</v>
      </c>
      <c r="C246" s="9" t="s">
        <v>205</v>
      </c>
      <c r="D246" s="9" t="s">
        <v>206</v>
      </c>
      <c r="E246" s="9" t="s">
        <v>73</v>
      </c>
      <c r="F246" s="9" t="s">
        <v>74</v>
      </c>
      <c r="G246" s="9" t="s">
        <v>24</v>
      </c>
      <c r="H246" s="9" t="s">
        <v>75</v>
      </c>
      <c r="I246" s="9">
        <v>4000011869</v>
      </c>
      <c r="J246" s="10">
        <v>37.69</v>
      </c>
      <c r="K246" s="10"/>
      <c r="L246" s="10">
        <f t="shared" si="54"/>
        <v>37.69</v>
      </c>
      <c r="M246" s="11">
        <v>0</v>
      </c>
      <c r="N246" s="10">
        <f t="shared" si="55"/>
        <v>0</v>
      </c>
      <c r="O246" s="10">
        <f t="shared" si="56"/>
        <v>37.69</v>
      </c>
      <c r="P246" s="11">
        <f t="shared" si="57"/>
        <v>0.18690800892635756</v>
      </c>
      <c r="Q246" s="10">
        <f t="shared" si="58"/>
        <v>201.64999999999998</v>
      </c>
      <c r="R246" s="10">
        <f t="shared" si="59"/>
        <v>1492.0039999999997</v>
      </c>
      <c r="S246" s="10">
        <f t="shared" si="60"/>
        <v>278.86749695016113</v>
      </c>
      <c r="T246" s="9" t="s">
        <v>76</v>
      </c>
      <c r="U246" s="10">
        <v>3214</v>
      </c>
      <c r="V246" s="10">
        <f t="shared" si="61"/>
        <v>2249.7999999999997</v>
      </c>
      <c r="W246" s="166">
        <v>490110</v>
      </c>
      <c r="X246" s="12" t="s">
        <v>26</v>
      </c>
      <c r="Y246" s="12">
        <f t="shared" si="62"/>
        <v>278.86749695016113</v>
      </c>
      <c r="Z246" s="13">
        <f t="shared" si="63"/>
        <v>278.86749695016113</v>
      </c>
      <c r="AA246" s="13">
        <f t="shared" si="64"/>
        <v>278.86749695016113</v>
      </c>
      <c r="AB246" s="13">
        <f t="shared" si="65"/>
        <v>37.69</v>
      </c>
      <c r="AC246" s="13">
        <f t="shared" si="66"/>
        <v>241.17749695016113</v>
      </c>
      <c r="AD246" s="14">
        <f t="shared" si="67"/>
        <v>0.86484620684663038</v>
      </c>
      <c r="AE246" s="14">
        <f t="shared" si="68"/>
        <v>6.3989784279692525</v>
      </c>
      <c r="AF246" s="13" t="str">
        <f>IF(AD246&gt;=Assumptions!$B$3,"OK","Review")</f>
        <v>OK</v>
      </c>
      <c r="AG246" s="13">
        <f>IFERROR(IF(Assumptions!$B$13="Cost Price",AB246,AA246)*SUMIF(Assumptions!$A$6:$A$10,X246,Assumptions!$B$6:$B$10),0)</f>
        <v>22.30939975601289</v>
      </c>
      <c r="AH246" s="13">
        <f>IFERROR(IF(Assumptions!$B$13="Cost Price",AB246,AA246)*SUMIF(Assumptions!$A$6:$A$10,X246,Assumptions!$C$6:$C$10),0)</f>
        <v>13.943374847508057</v>
      </c>
      <c r="AI246" s="13">
        <f>IFERROR(IF(Assumptions!$B$13="Cost Price",AB246,AA246)*SUMIF(Assumptions!$A$6:$A$10,X246,Assumptions!$D$6:$D$10),0)</f>
        <v>27.886749695016114</v>
      </c>
      <c r="AJ246" s="13">
        <v>45.908419915695511</v>
      </c>
      <c r="AK246" s="13">
        <f t="shared" si="69"/>
        <v>110.04794421423256</v>
      </c>
      <c r="AL246" s="14">
        <v>0.33</v>
      </c>
      <c r="AM246" s="13">
        <f t="shared" si="70"/>
        <v>131.12955273592857</v>
      </c>
      <c r="AN246" s="14">
        <f t="shared" si="71"/>
        <v>0.4702217152232836</v>
      </c>
      <c r="AO246" t="str">
        <f>IF(AN246&gt;=Assumptions!$B$3,"OK","Review")</f>
        <v>OK</v>
      </c>
    </row>
    <row r="247" spans="1:41" ht="15" customHeight="1">
      <c r="A247" s="9" t="s">
        <v>242</v>
      </c>
      <c r="B247" s="9" t="s">
        <v>43</v>
      </c>
      <c r="C247" s="9" t="s">
        <v>202</v>
      </c>
      <c r="D247" s="9" t="s">
        <v>208</v>
      </c>
      <c r="E247" s="9" t="s">
        <v>73</v>
      </c>
      <c r="F247" s="9" t="s">
        <v>74</v>
      </c>
      <c r="G247" s="9" t="s">
        <v>24</v>
      </c>
      <c r="H247" s="9" t="s">
        <v>84</v>
      </c>
      <c r="I247" s="9">
        <v>4000011871</v>
      </c>
      <c r="J247" s="10">
        <v>42.11</v>
      </c>
      <c r="K247" s="10"/>
      <c r="L247" s="10">
        <f t="shared" si="54"/>
        <v>42.11</v>
      </c>
      <c r="M247" s="11">
        <v>0</v>
      </c>
      <c r="N247" s="10">
        <f t="shared" si="55"/>
        <v>0</v>
      </c>
      <c r="O247" s="10">
        <f t="shared" si="56"/>
        <v>42.11</v>
      </c>
      <c r="P247" s="11">
        <f t="shared" si="57"/>
        <v>0.20882717579965288</v>
      </c>
      <c r="Q247" s="10">
        <f t="shared" si="58"/>
        <v>201.64999999999998</v>
      </c>
      <c r="R247" s="10">
        <f t="shared" si="59"/>
        <v>1492.0039999999997</v>
      </c>
      <c r="S247" s="10">
        <f t="shared" si="60"/>
        <v>311.57098160178521</v>
      </c>
      <c r="T247" s="9" t="s">
        <v>76</v>
      </c>
      <c r="U247" s="10">
        <v>3214</v>
      </c>
      <c r="V247" s="10">
        <f t="shared" si="61"/>
        <v>2249.7999999999997</v>
      </c>
      <c r="W247" s="166">
        <v>490110</v>
      </c>
      <c r="X247" s="12" t="s">
        <v>26</v>
      </c>
      <c r="Y247" s="12">
        <f t="shared" si="62"/>
        <v>311.57098160178521</v>
      </c>
      <c r="Z247" s="13">
        <f t="shared" si="63"/>
        <v>311.57098160178521</v>
      </c>
      <c r="AA247" s="13">
        <f t="shared" si="64"/>
        <v>311.57098160178521</v>
      </c>
      <c r="AB247" s="13">
        <f t="shared" si="65"/>
        <v>42.11</v>
      </c>
      <c r="AC247" s="13">
        <f t="shared" si="66"/>
        <v>269.46098160178519</v>
      </c>
      <c r="AD247" s="14">
        <f t="shared" si="67"/>
        <v>0.86484620684663038</v>
      </c>
      <c r="AE247" s="14">
        <f t="shared" si="68"/>
        <v>6.3989784279692516</v>
      </c>
      <c r="AF247" s="13" t="str">
        <f>IF(AD247&gt;=Assumptions!$B$3,"OK","Review")</f>
        <v>OK</v>
      </c>
      <c r="AG247" s="13">
        <f>IFERROR(IF(Assumptions!$B$13="Cost Price",AB247,AA247)*SUMIF(Assumptions!$A$6:$A$10,X247,Assumptions!$B$6:$B$10),0)</f>
        <v>24.925678528142818</v>
      </c>
      <c r="AH247" s="13">
        <f>IFERROR(IF(Assumptions!$B$13="Cost Price",AB247,AA247)*SUMIF(Assumptions!$A$6:$A$10,X247,Assumptions!$C$6:$C$10),0)</f>
        <v>15.57854908008926</v>
      </c>
      <c r="AI247" s="13">
        <f>IFERROR(IF(Assumptions!$B$13="Cost Price",AB247,AA247)*SUMIF(Assumptions!$A$6:$A$10,X247,Assumptions!$D$6:$D$10),0)</f>
        <v>31.157098160178521</v>
      </c>
      <c r="AJ247" s="13">
        <v>51.29221445078106</v>
      </c>
      <c r="AK247" s="13">
        <f t="shared" si="69"/>
        <v>122.95354021919165</v>
      </c>
      <c r="AL247" s="14">
        <v>0.33</v>
      </c>
      <c r="AM247" s="13">
        <f t="shared" si="70"/>
        <v>146.50744138259353</v>
      </c>
      <c r="AN247" s="14">
        <f t="shared" si="71"/>
        <v>0.47022171522328343</v>
      </c>
      <c r="AO247" t="str">
        <f>IF(AN247&gt;=Assumptions!$B$3,"OK","Review")</f>
        <v>OK</v>
      </c>
    </row>
    <row r="248" spans="1:41" ht="15" customHeight="1">
      <c r="A248" s="9" t="s">
        <v>242</v>
      </c>
      <c r="B248" s="9" t="s">
        <v>43</v>
      </c>
      <c r="C248" s="9" t="s">
        <v>205</v>
      </c>
      <c r="D248" s="9" t="s">
        <v>210</v>
      </c>
      <c r="E248" s="9" t="s">
        <v>73</v>
      </c>
      <c r="F248" s="9" t="s">
        <v>74</v>
      </c>
      <c r="G248" s="9" t="s">
        <v>24</v>
      </c>
      <c r="H248" s="9" t="s">
        <v>84</v>
      </c>
      <c r="I248" s="9">
        <v>4000011874</v>
      </c>
      <c r="J248" s="10">
        <v>44.38</v>
      </c>
      <c r="K248" s="10"/>
      <c r="L248" s="10">
        <f t="shared" si="54"/>
        <v>44.38</v>
      </c>
      <c r="M248" s="11">
        <v>0</v>
      </c>
      <c r="N248" s="10">
        <f t="shared" si="55"/>
        <v>0</v>
      </c>
      <c r="O248" s="10">
        <f t="shared" si="56"/>
        <v>44.38</v>
      </c>
      <c r="P248" s="11">
        <f t="shared" si="57"/>
        <v>0.22008430448797425</v>
      </c>
      <c r="Q248" s="10">
        <f t="shared" si="58"/>
        <v>201.64999999999998</v>
      </c>
      <c r="R248" s="10">
        <f t="shared" si="59"/>
        <v>1492.0039999999997</v>
      </c>
      <c r="S248" s="10">
        <f t="shared" si="60"/>
        <v>328.36666263327544</v>
      </c>
      <c r="T248" s="9" t="s">
        <v>76</v>
      </c>
      <c r="U248" s="10">
        <v>3214</v>
      </c>
      <c r="V248" s="10">
        <f t="shared" si="61"/>
        <v>2249.7999999999997</v>
      </c>
      <c r="W248" s="166">
        <v>490110</v>
      </c>
      <c r="X248" s="12" t="s">
        <v>26</v>
      </c>
      <c r="Y248" s="12">
        <f t="shared" si="62"/>
        <v>328.36666263327544</v>
      </c>
      <c r="Z248" s="13">
        <f t="shared" si="63"/>
        <v>328.36666263327544</v>
      </c>
      <c r="AA248" s="13">
        <f t="shared" si="64"/>
        <v>328.36666263327544</v>
      </c>
      <c r="AB248" s="13">
        <f t="shared" si="65"/>
        <v>44.38</v>
      </c>
      <c r="AC248" s="13">
        <f t="shared" si="66"/>
        <v>283.98666263327544</v>
      </c>
      <c r="AD248" s="14">
        <f t="shared" si="67"/>
        <v>0.86484620684663038</v>
      </c>
      <c r="AE248" s="14">
        <f t="shared" si="68"/>
        <v>6.3989784279692525</v>
      </c>
      <c r="AF248" s="13" t="str">
        <f>IF(AD248&gt;=Assumptions!$B$3,"OK","Review")</f>
        <v>OK</v>
      </c>
      <c r="AG248" s="13">
        <f>IFERROR(IF(Assumptions!$B$13="Cost Price",AB248,AA248)*SUMIF(Assumptions!$A$6:$A$10,X248,Assumptions!$B$6:$B$10),0)</f>
        <v>26.269333010662034</v>
      </c>
      <c r="AH248" s="13">
        <f>IFERROR(IF(Assumptions!$B$13="Cost Price",AB248,AA248)*SUMIF(Assumptions!$A$6:$A$10,X248,Assumptions!$C$6:$C$10),0)</f>
        <v>16.418333131663772</v>
      </c>
      <c r="AI248" s="13">
        <f>IFERROR(IF(Assumptions!$B$13="Cost Price",AB248,AA248)*SUMIF(Assumptions!$A$6:$A$10,X248,Assumptions!$D$6:$D$10),0)</f>
        <v>32.836666263327544</v>
      </c>
      <c r="AJ248" s="13">
        <v>54.057194902058029</v>
      </c>
      <c r="AK248" s="13">
        <f t="shared" si="69"/>
        <v>129.58152730771138</v>
      </c>
      <c r="AL248" s="14">
        <v>0.33</v>
      </c>
      <c r="AM248" s="13">
        <f t="shared" si="70"/>
        <v>154.40513532556406</v>
      </c>
      <c r="AN248" s="14">
        <f t="shared" si="71"/>
        <v>0.47022171522328354</v>
      </c>
      <c r="AO248" t="str">
        <f>IF(AN248&gt;=Assumptions!$B$3,"OK","Review")</f>
        <v>OK</v>
      </c>
    </row>
    <row r="249" spans="1:41" ht="15" customHeight="1">
      <c r="A249" s="9" t="s">
        <v>242</v>
      </c>
      <c r="B249" s="9" t="s">
        <v>43</v>
      </c>
      <c r="C249" s="9" t="s">
        <v>243</v>
      </c>
      <c r="D249" s="9" t="s">
        <v>252</v>
      </c>
      <c r="E249" s="9" t="s">
        <v>73</v>
      </c>
      <c r="F249" s="9" t="s">
        <v>90</v>
      </c>
      <c r="G249" s="9" t="s">
        <v>24</v>
      </c>
      <c r="H249" s="9" t="s">
        <v>75</v>
      </c>
      <c r="I249" s="9">
        <v>7000001010</v>
      </c>
      <c r="J249" s="10">
        <v>215.1</v>
      </c>
      <c r="K249" s="10">
        <v>10</v>
      </c>
      <c r="L249" s="10">
        <f t="shared" si="54"/>
        <v>225.1</v>
      </c>
      <c r="M249" s="11">
        <v>0.18</v>
      </c>
      <c r="N249" s="10">
        <f t="shared" si="55"/>
        <v>40.518000000000001</v>
      </c>
      <c r="O249" s="10">
        <f t="shared" si="56"/>
        <v>265.61799999999999</v>
      </c>
      <c r="P249" s="11">
        <f t="shared" si="57"/>
        <v>0.70102771722204915</v>
      </c>
      <c r="Q249" s="10">
        <f t="shared" si="58"/>
        <v>378.89800000000002</v>
      </c>
      <c r="R249" s="10">
        <f t="shared" si="59"/>
        <v>1492.0039999999997</v>
      </c>
      <c r="S249" s="10">
        <f t="shared" si="60"/>
        <v>265.61799999999999</v>
      </c>
      <c r="T249" s="9" t="s">
        <v>91</v>
      </c>
      <c r="U249" s="10">
        <v>3214</v>
      </c>
      <c r="V249" s="10">
        <f t="shared" si="61"/>
        <v>2249.7999999999997</v>
      </c>
      <c r="W249" s="166">
        <v>49119990</v>
      </c>
      <c r="X249" s="12" t="s">
        <v>26</v>
      </c>
      <c r="Y249" s="12">
        <f t="shared" si="62"/>
        <v>265.61799999999999</v>
      </c>
      <c r="Z249" s="13">
        <f t="shared" si="63"/>
        <v>265.61799999999999</v>
      </c>
      <c r="AA249" s="13">
        <f t="shared" si="64"/>
        <v>225.1</v>
      </c>
      <c r="AB249" s="13">
        <f t="shared" si="65"/>
        <v>215.1</v>
      </c>
      <c r="AC249" s="13">
        <f t="shared" si="66"/>
        <v>10</v>
      </c>
      <c r="AD249" s="14">
        <f t="shared" si="67"/>
        <v>4.4424700133274105E-2</v>
      </c>
      <c r="AE249" s="14">
        <f t="shared" si="68"/>
        <v>4.6490004649000466E-2</v>
      </c>
      <c r="AF249" s="13" t="str">
        <f>IF(AD249&gt;=Assumptions!$B$3,"OK","Review")</f>
        <v>Review</v>
      </c>
      <c r="AG249" s="13">
        <f>IFERROR(IF(Assumptions!$B$13="Cost Price",AB249,AA249)*SUMIF(Assumptions!$A$6:$A$10,X249,Assumptions!$B$6:$B$10),0)</f>
        <v>18.007999999999999</v>
      </c>
      <c r="AH249" s="13">
        <f>IFERROR(IF(Assumptions!$B$13="Cost Price",AB249,AA249)*SUMIF(Assumptions!$A$6:$A$10,X249,Assumptions!$C$6:$C$10),0)</f>
        <v>11.255000000000001</v>
      </c>
      <c r="AI249" s="13">
        <f>IFERROR(IF(Assumptions!$B$13="Cost Price",AB249,AA249)*SUMIF(Assumptions!$A$6:$A$10,X249,Assumptions!$D$6:$D$10),0)</f>
        <v>22.51</v>
      </c>
      <c r="AJ249" s="13">
        <v>22.51</v>
      </c>
      <c r="AK249" s="13">
        <f t="shared" si="69"/>
        <v>74.283000000000001</v>
      </c>
      <c r="AL249" s="14">
        <v>0.33</v>
      </c>
      <c r="AM249" s="13">
        <f t="shared" si="70"/>
        <v>-64.283000000000001</v>
      </c>
      <c r="AN249" s="14">
        <f t="shared" si="71"/>
        <v>-0.28557529986672592</v>
      </c>
      <c r="AO249" t="str">
        <f>IF(AN249&gt;=Assumptions!$B$3,"OK","Review")</f>
        <v>Review</v>
      </c>
    </row>
    <row r="250" spans="1:41" ht="15" customHeight="1">
      <c r="A250" s="9" t="s">
        <v>242</v>
      </c>
      <c r="B250" s="9" t="s">
        <v>43</v>
      </c>
      <c r="C250" s="9" t="s">
        <v>92</v>
      </c>
      <c r="D250" s="9" t="s">
        <v>93</v>
      </c>
      <c r="E250" s="9" t="s">
        <v>73</v>
      </c>
      <c r="F250" s="9" t="s">
        <v>94</v>
      </c>
      <c r="G250" s="9" t="s">
        <v>24</v>
      </c>
      <c r="H250" s="9" t="s">
        <v>75</v>
      </c>
      <c r="I250" s="9">
        <v>8400007</v>
      </c>
      <c r="J250" s="10">
        <v>96</v>
      </c>
      <c r="K250" s="10"/>
      <c r="L250" s="10">
        <f t="shared" si="54"/>
        <v>96</v>
      </c>
      <c r="M250" s="11">
        <v>0.18</v>
      </c>
      <c r="N250" s="10">
        <f t="shared" si="55"/>
        <v>17.28</v>
      </c>
      <c r="O250" s="10">
        <f t="shared" si="56"/>
        <v>113.28</v>
      </c>
      <c r="P250" s="11">
        <f t="shared" si="57"/>
        <v>0.29897228277795079</v>
      </c>
      <c r="Q250" s="10">
        <f t="shared" si="58"/>
        <v>378.89800000000002</v>
      </c>
      <c r="R250" s="10">
        <f t="shared" si="59"/>
        <v>1492.0039999999997</v>
      </c>
      <c r="S250" s="10">
        <f t="shared" si="60"/>
        <v>113.28</v>
      </c>
      <c r="T250" s="9" t="s">
        <v>91</v>
      </c>
      <c r="U250" s="10">
        <v>3214</v>
      </c>
      <c r="V250" s="10">
        <f t="shared" si="61"/>
        <v>2249.7999999999997</v>
      </c>
      <c r="W250" s="166">
        <v>999299</v>
      </c>
      <c r="X250" s="12" t="s">
        <v>26</v>
      </c>
      <c r="Y250" s="12">
        <f t="shared" si="62"/>
        <v>113.28</v>
      </c>
      <c r="Z250" s="13">
        <f t="shared" si="63"/>
        <v>113.28</v>
      </c>
      <c r="AA250" s="13">
        <f t="shared" si="64"/>
        <v>96</v>
      </c>
      <c r="AB250" s="13">
        <f t="shared" si="65"/>
        <v>96</v>
      </c>
      <c r="AC250" s="13">
        <f t="shared" si="66"/>
        <v>0</v>
      </c>
      <c r="AD250" s="14">
        <f t="shared" si="67"/>
        <v>0</v>
      </c>
      <c r="AE250" s="14">
        <f t="shared" si="68"/>
        <v>0</v>
      </c>
      <c r="AF250" s="13" t="str">
        <f>IF(AD250&gt;=Assumptions!$B$3,"OK","Review")</f>
        <v>Review</v>
      </c>
      <c r="AG250" s="13">
        <f>IFERROR(IF(Assumptions!$B$13="Cost Price",AB250,AA250)*SUMIF(Assumptions!$A$6:$A$10,X250,Assumptions!$B$6:$B$10),0)</f>
        <v>7.68</v>
      </c>
      <c r="AH250" s="13">
        <f>IFERROR(IF(Assumptions!$B$13="Cost Price",AB250,AA250)*SUMIF(Assumptions!$A$6:$A$10,X250,Assumptions!$C$6:$C$10),0)</f>
        <v>4.8000000000000007</v>
      </c>
      <c r="AI250" s="13">
        <f>IFERROR(IF(Assumptions!$B$13="Cost Price",AB250,AA250)*SUMIF(Assumptions!$A$6:$A$10,X250,Assumptions!$D$6:$D$10),0)</f>
        <v>9.6000000000000014</v>
      </c>
      <c r="AJ250" s="13">
        <v>9.6000000000000014</v>
      </c>
      <c r="AK250" s="13">
        <f t="shared" si="69"/>
        <v>31.680000000000003</v>
      </c>
      <c r="AL250" s="14">
        <v>0.33</v>
      </c>
      <c r="AM250" s="13">
        <f t="shared" si="70"/>
        <v>-31.680000000000003</v>
      </c>
      <c r="AN250" s="14">
        <f t="shared" si="71"/>
        <v>-0.33</v>
      </c>
      <c r="AO250" t="str">
        <f>IF(AN250&gt;=Assumptions!$B$3,"OK","Review")</f>
        <v>Review</v>
      </c>
    </row>
    <row r="251" spans="1:41" ht="15" customHeight="1">
      <c r="A251" s="9" t="s">
        <v>242</v>
      </c>
      <c r="B251" s="9" t="s">
        <v>44</v>
      </c>
      <c r="C251" s="9" t="s">
        <v>213</v>
      </c>
      <c r="D251" s="9" t="s">
        <v>214</v>
      </c>
      <c r="E251" s="9" t="s">
        <v>73</v>
      </c>
      <c r="F251" s="9" t="s">
        <v>74</v>
      </c>
      <c r="G251" s="9" t="s">
        <v>24</v>
      </c>
      <c r="H251" s="9" t="s">
        <v>75</v>
      </c>
      <c r="I251" s="9">
        <v>4000011876</v>
      </c>
      <c r="J251" s="10">
        <v>40.57</v>
      </c>
      <c r="K251" s="10"/>
      <c r="L251" s="10">
        <f t="shared" si="54"/>
        <v>40.57</v>
      </c>
      <c r="M251" s="11">
        <v>0</v>
      </c>
      <c r="N251" s="10">
        <f t="shared" si="55"/>
        <v>0</v>
      </c>
      <c r="O251" s="10">
        <f t="shared" si="56"/>
        <v>40.57</v>
      </c>
      <c r="P251" s="11">
        <f t="shared" si="57"/>
        <v>0.16678314491264132</v>
      </c>
      <c r="Q251" s="10">
        <f t="shared" si="58"/>
        <v>243.25</v>
      </c>
      <c r="R251" s="10">
        <f t="shared" si="59"/>
        <v>1578.0920000000001</v>
      </c>
      <c r="S251" s="10">
        <f t="shared" si="60"/>
        <v>263.19914672147996</v>
      </c>
      <c r="T251" s="9" t="s">
        <v>76</v>
      </c>
      <c r="U251" s="10">
        <v>3250</v>
      </c>
      <c r="V251" s="10">
        <f t="shared" si="61"/>
        <v>2275</v>
      </c>
      <c r="W251" s="166">
        <v>490110</v>
      </c>
      <c r="X251" s="12" t="s">
        <v>26</v>
      </c>
      <c r="Y251" s="12">
        <f t="shared" si="62"/>
        <v>263.19914672147996</v>
      </c>
      <c r="Z251" s="13">
        <f t="shared" si="63"/>
        <v>263.19914672147996</v>
      </c>
      <c r="AA251" s="13">
        <f t="shared" si="64"/>
        <v>263.19914672147996</v>
      </c>
      <c r="AB251" s="13">
        <f t="shared" si="65"/>
        <v>40.57</v>
      </c>
      <c r="AC251" s="13">
        <f t="shared" si="66"/>
        <v>222.62914672147997</v>
      </c>
      <c r="AD251" s="14">
        <f t="shared" si="67"/>
        <v>0.84585816289544591</v>
      </c>
      <c r="AE251" s="14">
        <f t="shared" si="68"/>
        <v>5.4875313463514903</v>
      </c>
      <c r="AF251" s="13" t="str">
        <f>IF(AD251&gt;=Assumptions!$B$3,"OK","Review")</f>
        <v>OK</v>
      </c>
      <c r="AG251" s="13">
        <f>IFERROR(IF(Assumptions!$B$13="Cost Price",AB251,AA251)*SUMIF(Assumptions!$A$6:$A$10,X251,Assumptions!$B$6:$B$10),0)</f>
        <v>21.055931737718396</v>
      </c>
      <c r="AH251" s="13">
        <f>IFERROR(IF(Assumptions!$B$13="Cost Price",AB251,AA251)*SUMIF(Assumptions!$A$6:$A$10,X251,Assumptions!$C$6:$C$10),0)</f>
        <v>13.159957336073999</v>
      </c>
      <c r="AI251" s="13">
        <f>IFERROR(IF(Assumptions!$B$13="Cost Price",AB251,AA251)*SUMIF(Assumptions!$A$6:$A$10,X251,Assumptions!$D$6:$D$10),0)</f>
        <v>26.319914672147998</v>
      </c>
      <c r="AJ251" s="13">
        <v>42.581271301130528</v>
      </c>
      <c r="AK251" s="13">
        <f t="shared" si="69"/>
        <v>103.11707504707093</v>
      </c>
      <c r="AL251" s="14">
        <v>0.33</v>
      </c>
      <c r="AM251" s="13">
        <f t="shared" si="70"/>
        <v>119.51207167440904</v>
      </c>
      <c r="AN251" s="14">
        <f t="shared" si="71"/>
        <v>0.45407469273020834</v>
      </c>
      <c r="AO251" t="str">
        <f>IF(AN251&gt;=Assumptions!$B$3,"OK","Review")</f>
        <v>OK</v>
      </c>
    </row>
    <row r="252" spans="1:41" ht="15" customHeight="1">
      <c r="A252" s="9" t="s">
        <v>242</v>
      </c>
      <c r="B252" s="9" t="s">
        <v>44</v>
      </c>
      <c r="C252" s="9" t="s">
        <v>200</v>
      </c>
      <c r="D252" s="9" t="s">
        <v>215</v>
      </c>
      <c r="E252" s="9" t="s">
        <v>73</v>
      </c>
      <c r="F252" s="9" t="s">
        <v>74</v>
      </c>
      <c r="G252" s="9" t="s">
        <v>24</v>
      </c>
      <c r="H252" s="9" t="s">
        <v>75</v>
      </c>
      <c r="I252" s="9">
        <v>4000011820</v>
      </c>
      <c r="J252" s="10">
        <v>12.36</v>
      </c>
      <c r="K252" s="10"/>
      <c r="L252" s="10">
        <f t="shared" si="54"/>
        <v>12.36</v>
      </c>
      <c r="M252" s="11">
        <v>0</v>
      </c>
      <c r="N252" s="10">
        <f t="shared" si="55"/>
        <v>0</v>
      </c>
      <c r="O252" s="10">
        <f t="shared" si="56"/>
        <v>12.36</v>
      </c>
      <c r="P252" s="11">
        <f t="shared" si="57"/>
        <v>5.0811921891058577E-2</v>
      </c>
      <c r="Q252" s="10">
        <f t="shared" si="58"/>
        <v>243.25</v>
      </c>
      <c r="R252" s="10">
        <f t="shared" si="59"/>
        <v>1578.0920000000001</v>
      </c>
      <c r="S252" s="10">
        <f t="shared" si="60"/>
        <v>80.185887440904423</v>
      </c>
      <c r="T252" s="9" t="s">
        <v>76</v>
      </c>
      <c r="U252" s="10">
        <v>3250</v>
      </c>
      <c r="V252" s="10">
        <f t="shared" si="61"/>
        <v>2275</v>
      </c>
      <c r="W252" s="166">
        <v>490110</v>
      </c>
      <c r="X252" s="12" t="s">
        <v>26</v>
      </c>
      <c r="Y252" s="12">
        <f t="shared" si="62"/>
        <v>80.185887440904423</v>
      </c>
      <c r="Z252" s="13">
        <f t="shared" si="63"/>
        <v>80.185887440904423</v>
      </c>
      <c r="AA252" s="13">
        <f t="shared" si="64"/>
        <v>80.185887440904423</v>
      </c>
      <c r="AB252" s="13">
        <f t="shared" si="65"/>
        <v>12.36</v>
      </c>
      <c r="AC252" s="13">
        <f t="shared" si="66"/>
        <v>67.825887440904424</v>
      </c>
      <c r="AD252" s="14">
        <f t="shared" si="67"/>
        <v>0.84585816289544591</v>
      </c>
      <c r="AE252" s="14">
        <f t="shared" si="68"/>
        <v>5.4875313463514912</v>
      </c>
      <c r="AF252" s="13" t="str">
        <f>IF(AD252&gt;=Assumptions!$B$3,"OK","Review")</f>
        <v>OK</v>
      </c>
      <c r="AG252" s="13">
        <f>IFERROR(IF(Assumptions!$B$13="Cost Price",AB252,AA252)*SUMIF(Assumptions!$A$6:$A$10,X252,Assumptions!$B$6:$B$10),0)</f>
        <v>6.4148709952723539</v>
      </c>
      <c r="AH252" s="13">
        <f>IFERROR(IF(Assumptions!$B$13="Cost Price",AB252,AA252)*SUMIF(Assumptions!$A$6:$A$10,X252,Assumptions!$C$6:$C$10),0)</f>
        <v>4.009294372045221</v>
      </c>
      <c r="AI252" s="13">
        <f>IFERROR(IF(Assumptions!$B$13="Cost Price",AB252,AA252)*SUMIF(Assumptions!$A$6:$A$10,X252,Assumptions!$D$6:$D$10),0)</f>
        <v>8.018588744090442</v>
      </c>
      <c r="AJ252" s="13">
        <v>12.972751128468653</v>
      </c>
      <c r="AK252" s="13">
        <f t="shared" si="69"/>
        <v>31.415505239876666</v>
      </c>
      <c r="AL252" s="14">
        <v>0.33</v>
      </c>
      <c r="AM252" s="13">
        <f t="shared" si="70"/>
        <v>36.410382201027758</v>
      </c>
      <c r="AN252" s="14">
        <f t="shared" si="71"/>
        <v>0.45407469273020845</v>
      </c>
      <c r="AO252" t="str">
        <f>IF(AN252&gt;=Assumptions!$B$3,"OK","Review")</f>
        <v>OK</v>
      </c>
    </row>
    <row r="253" spans="1:41" ht="15" customHeight="1">
      <c r="A253" s="9" t="s">
        <v>242</v>
      </c>
      <c r="B253" s="9" t="s">
        <v>44</v>
      </c>
      <c r="C253" s="9" t="s">
        <v>205</v>
      </c>
      <c r="D253" s="9" t="s">
        <v>216</v>
      </c>
      <c r="E253" s="9" t="s">
        <v>73</v>
      </c>
      <c r="F253" s="9" t="s">
        <v>74</v>
      </c>
      <c r="G253" s="9" t="s">
        <v>24</v>
      </c>
      <c r="H253" s="9" t="s">
        <v>75</v>
      </c>
      <c r="I253" s="9">
        <v>4000011821</v>
      </c>
      <c r="J253" s="10">
        <v>46.45</v>
      </c>
      <c r="K253" s="10"/>
      <c r="L253" s="10">
        <f t="shared" si="54"/>
        <v>46.45</v>
      </c>
      <c r="M253" s="11">
        <v>0</v>
      </c>
      <c r="N253" s="10">
        <f t="shared" si="55"/>
        <v>0</v>
      </c>
      <c r="O253" s="10">
        <f t="shared" si="56"/>
        <v>46.45</v>
      </c>
      <c r="P253" s="11">
        <f t="shared" si="57"/>
        <v>0.19095580678314492</v>
      </c>
      <c r="Q253" s="10">
        <f t="shared" si="58"/>
        <v>243.25</v>
      </c>
      <c r="R253" s="10">
        <f t="shared" si="59"/>
        <v>1578.0920000000001</v>
      </c>
      <c r="S253" s="10">
        <f t="shared" si="60"/>
        <v>301.34583103802674</v>
      </c>
      <c r="T253" s="9" t="s">
        <v>76</v>
      </c>
      <c r="U253" s="10">
        <v>3250</v>
      </c>
      <c r="V253" s="10">
        <f t="shared" si="61"/>
        <v>2275</v>
      </c>
      <c r="W253" s="166">
        <v>490110</v>
      </c>
      <c r="X253" s="12" t="s">
        <v>26</v>
      </c>
      <c r="Y253" s="12">
        <f t="shared" si="62"/>
        <v>301.34583103802674</v>
      </c>
      <c r="Z253" s="13">
        <f t="shared" si="63"/>
        <v>301.34583103802674</v>
      </c>
      <c r="AA253" s="13">
        <f t="shared" si="64"/>
        <v>301.34583103802674</v>
      </c>
      <c r="AB253" s="13">
        <f t="shared" si="65"/>
        <v>46.45</v>
      </c>
      <c r="AC253" s="13">
        <f t="shared" si="66"/>
        <v>254.89583103802676</v>
      </c>
      <c r="AD253" s="14">
        <f t="shared" si="67"/>
        <v>0.84585816289544591</v>
      </c>
      <c r="AE253" s="14">
        <f t="shared" si="68"/>
        <v>5.4875313463514903</v>
      </c>
      <c r="AF253" s="13" t="str">
        <f>IF(AD253&gt;=Assumptions!$B$3,"OK","Review")</f>
        <v>OK</v>
      </c>
      <c r="AG253" s="13">
        <f>IFERROR(IF(Assumptions!$B$13="Cost Price",AB253,AA253)*SUMIF(Assumptions!$A$6:$A$10,X253,Assumptions!$B$6:$B$10),0)</f>
        <v>24.107666483042141</v>
      </c>
      <c r="AH253" s="13">
        <f>IFERROR(IF(Assumptions!$B$13="Cost Price",AB253,AA253)*SUMIF(Assumptions!$A$6:$A$10,X253,Assumptions!$C$6:$C$10),0)</f>
        <v>15.067291551901338</v>
      </c>
      <c r="AI253" s="13">
        <f>IFERROR(IF(Assumptions!$B$13="Cost Price",AB253,AA253)*SUMIF(Assumptions!$A$6:$A$10,X253,Assumptions!$D$6:$D$10),0)</f>
        <v>30.134583103802676</v>
      </c>
      <c r="AJ253" s="13">
        <v>48.752774265159303</v>
      </c>
      <c r="AK253" s="13">
        <f t="shared" si="69"/>
        <v>118.06231540390546</v>
      </c>
      <c r="AL253" s="14">
        <v>0.33</v>
      </c>
      <c r="AM253" s="13">
        <f t="shared" si="70"/>
        <v>136.83351563412128</v>
      </c>
      <c r="AN253" s="14">
        <f t="shared" si="71"/>
        <v>0.4540746927302084</v>
      </c>
      <c r="AO253" t="str">
        <f>IF(AN253&gt;=Assumptions!$B$3,"OK","Review")</f>
        <v>OK</v>
      </c>
    </row>
    <row r="254" spans="1:41" ht="15" customHeight="1">
      <c r="A254" s="9" t="s">
        <v>242</v>
      </c>
      <c r="B254" s="9" t="s">
        <v>44</v>
      </c>
      <c r="C254" s="9" t="s">
        <v>202</v>
      </c>
      <c r="D254" s="9" t="s">
        <v>218</v>
      </c>
      <c r="E254" s="9" t="s">
        <v>73</v>
      </c>
      <c r="F254" s="9" t="s">
        <v>74</v>
      </c>
      <c r="G254" s="9" t="s">
        <v>24</v>
      </c>
      <c r="H254" s="9" t="s">
        <v>75</v>
      </c>
      <c r="I254" s="9">
        <v>4000011823</v>
      </c>
      <c r="J254" s="10">
        <v>46.45</v>
      </c>
      <c r="K254" s="10"/>
      <c r="L254" s="10">
        <f t="shared" si="54"/>
        <v>46.45</v>
      </c>
      <c r="M254" s="11">
        <v>0</v>
      </c>
      <c r="N254" s="10">
        <f t="shared" si="55"/>
        <v>0</v>
      </c>
      <c r="O254" s="10">
        <f t="shared" si="56"/>
        <v>46.45</v>
      </c>
      <c r="P254" s="11">
        <f t="shared" si="57"/>
        <v>0.19095580678314492</v>
      </c>
      <c r="Q254" s="10">
        <f t="shared" si="58"/>
        <v>243.25</v>
      </c>
      <c r="R254" s="10">
        <f t="shared" si="59"/>
        <v>1578.0920000000001</v>
      </c>
      <c r="S254" s="10">
        <f t="shared" si="60"/>
        <v>301.34583103802674</v>
      </c>
      <c r="T254" s="9" t="s">
        <v>76</v>
      </c>
      <c r="U254" s="10">
        <v>3250</v>
      </c>
      <c r="V254" s="10">
        <f t="shared" si="61"/>
        <v>2275</v>
      </c>
      <c r="W254" s="166">
        <v>490110</v>
      </c>
      <c r="X254" s="12" t="s">
        <v>26</v>
      </c>
      <c r="Y254" s="12">
        <f t="shared" si="62"/>
        <v>301.34583103802674</v>
      </c>
      <c r="Z254" s="13">
        <f t="shared" si="63"/>
        <v>301.34583103802674</v>
      </c>
      <c r="AA254" s="13">
        <f t="shared" si="64"/>
        <v>301.34583103802674</v>
      </c>
      <c r="AB254" s="13">
        <f t="shared" si="65"/>
        <v>46.45</v>
      </c>
      <c r="AC254" s="13">
        <f t="shared" si="66"/>
        <v>254.89583103802676</v>
      </c>
      <c r="AD254" s="14">
        <f t="shared" si="67"/>
        <v>0.84585816289544591</v>
      </c>
      <c r="AE254" s="14">
        <f t="shared" si="68"/>
        <v>5.4875313463514903</v>
      </c>
      <c r="AF254" s="13" t="str">
        <f>IF(AD254&gt;=Assumptions!$B$3,"OK","Review")</f>
        <v>OK</v>
      </c>
      <c r="AG254" s="13">
        <f>IFERROR(IF(Assumptions!$B$13="Cost Price",AB254,AA254)*SUMIF(Assumptions!$A$6:$A$10,X254,Assumptions!$B$6:$B$10),0)</f>
        <v>24.107666483042141</v>
      </c>
      <c r="AH254" s="13">
        <f>IFERROR(IF(Assumptions!$B$13="Cost Price",AB254,AA254)*SUMIF(Assumptions!$A$6:$A$10,X254,Assumptions!$C$6:$C$10),0)</f>
        <v>15.067291551901338</v>
      </c>
      <c r="AI254" s="13">
        <f>IFERROR(IF(Assumptions!$B$13="Cost Price",AB254,AA254)*SUMIF(Assumptions!$A$6:$A$10,X254,Assumptions!$D$6:$D$10),0)</f>
        <v>30.134583103802676</v>
      </c>
      <c r="AJ254" s="13">
        <v>48.752774265159303</v>
      </c>
      <c r="AK254" s="13">
        <f t="shared" si="69"/>
        <v>118.06231540390546</v>
      </c>
      <c r="AL254" s="14">
        <v>0.33</v>
      </c>
      <c r="AM254" s="13">
        <f t="shared" si="70"/>
        <v>136.83351563412128</v>
      </c>
      <c r="AN254" s="14">
        <f t="shared" si="71"/>
        <v>0.4540746927302084</v>
      </c>
      <c r="AO254" t="str">
        <f>IF(AN254&gt;=Assumptions!$B$3,"OK","Review")</f>
        <v>OK</v>
      </c>
    </row>
    <row r="255" spans="1:41" ht="15" customHeight="1">
      <c r="A255" s="9" t="s">
        <v>242</v>
      </c>
      <c r="B255" s="9" t="s">
        <v>44</v>
      </c>
      <c r="C255" s="9" t="s">
        <v>202</v>
      </c>
      <c r="D255" s="9" t="s">
        <v>220</v>
      </c>
      <c r="E255" s="9" t="s">
        <v>73</v>
      </c>
      <c r="F255" s="9" t="s">
        <v>74</v>
      </c>
      <c r="G255" s="9" t="s">
        <v>24</v>
      </c>
      <c r="H255" s="9" t="s">
        <v>84</v>
      </c>
      <c r="I255" s="9">
        <v>4000011825</v>
      </c>
      <c r="J255" s="10">
        <v>48.71</v>
      </c>
      <c r="K255" s="10"/>
      <c r="L255" s="10">
        <f t="shared" si="54"/>
        <v>48.71</v>
      </c>
      <c r="M255" s="11">
        <v>0</v>
      </c>
      <c r="N255" s="10">
        <f t="shared" si="55"/>
        <v>0</v>
      </c>
      <c r="O255" s="10">
        <f t="shared" si="56"/>
        <v>48.71</v>
      </c>
      <c r="P255" s="11">
        <f t="shared" si="57"/>
        <v>0.20024665981500514</v>
      </c>
      <c r="Q255" s="10">
        <f t="shared" si="58"/>
        <v>243.25</v>
      </c>
      <c r="R255" s="10">
        <f t="shared" si="59"/>
        <v>1578.0920000000001</v>
      </c>
      <c r="S255" s="10">
        <f t="shared" si="60"/>
        <v>316.00765188078111</v>
      </c>
      <c r="T255" s="9" t="s">
        <v>76</v>
      </c>
      <c r="U255" s="10">
        <v>3250</v>
      </c>
      <c r="V255" s="10">
        <f t="shared" si="61"/>
        <v>2275</v>
      </c>
      <c r="W255" s="166">
        <v>490110</v>
      </c>
      <c r="X255" s="12" t="s">
        <v>26</v>
      </c>
      <c r="Y255" s="12">
        <f t="shared" si="62"/>
        <v>316.00765188078111</v>
      </c>
      <c r="Z255" s="13">
        <f t="shared" si="63"/>
        <v>316.00765188078111</v>
      </c>
      <c r="AA255" s="13">
        <f t="shared" si="64"/>
        <v>316.00765188078111</v>
      </c>
      <c r="AB255" s="13">
        <f t="shared" si="65"/>
        <v>48.71</v>
      </c>
      <c r="AC255" s="13">
        <f t="shared" si="66"/>
        <v>267.29765188078113</v>
      </c>
      <c r="AD255" s="14">
        <f t="shared" si="67"/>
        <v>0.84585816289544602</v>
      </c>
      <c r="AE255" s="14">
        <f t="shared" si="68"/>
        <v>5.4875313463514912</v>
      </c>
      <c r="AF255" s="13" t="str">
        <f>IF(AD255&gt;=Assumptions!$B$3,"OK","Review")</f>
        <v>OK</v>
      </c>
      <c r="AG255" s="13">
        <f>IFERROR(IF(Assumptions!$B$13="Cost Price",AB255,AA255)*SUMIF(Assumptions!$A$6:$A$10,X255,Assumptions!$B$6:$B$10),0)</f>
        <v>25.280612150462488</v>
      </c>
      <c r="AH255" s="13">
        <f>IFERROR(IF(Assumptions!$B$13="Cost Price",AB255,AA255)*SUMIF(Assumptions!$A$6:$A$10,X255,Assumptions!$C$6:$C$10),0)</f>
        <v>15.800382594039057</v>
      </c>
      <c r="AI255" s="13">
        <f>IFERROR(IF(Assumptions!$B$13="Cost Price",AB255,AA255)*SUMIF(Assumptions!$A$6:$A$10,X255,Assumptions!$D$6:$D$10),0)</f>
        <v>31.600765188078114</v>
      </c>
      <c r="AJ255" s="13">
        <v>51.124814520041113</v>
      </c>
      <c r="AK255" s="13">
        <f t="shared" si="69"/>
        <v>123.80657445262078</v>
      </c>
      <c r="AL255" s="14">
        <v>0.33</v>
      </c>
      <c r="AM255" s="13">
        <f t="shared" si="70"/>
        <v>143.49107742816034</v>
      </c>
      <c r="AN255" s="14">
        <f t="shared" si="71"/>
        <v>0.4540746927302084</v>
      </c>
      <c r="AO255" t="str">
        <f>IF(AN255&gt;=Assumptions!$B$3,"OK","Review")</f>
        <v>OK</v>
      </c>
    </row>
    <row r="256" spans="1:41" ht="15" customHeight="1">
      <c r="A256" s="9" t="s">
        <v>242</v>
      </c>
      <c r="B256" s="9" t="s">
        <v>44</v>
      </c>
      <c r="C256" s="9" t="s">
        <v>205</v>
      </c>
      <c r="D256" s="9" t="s">
        <v>222</v>
      </c>
      <c r="E256" s="9" t="s">
        <v>73</v>
      </c>
      <c r="F256" s="9" t="s">
        <v>74</v>
      </c>
      <c r="G256" s="9" t="s">
        <v>24</v>
      </c>
      <c r="H256" s="9" t="s">
        <v>84</v>
      </c>
      <c r="I256" s="9">
        <v>4000011828</v>
      </c>
      <c r="J256" s="10">
        <v>48.71</v>
      </c>
      <c r="K256" s="10"/>
      <c r="L256" s="10">
        <f t="shared" si="54"/>
        <v>48.71</v>
      </c>
      <c r="M256" s="11">
        <v>0</v>
      </c>
      <c r="N256" s="10">
        <f t="shared" si="55"/>
        <v>0</v>
      </c>
      <c r="O256" s="10">
        <f t="shared" si="56"/>
        <v>48.71</v>
      </c>
      <c r="P256" s="11">
        <f t="shared" si="57"/>
        <v>0.20024665981500514</v>
      </c>
      <c r="Q256" s="10">
        <f t="shared" si="58"/>
        <v>243.25</v>
      </c>
      <c r="R256" s="10">
        <f t="shared" si="59"/>
        <v>1578.0920000000001</v>
      </c>
      <c r="S256" s="10">
        <f t="shared" si="60"/>
        <v>316.00765188078111</v>
      </c>
      <c r="T256" s="9" t="s">
        <v>76</v>
      </c>
      <c r="U256" s="10">
        <v>3250</v>
      </c>
      <c r="V256" s="10">
        <f t="shared" si="61"/>
        <v>2275</v>
      </c>
      <c r="W256" s="166">
        <v>490110</v>
      </c>
      <c r="X256" s="12" t="s">
        <v>26</v>
      </c>
      <c r="Y256" s="12">
        <f t="shared" si="62"/>
        <v>316.00765188078111</v>
      </c>
      <c r="Z256" s="13">
        <f t="shared" si="63"/>
        <v>316.00765188078111</v>
      </c>
      <c r="AA256" s="13">
        <f t="shared" si="64"/>
        <v>316.00765188078111</v>
      </c>
      <c r="AB256" s="13">
        <f t="shared" si="65"/>
        <v>48.71</v>
      </c>
      <c r="AC256" s="13">
        <f t="shared" si="66"/>
        <v>267.29765188078113</v>
      </c>
      <c r="AD256" s="14">
        <f t="shared" si="67"/>
        <v>0.84585816289544602</v>
      </c>
      <c r="AE256" s="14">
        <f t="shared" si="68"/>
        <v>5.4875313463514912</v>
      </c>
      <c r="AF256" s="13" t="str">
        <f>IF(AD256&gt;=Assumptions!$B$3,"OK","Review")</f>
        <v>OK</v>
      </c>
      <c r="AG256" s="13">
        <f>IFERROR(IF(Assumptions!$B$13="Cost Price",AB256,AA256)*SUMIF(Assumptions!$A$6:$A$10,X256,Assumptions!$B$6:$B$10),0)</f>
        <v>25.280612150462488</v>
      </c>
      <c r="AH256" s="13">
        <f>IFERROR(IF(Assumptions!$B$13="Cost Price",AB256,AA256)*SUMIF(Assumptions!$A$6:$A$10,X256,Assumptions!$C$6:$C$10),0)</f>
        <v>15.800382594039057</v>
      </c>
      <c r="AI256" s="13">
        <f>IFERROR(IF(Assumptions!$B$13="Cost Price",AB256,AA256)*SUMIF(Assumptions!$A$6:$A$10,X256,Assumptions!$D$6:$D$10),0)</f>
        <v>31.600765188078114</v>
      </c>
      <c r="AJ256" s="13">
        <v>51.124814520041113</v>
      </c>
      <c r="AK256" s="13">
        <f t="shared" si="69"/>
        <v>123.80657445262078</v>
      </c>
      <c r="AL256" s="14">
        <v>0.33</v>
      </c>
      <c r="AM256" s="13">
        <f t="shared" si="70"/>
        <v>143.49107742816034</v>
      </c>
      <c r="AN256" s="14">
        <f t="shared" si="71"/>
        <v>0.4540746927302084</v>
      </c>
      <c r="AO256" t="str">
        <f>IF(AN256&gt;=Assumptions!$B$3,"OK","Review")</f>
        <v>OK</v>
      </c>
    </row>
    <row r="257" spans="1:41" ht="15" customHeight="1">
      <c r="A257" s="9" t="s">
        <v>242</v>
      </c>
      <c r="B257" s="9" t="s">
        <v>44</v>
      </c>
      <c r="C257" s="9" t="s">
        <v>243</v>
      </c>
      <c r="D257" s="9" t="s">
        <v>253</v>
      </c>
      <c r="E257" s="9" t="s">
        <v>73</v>
      </c>
      <c r="F257" s="9" t="s">
        <v>90</v>
      </c>
      <c r="G257" s="9" t="s">
        <v>24</v>
      </c>
      <c r="H257" s="9" t="s">
        <v>75</v>
      </c>
      <c r="I257" s="9">
        <v>7000001009</v>
      </c>
      <c r="J257" s="10">
        <v>189.3</v>
      </c>
      <c r="K257" s="10">
        <v>10</v>
      </c>
      <c r="L257" s="10">
        <f t="shared" si="54"/>
        <v>199.3</v>
      </c>
      <c r="M257" s="11">
        <v>0.18</v>
      </c>
      <c r="N257" s="10">
        <f t="shared" si="55"/>
        <v>35.874000000000002</v>
      </c>
      <c r="O257" s="10">
        <f t="shared" si="56"/>
        <v>235.17400000000001</v>
      </c>
      <c r="P257" s="11">
        <f t="shared" si="57"/>
        <v>0.67490687436505248</v>
      </c>
      <c r="Q257" s="10">
        <f t="shared" si="58"/>
        <v>348.45400000000001</v>
      </c>
      <c r="R257" s="10">
        <f t="shared" si="59"/>
        <v>1578.0920000000001</v>
      </c>
      <c r="S257" s="10">
        <f t="shared" si="60"/>
        <v>235.17400000000001</v>
      </c>
      <c r="T257" s="9" t="s">
        <v>91</v>
      </c>
      <c r="U257" s="10">
        <v>3250</v>
      </c>
      <c r="V257" s="10">
        <f t="shared" si="61"/>
        <v>2275</v>
      </c>
      <c r="W257" s="166">
        <v>49119990</v>
      </c>
      <c r="X257" s="12" t="s">
        <v>26</v>
      </c>
      <c r="Y257" s="12">
        <f t="shared" si="62"/>
        <v>235.17400000000001</v>
      </c>
      <c r="Z257" s="13">
        <f t="shared" si="63"/>
        <v>235.17400000000001</v>
      </c>
      <c r="AA257" s="13">
        <f t="shared" si="64"/>
        <v>199.3</v>
      </c>
      <c r="AB257" s="13">
        <f t="shared" si="65"/>
        <v>189.3</v>
      </c>
      <c r="AC257" s="13">
        <f t="shared" si="66"/>
        <v>10</v>
      </c>
      <c r="AD257" s="14">
        <f t="shared" si="67"/>
        <v>5.0175614651279475E-2</v>
      </c>
      <c r="AE257" s="14">
        <f t="shared" si="68"/>
        <v>5.2826201796090856E-2</v>
      </c>
      <c r="AF257" s="13" t="str">
        <f>IF(AD257&gt;=Assumptions!$B$3,"OK","Review")</f>
        <v>Review</v>
      </c>
      <c r="AG257" s="13">
        <f>IFERROR(IF(Assumptions!$B$13="Cost Price",AB257,AA257)*SUMIF(Assumptions!$A$6:$A$10,X257,Assumptions!$B$6:$B$10),0)</f>
        <v>15.944000000000001</v>
      </c>
      <c r="AH257" s="13">
        <f>IFERROR(IF(Assumptions!$B$13="Cost Price",AB257,AA257)*SUMIF(Assumptions!$A$6:$A$10,X257,Assumptions!$C$6:$C$10),0)</f>
        <v>9.9650000000000016</v>
      </c>
      <c r="AI257" s="13">
        <f>IFERROR(IF(Assumptions!$B$13="Cost Price",AB257,AA257)*SUMIF(Assumptions!$A$6:$A$10,X257,Assumptions!$D$6:$D$10),0)</f>
        <v>19.930000000000003</v>
      </c>
      <c r="AJ257" s="13">
        <v>19.930000000000003</v>
      </c>
      <c r="AK257" s="13">
        <f t="shared" si="69"/>
        <v>65.769000000000005</v>
      </c>
      <c r="AL257" s="14">
        <v>0.33</v>
      </c>
      <c r="AM257" s="13">
        <f t="shared" si="70"/>
        <v>-55.769000000000005</v>
      </c>
      <c r="AN257" s="14">
        <f t="shared" si="71"/>
        <v>-0.27982438534872051</v>
      </c>
      <c r="AO257" t="str">
        <f>IF(AN257&gt;=Assumptions!$B$3,"OK","Review")</f>
        <v>Review</v>
      </c>
    </row>
    <row r="258" spans="1:41" ht="15" customHeight="1">
      <c r="A258" s="9" t="s">
        <v>242</v>
      </c>
      <c r="B258" s="9" t="s">
        <v>44</v>
      </c>
      <c r="C258" s="9" t="s">
        <v>92</v>
      </c>
      <c r="D258" s="9" t="s">
        <v>93</v>
      </c>
      <c r="E258" s="9" t="s">
        <v>73</v>
      </c>
      <c r="F258" s="9" t="s">
        <v>94</v>
      </c>
      <c r="G258" s="9" t="s">
        <v>24</v>
      </c>
      <c r="H258" s="9" t="s">
        <v>75</v>
      </c>
      <c r="I258" s="9">
        <v>8400007</v>
      </c>
      <c r="J258" s="10">
        <v>96</v>
      </c>
      <c r="K258" s="10"/>
      <c r="L258" s="10">
        <f t="shared" ref="L258:L321" si="72">J258+K258</f>
        <v>96</v>
      </c>
      <c r="M258" s="11">
        <v>0.18</v>
      </c>
      <c r="N258" s="10">
        <f t="shared" ref="N258:N321" si="73">M258*L258</f>
        <v>17.28</v>
      </c>
      <c r="O258" s="10">
        <f t="shared" ref="O258:O321" si="74">L258+N258</f>
        <v>113.28</v>
      </c>
      <c r="P258" s="11">
        <f t="shared" ref="P258:P321" si="75">IFERROR(O258/Q258,"")</f>
        <v>0.32509312563494752</v>
      </c>
      <c r="Q258" s="10">
        <f t="shared" ref="Q258:Q321" si="76">SUMIFS(O:O,T:T,T258,B:B,B258,A:A,A258,G:G,G258,E:E,E258)</f>
        <v>348.45400000000001</v>
      </c>
      <c r="R258" s="10">
        <f t="shared" ref="R258:R321" si="77">V258-SUMIFS(Q:Q,A:A,A258,B:B,B258,G:G,G258,E:E,E258,T:T,"Fixed Price ( Base Price with GST)")</f>
        <v>1578.0920000000001</v>
      </c>
      <c r="S258" s="10">
        <f t="shared" ref="S258:S321" si="78">IF(T258="Fixed Price ( Base Price with GST)",O258,P258*R258)</f>
        <v>113.28</v>
      </c>
      <c r="T258" s="9" t="s">
        <v>91</v>
      </c>
      <c r="U258" s="10">
        <v>3250</v>
      </c>
      <c r="V258" s="10">
        <f t="shared" ref="V258:V321" si="79">IFERROR(U258*(1-30%),0)</f>
        <v>2275</v>
      </c>
      <c r="W258" s="166">
        <v>999299</v>
      </c>
      <c r="X258" s="12" t="s">
        <v>26</v>
      </c>
      <c r="Y258" s="12">
        <f t="shared" ref="Y258:Y321" si="80">IFERROR(S258,0)</f>
        <v>113.28</v>
      </c>
      <c r="Z258" s="13">
        <f t="shared" ref="Z258:Z321" si="81">IF(ISNUMBER(S258),S258,0)</f>
        <v>113.28</v>
      </c>
      <c r="AA258" s="13">
        <f t="shared" ref="AA258:AA321" si="82">IFERROR(Z258/(1+M258),Z258)</f>
        <v>96</v>
      </c>
      <c r="AB258" s="13">
        <f t="shared" ref="AB258:AB321" si="83">IF(ISNUMBER(J258),J258,0)</f>
        <v>96</v>
      </c>
      <c r="AC258" s="13">
        <f t="shared" ref="AC258:AC321" si="84">AA258-AB258</f>
        <v>0</v>
      </c>
      <c r="AD258" s="14">
        <f t="shared" ref="AD258:AD321" si="85">IFERROR(AC258/AA258,0)</f>
        <v>0</v>
      </c>
      <c r="AE258" s="14">
        <f t="shared" ref="AE258:AE321" si="86">IFERROR(AC258/AB258,0)</f>
        <v>0</v>
      </c>
      <c r="AF258" s="13" t="str">
        <f>IF(AD258&gt;=Assumptions!$B$3,"OK","Review")</f>
        <v>Review</v>
      </c>
      <c r="AG258" s="13">
        <f>IFERROR(IF(Assumptions!$B$13="Cost Price",AB258,AA258)*SUMIF(Assumptions!$A$6:$A$10,X258,Assumptions!$B$6:$B$10),0)</f>
        <v>7.68</v>
      </c>
      <c r="AH258" s="13">
        <f>IFERROR(IF(Assumptions!$B$13="Cost Price",AB258,AA258)*SUMIF(Assumptions!$A$6:$A$10,X258,Assumptions!$C$6:$C$10),0)</f>
        <v>4.8000000000000007</v>
      </c>
      <c r="AI258" s="13">
        <f>IFERROR(IF(Assumptions!$B$13="Cost Price",AB258,AA258)*SUMIF(Assumptions!$A$6:$A$10,X258,Assumptions!$D$6:$D$10),0)</f>
        <v>9.6000000000000014</v>
      </c>
      <c r="AJ258" s="13">
        <v>9.6000000000000014</v>
      </c>
      <c r="AK258" s="13">
        <f t="shared" ref="AK258:AK321" si="87">SUM(AG258:AJ258)</f>
        <v>31.680000000000003</v>
      </c>
      <c r="AL258" s="14">
        <v>0.33</v>
      </c>
      <c r="AM258" s="13">
        <f t="shared" ref="AM258:AM321" si="88">AC258-AK258</f>
        <v>-31.680000000000003</v>
      </c>
      <c r="AN258" s="14">
        <f t="shared" ref="AN258:AN321" si="89">IFERROR(AM258/AA258,0)</f>
        <v>-0.33</v>
      </c>
      <c r="AO258" t="str">
        <f>IF(AN258&gt;=Assumptions!$B$3,"OK","Review")</f>
        <v>Review</v>
      </c>
    </row>
    <row r="259" spans="1:41" ht="15" customHeight="1">
      <c r="A259" s="9" t="s">
        <v>242</v>
      </c>
      <c r="B259" s="9" t="s">
        <v>45</v>
      </c>
      <c r="C259" s="9" t="s">
        <v>198</v>
      </c>
      <c r="D259" s="9" t="s">
        <v>225</v>
      </c>
      <c r="E259" s="9" t="s">
        <v>73</v>
      </c>
      <c r="F259" s="9" t="s">
        <v>74</v>
      </c>
      <c r="G259" s="9" t="s">
        <v>24</v>
      </c>
      <c r="H259" s="9" t="s">
        <v>75</v>
      </c>
      <c r="I259" s="9">
        <v>4000011830</v>
      </c>
      <c r="J259" s="10">
        <v>16.68</v>
      </c>
      <c r="K259" s="10"/>
      <c r="L259" s="10">
        <f t="shared" si="72"/>
        <v>16.68</v>
      </c>
      <c r="M259" s="11">
        <v>0</v>
      </c>
      <c r="N259" s="10">
        <f t="shared" si="73"/>
        <v>0</v>
      </c>
      <c r="O259" s="10">
        <f t="shared" si="74"/>
        <v>16.68</v>
      </c>
      <c r="P259" s="11">
        <f t="shared" si="75"/>
        <v>8.5376465168654339E-2</v>
      </c>
      <c r="Q259" s="10">
        <f t="shared" si="76"/>
        <v>195.37</v>
      </c>
      <c r="R259" s="10">
        <f t="shared" si="77"/>
        <v>1693.7999999999997</v>
      </c>
      <c r="S259" s="10">
        <f t="shared" si="78"/>
        <v>144.61065670266669</v>
      </c>
      <c r="T259" s="9" t="s">
        <v>76</v>
      </c>
      <c r="U259" s="10">
        <v>3389</v>
      </c>
      <c r="V259" s="10">
        <f t="shared" si="79"/>
        <v>2372.2999999999997</v>
      </c>
      <c r="W259" s="166">
        <v>490110</v>
      </c>
      <c r="X259" s="12" t="s">
        <v>26</v>
      </c>
      <c r="Y259" s="12">
        <f t="shared" si="80"/>
        <v>144.61065670266669</v>
      </c>
      <c r="Z259" s="13">
        <f t="shared" si="81"/>
        <v>144.61065670266669</v>
      </c>
      <c r="AA259" s="13">
        <f t="shared" si="82"/>
        <v>144.61065670266669</v>
      </c>
      <c r="AB259" s="13">
        <f t="shared" si="83"/>
        <v>16.68</v>
      </c>
      <c r="AC259" s="13">
        <f t="shared" si="84"/>
        <v>127.93065670266668</v>
      </c>
      <c r="AD259" s="14">
        <f t="shared" si="85"/>
        <v>0.8846558035187152</v>
      </c>
      <c r="AE259" s="14">
        <f t="shared" si="86"/>
        <v>7.6697036392486018</v>
      </c>
      <c r="AF259" s="13" t="str">
        <f>IF(AD259&gt;=Assumptions!$B$3,"OK","Review")</f>
        <v>OK</v>
      </c>
      <c r="AG259" s="13">
        <f>IFERROR(IF(Assumptions!$B$13="Cost Price",AB259,AA259)*SUMIF(Assumptions!$A$6:$A$10,X259,Assumptions!$B$6:$B$10),0)</f>
        <v>11.568852536213335</v>
      </c>
      <c r="AH259" s="13">
        <f>IFERROR(IF(Assumptions!$B$13="Cost Price",AB259,AA259)*SUMIF(Assumptions!$A$6:$A$10,X259,Assumptions!$C$6:$C$10),0)</f>
        <v>7.2305328351333351</v>
      </c>
      <c r="AI259" s="13">
        <f>IFERROR(IF(Assumptions!$B$13="Cost Price",AB259,AA259)*SUMIF(Assumptions!$A$6:$A$10,X259,Assumptions!$D$6:$D$10),0)</f>
        <v>14.46106567026667</v>
      </c>
      <c r="AJ259" s="13">
        <v>23.141290883963762</v>
      </c>
      <c r="AK259" s="13">
        <f t="shared" si="87"/>
        <v>56.401741925577099</v>
      </c>
      <c r="AL259" s="14">
        <v>0.33</v>
      </c>
      <c r="AM259" s="13">
        <f t="shared" si="88"/>
        <v>71.528914777089582</v>
      </c>
      <c r="AN259" s="14">
        <f t="shared" si="89"/>
        <v>0.49463100720273928</v>
      </c>
      <c r="AO259" t="str">
        <f>IF(AN259&gt;=Assumptions!$B$3,"OK","Review")</f>
        <v>OK</v>
      </c>
    </row>
    <row r="260" spans="1:41" ht="15" customHeight="1">
      <c r="A260" s="9" t="s">
        <v>242</v>
      </c>
      <c r="B260" s="9" t="s">
        <v>45</v>
      </c>
      <c r="C260" s="9" t="s">
        <v>200</v>
      </c>
      <c r="D260" s="9" t="s">
        <v>226</v>
      </c>
      <c r="E260" s="9" t="s">
        <v>73</v>
      </c>
      <c r="F260" s="9" t="s">
        <v>74</v>
      </c>
      <c r="G260" s="9" t="s">
        <v>24</v>
      </c>
      <c r="H260" s="9" t="s">
        <v>75</v>
      </c>
      <c r="I260" s="9">
        <v>4000011831</v>
      </c>
      <c r="J260" s="10">
        <v>14.95</v>
      </c>
      <c r="K260" s="10"/>
      <c r="L260" s="10">
        <f t="shared" si="72"/>
        <v>14.95</v>
      </c>
      <c r="M260" s="11">
        <v>0</v>
      </c>
      <c r="N260" s="10">
        <f t="shared" si="73"/>
        <v>0</v>
      </c>
      <c r="O260" s="10">
        <f t="shared" si="74"/>
        <v>14.95</v>
      </c>
      <c r="P260" s="11">
        <f t="shared" si="75"/>
        <v>7.6521472078620048E-2</v>
      </c>
      <c r="Q260" s="10">
        <f t="shared" si="76"/>
        <v>195.37</v>
      </c>
      <c r="R260" s="10">
        <f t="shared" si="77"/>
        <v>1693.7999999999997</v>
      </c>
      <c r="S260" s="10">
        <f t="shared" si="78"/>
        <v>129.61206940676661</v>
      </c>
      <c r="T260" s="9" t="s">
        <v>76</v>
      </c>
      <c r="U260" s="10">
        <v>3389</v>
      </c>
      <c r="V260" s="10">
        <f t="shared" si="79"/>
        <v>2372.2999999999997</v>
      </c>
      <c r="W260" s="166">
        <v>490110</v>
      </c>
      <c r="X260" s="12" t="s">
        <v>26</v>
      </c>
      <c r="Y260" s="12">
        <f t="shared" si="80"/>
        <v>129.61206940676661</v>
      </c>
      <c r="Z260" s="13">
        <f t="shared" si="81"/>
        <v>129.61206940676661</v>
      </c>
      <c r="AA260" s="13">
        <f t="shared" si="82"/>
        <v>129.61206940676661</v>
      </c>
      <c r="AB260" s="13">
        <f t="shared" si="83"/>
        <v>14.95</v>
      </c>
      <c r="AC260" s="13">
        <f t="shared" si="84"/>
        <v>114.66206940676661</v>
      </c>
      <c r="AD260" s="14">
        <f t="shared" si="85"/>
        <v>0.88465580351871531</v>
      </c>
      <c r="AE260" s="14">
        <f t="shared" si="86"/>
        <v>7.6697036392486027</v>
      </c>
      <c r="AF260" s="13" t="str">
        <f>IF(AD260&gt;=Assumptions!$B$3,"OK","Review")</f>
        <v>OK</v>
      </c>
      <c r="AG260" s="13">
        <f>IFERROR(IF(Assumptions!$B$13="Cost Price",AB260,AA260)*SUMIF(Assumptions!$A$6:$A$10,X260,Assumptions!$B$6:$B$10),0)</f>
        <v>10.368965552541329</v>
      </c>
      <c r="AH260" s="13">
        <f>IFERROR(IF(Assumptions!$B$13="Cost Price",AB260,AA260)*SUMIF(Assumptions!$A$6:$A$10,X260,Assumptions!$C$6:$C$10),0)</f>
        <v>6.4806034703383304</v>
      </c>
      <c r="AI260" s="13">
        <f>IFERROR(IF(Assumptions!$B$13="Cost Price",AB260,AA260)*SUMIF(Assumptions!$A$6:$A$10,X260,Assumptions!$D$6:$D$10),0)</f>
        <v>12.961206940676661</v>
      </c>
      <c r="AJ260" s="13">
        <v>20.741145006909964</v>
      </c>
      <c r="AK260" s="13">
        <f t="shared" si="87"/>
        <v>50.551920970466284</v>
      </c>
      <c r="AL260" s="14">
        <v>0.33</v>
      </c>
      <c r="AM260" s="13">
        <f t="shared" si="88"/>
        <v>64.110148436300321</v>
      </c>
      <c r="AN260" s="14">
        <f t="shared" si="89"/>
        <v>0.49463100720273928</v>
      </c>
      <c r="AO260" t="str">
        <f>IF(AN260&gt;=Assumptions!$B$3,"OK","Review")</f>
        <v>OK</v>
      </c>
    </row>
    <row r="261" spans="1:41" ht="15" customHeight="1">
      <c r="A261" s="9" t="s">
        <v>242</v>
      </c>
      <c r="B261" s="9" t="s">
        <v>45</v>
      </c>
      <c r="C261" s="9" t="s">
        <v>202</v>
      </c>
      <c r="D261" s="9" t="s">
        <v>227</v>
      </c>
      <c r="E261" s="9" t="s">
        <v>73</v>
      </c>
      <c r="F261" s="9" t="s">
        <v>74</v>
      </c>
      <c r="G261" s="9" t="s">
        <v>24</v>
      </c>
      <c r="H261" s="9" t="s">
        <v>75</v>
      </c>
      <c r="I261" s="9">
        <v>4000011832</v>
      </c>
      <c r="J261" s="10">
        <v>29.82</v>
      </c>
      <c r="K261" s="10"/>
      <c r="L261" s="10">
        <f t="shared" si="72"/>
        <v>29.82</v>
      </c>
      <c r="M261" s="11">
        <v>0</v>
      </c>
      <c r="N261" s="10">
        <f t="shared" si="73"/>
        <v>0</v>
      </c>
      <c r="O261" s="10">
        <f t="shared" si="74"/>
        <v>29.82</v>
      </c>
      <c r="P261" s="11">
        <f t="shared" si="75"/>
        <v>0.15263346470798997</v>
      </c>
      <c r="Q261" s="10">
        <f t="shared" si="76"/>
        <v>195.37</v>
      </c>
      <c r="R261" s="10">
        <f t="shared" si="77"/>
        <v>1693.7999999999997</v>
      </c>
      <c r="S261" s="10">
        <f t="shared" si="78"/>
        <v>258.53056252239338</v>
      </c>
      <c r="T261" s="9" t="s">
        <v>76</v>
      </c>
      <c r="U261" s="10">
        <v>3389</v>
      </c>
      <c r="V261" s="10">
        <f t="shared" si="79"/>
        <v>2372.2999999999997</v>
      </c>
      <c r="W261" s="166">
        <v>490110</v>
      </c>
      <c r="X261" s="12" t="s">
        <v>26</v>
      </c>
      <c r="Y261" s="12">
        <f t="shared" si="80"/>
        <v>258.53056252239338</v>
      </c>
      <c r="Z261" s="13">
        <f t="shared" si="81"/>
        <v>258.53056252239338</v>
      </c>
      <c r="AA261" s="13">
        <f t="shared" si="82"/>
        <v>258.53056252239338</v>
      </c>
      <c r="AB261" s="13">
        <f t="shared" si="83"/>
        <v>29.82</v>
      </c>
      <c r="AC261" s="13">
        <f t="shared" si="84"/>
        <v>228.71056252239339</v>
      </c>
      <c r="AD261" s="14">
        <f t="shared" si="85"/>
        <v>0.88465580351871531</v>
      </c>
      <c r="AE261" s="14">
        <f t="shared" si="86"/>
        <v>7.6697036392486044</v>
      </c>
      <c r="AF261" s="13" t="str">
        <f>IF(AD261&gt;=Assumptions!$B$3,"OK","Review")</f>
        <v>OK</v>
      </c>
      <c r="AG261" s="13">
        <f>IFERROR(IF(Assumptions!$B$13="Cost Price",AB261,AA261)*SUMIF(Assumptions!$A$6:$A$10,X261,Assumptions!$B$6:$B$10),0)</f>
        <v>20.682445001791471</v>
      </c>
      <c r="AH261" s="13">
        <f>IFERROR(IF(Assumptions!$B$13="Cost Price",AB261,AA261)*SUMIF(Assumptions!$A$6:$A$10,X261,Assumptions!$C$6:$C$10),0)</f>
        <v>12.926528126119671</v>
      </c>
      <c r="AI261" s="13">
        <f>IFERROR(IF(Assumptions!$B$13="Cost Price",AB261,AA261)*SUMIF(Assumptions!$A$6:$A$10,X261,Assumptions!$D$6:$D$10),0)</f>
        <v>25.853056252239341</v>
      </c>
      <c r="AJ261" s="13">
        <v>41.371300609100686</v>
      </c>
      <c r="AK261" s="13">
        <f t="shared" si="87"/>
        <v>100.83332998925117</v>
      </c>
      <c r="AL261" s="14">
        <v>0.33</v>
      </c>
      <c r="AM261" s="13">
        <f t="shared" si="88"/>
        <v>127.87723253314222</v>
      </c>
      <c r="AN261" s="14">
        <f t="shared" si="89"/>
        <v>0.49463100720273934</v>
      </c>
      <c r="AO261" t="str">
        <f>IF(AN261&gt;=Assumptions!$B$3,"OK","Review")</f>
        <v>OK</v>
      </c>
    </row>
    <row r="262" spans="1:41" ht="15" customHeight="1">
      <c r="A262" s="9" t="s">
        <v>242</v>
      </c>
      <c r="B262" s="9" t="s">
        <v>45</v>
      </c>
      <c r="C262" s="9" t="s">
        <v>205</v>
      </c>
      <c r="D262" s="9" t="s">
        <v>229</v>
      </c>
      <c r="E262" s="9" t="s">
        <v>73</v>
      </c>
      <c r="F262" s="9" t="s">
        <v>74</v>
      </c>
      <c r="G262" s="9" t="s">
        <v>24</v>
      </c>
      <c r="H262" s="9" t="s">
        <v>75</v>
      </c>
      <c r="I262" s="9">
        <v>4000011834</v>
      </c>
      <c r="J262" s="10">
        <v>39.03</v>
      </c>
      <c r="K262" s="10"/>
      <c r="L262" s="10">
        <f t="shared" si="72"/>
        <v>39.03</v>
      </c>
      <c r="M262" s="11">
        <v>0</v>
      </c>
      <c r="N262" s="10">
        <f t="shared" si="73"/>
        <v>0</v>
      </c>
      <c r="O262" s="10">
        <f t="shared" si="74"/>
        <v>39.03</v>
      </c>
      <c r="P262" s="11">
        <f t="shared" si="75"/>
        <v>0.19977478630291243</v>
      </c>
      <c r="Q262" s="10">
        <f t="shared" si="76"/>
        <v>195.37</v>
      </c>
      <c r="R262" s="10">
        <f t="shared" si="77"/>
        <v>1693.7999999999997</v>
      </c>
      <c r="S262" s="10">
        <f t="shared" si="78"/>
        <v>338.37853303987299</v>
      </c>
      <c r="T262" s="9" t="s">
        <v>76</v>
      </c>
      <c r="U262" s="10">
        <v>3389</v>
      </c>
      <c r="V262" s="10">
        <f t="shared" si="79"/>
        <v>2372.2999999999997</v>
      </c>
      <c r="W262" s="166">
        <v>490110</v>
      </c>
      <c r="X262" s="12" t="s">
        <v>26</v>
      </c>
      <c r="Y262" s="12">
        <f t="shared" si="80"/>
        <v>338.37853303987299</v>
      </c>
      <c r="Z262" s="13">
        <f t="shared" si="81"/>
        <v>338.37853303987299</v>
      </c>
      <c r="AA262" s="13">
        <f t="shared" si="82"/>
        <v>338.37853303987299</v>
      </c>
      <c r="AB262" s="13">
        <f t="shared" si="83"/>
        <v>39.03</v>
      </c>
      <c r="AC262" s="13">
        <f t="shared" si="84"/>
        <v>299.34853303987302</v>
      </c>
      <c r="AD262" s="14">
        <f t="shared" si="85"/>
        <v>0.88465580351871542</v>
      </c>
      <c r="AE262" s="14">
        <f t="shared" si="86"/>
        <v>7.6697036392486035</v>
      </c>
      <c r="AF262" s="13" t="str">
        <f>IF(AD262&gt;=Assumptions!$B$3,"OK","Review")</f>
        <v>OK</v>
      </c>
      <c r="AG262" s="13">
        <f>IFERROR(IF(Assumptions!$B$13="Cost Price",AB262,AA262)*SUMIF(Assumptions!$A$6:$A$10,X262,Assumptions!$B$6:$B$10),0)</f>
        <v>27.070282643189842</v>
      </c>
      <c r="AH262" s="13">
        <f>IFERROR(IF(Assumptions!$B$13="Cost Price",AB262,AA262)*SUMIF(Assumptions!$A$6:$A$10,X262,Assumptions!$C$6:$C$10),0)</f>
        <v>16.918926651993651</v>
      </c>
      <c r="AI262" s="13">
        <f>IFERROR(IF(Assumptions!$B$13="Cost Price",AB262,AA262)*SUMIF(Assumptions!$A$6:$A$10,X262,Assumptions!$D$6:$D$10),0)</f>
        <v>33.837853303987302</v>
      </c>
      <c r="AJ262" s="13">
        <v>54.148955827404421</v>
      </c>
      <c r="AK262" s="13">
        <f t="shared" si="87"/>
        <v>131.97601842657522</v>
      </c>
      <c r="AL262" s="14">
        <v>0.33</v>
      </c>
      <c r="AM262" s="13">
        <f t="shared" si="88"/>
        <v>167.3725146132978</v>
      </c>
      <c r="AN262" s="14">
        <f t="shared" si="89"/>
        <v>0.49463100720273934</v>
      </c>
      <c r="AO262" t="str">
        <f>IF(AN262&gt;=Assumptions!$B$3,"OK","Review")</f>
        <v>OK</v>
      </c>
    </row>
    <row r="263" spans="1:41" ht="15" customHeight="1">
      <c r="A263" s="9" t="s">
        <v>242</v>
      </c>
      <c r="B263" s="9" t="s">
        <v>45</v>
      </c>
      <c r="C263" s="9" t="s">
        <v>202</v>
      </c>
      <c r="D263" s="9" t="s">
        <v>231</v>
      </c>
      <c r="E263" s="9" t="s">
        <v>73</v>
      </c>
      <c r="F263" s="9" t="s">
        <v>74</v>
      </c>
      <c r="G263" s="9" t="s">
        <v>24</v>
      </c>
      <c r="H263" s="9" t="s">
        <v>84</v>
      </c>
      <c r="I263" s="9">
        <v>4000011836</v>
      </c>
      <c r="J263" s="10">
        <v>36.79</v>
      </c>
      <c r="K263" s="10"/>
      <c r="L263" s="10">
        <f t="shared" si="72"/>
        <v>36.79</v>
      </c>
      <c r="M263" s="11">
        <v>0</v>
      </c>
      <c r="N263" s="10">
        <f t="shared" si="73"/>
        <v>0</v>
      </c>
      <c r="O263" s="10">
        <f t="shared" si="74"/>
        <v>36.79</v>
      </c>
      <c r="P263" s="11">
        <f t="shared" si="75"/>
        <v>0.18830936172390847</v>
      </c>
      <c r="Q263" s="10">
        <f t="shared" si="76"/>
        <v>195.37</v>
      </c>
      <c r="R263" s="10">
        <f t="shared" si="77"/>
        <v>1693.7999999999997</v>
      </c>
      <c r="S263" s="10">
        <f t="shared" si="78"/>
        <v>318.9583968879561</v>
      </c>
      <c r="T263" s="9" t="s">
        <v>76</v>
      </c>
      <c r="U263" s="10">
        <v>3389</v>
      </c>
      <c r="V263" s="10">
        <f t="shared" si="79"/>
        <v>2372.2999999999997</v>
      </c>
      <c r="W263" s="166">
        <v>490110</v>
      </c>
      <c r="X263" s="12" t="s">
        <v>26</v>
      </c>
      <c r="Y263" s="12">
        <f t="shared" si="80"/>
        <v>318.9583968879561</v>
      </c>
      <c r="Z263" s="13">
        <f t="shared" si="81"/>
        <v>318.9583968879561</v>
      </c>
      <c r="AA263" s="13">
        <f t="shared" si="82"/>
        <v>318.9583968879561</v>
      </c>
      <c r="AB263" s="13">
        <f t="shared" si="83"/>
        <v>36.79</v>
      </c>
      <c r="AC263" s="13">
        <f t="shared" si="84"/>
        <v>282.16839688795608</v>
      </c>
      <c r="AD263" s="14">
        <f t="shared" si="85"/>
        <v>0.8846558035187152</v>
      </c>
      <c r="AE263" s="14">
        <f t="shared" si="86"/>
        <v>7.6697036392486027</v>
      </c>
      <c r="AF263" s="13" t="str">
        <f>IF(AD263&gt;=Assumptions!$B$3,"OK","Review")</f>
        <v>OK</v>
      </c>
      <c r="AG263" s="13">
        <f>IFERROR(IF(Assumptions!$B$13="Cost Price",AB263,AA263)*SUMIF(Assumptions!$A$6:$A$10,X263,Assumptions!$B$6:$B$10),0)</f>
        <v>25.516671751036487</v>
      </c>
      <c r="AH263" s="13">
        <f>IFERROR(IF(Assumptions!$B$13="Cost Price",AB263,AA263)*SUMIF(Assumptions!$A$6:$A$10,X263,Assumptions!$C$6:$C$10),0)</f>
        <v>15.947919844397806</v>
      </c>
      <c r="AI263" s="13">
        <f>IFERROR(IF(Assumptions!$B$13="Cost Price",AB263,AA263)*SUMIF(Assumptions!$A$6:$A$10,X263,Assumptions!$D$6:$D$10),0)</f>
        <v>31.895839688795611</v>
      </c>
      <c r="AJ263" s="13">
        <v>51.04125249526539</v>
      </c>
      <c r="AK263" s="13">
        <f t="shared" si="87"/>
        <v>124.4016837794953</v>
      </c>
      <c r="AL263" s="14">
        <v>0.33</v>
      </c>
      <c r="AM263" s="13">
        <f t="shared" si="88"/>
        <v>157.76671310846078</v>
      </c>
      <c r="AN263" s="14">
        <f t="shared" si="89"/>
        <v>0.49463100720273923</v>
      </c>
      <c r="AO263" t="str">
        <f>IF(AN263&gt;=Assumptions!$B$3,"OK","Review")</f>
        <v>OK</v>
      </c>
    </row>
    <row r="264" spans="1:41" ht="15" customHeight="1">
      <c r="A264" s="9" t="s">
        <v>242</v>
      </c>
      <c r="B264" s="9" t="s">
        <v>45</v>
      </c>
      <c r="C264" s="9" t="s">
        <v>205</v>
      </c>
      <c r="D264" s="9" t="s">
        <v>233</v>
      </c>
      <c r="E264" s="9" t="s">
        <v>73</v>
      </c>
      <c r="F264" s="9" t="s">
        <v>74</v>
      </c>
      <c r="G264" s="9" t="s">
        <v>24</v>
      </c>
      <c r="H264" s="9" t="s">
        <v>84</v>
      </c>
      <c r="I264" s="9">
        <v>4000011839</v>
      </c>
      <c r="J264" s="10">
        <v>58.1</v>
      </c>
      <c r="K264" s="10"/>
      <c r="L264" s="10">
        <f t="shared" si="72"/>
        <v>58.1</v>
      </c>
      <c r="M264" s="11">
        <v>0</v>
      </c>
      <c r="N264" s="10">
        <f t="shared" si="73"/>
        <v>0</v>
      </c>
      <c r="O264" s="10">
        <f t="shared" si="74"/>
        <v>58.1</v>
      </c>
      <c r="P264" s="11">
        <f t="shared" si="75"/>
        <v>0.29738445001791475</v>
      </c>
      <c r="Q264" s="10">
        <f t="shared" si="76"/>
        <v>195.37</v>
      </c>
      <c r="R264" s="10">
        <f t="shared" si="77"/>
        <v>1693.7999999999997</v>
      </c>
      <c r="S264" s="10">
        <f t="shared" si="78"/>
        <v>503.70978144034393</v>
      </c>
      <c r="T264" s="9" t="s">
        <v>76</v>
      </c>
      <c r="U264" s="10">
        <v>3389</v>
      </c>
      <c r="V264" s="10">
        <f t="shared" si="79"/>
        <v>2372.2999999999997</v>
      </c>
      <c r="W264" s="166">
        <v>490110</v>
      </c>
      <c r="X264" s="12" t="s">
        <v>26</v>
      </c>
      <c r="Y264" s="12">
        <f t="shared" si="80"/>
        <v>503.70978144034393</v>
      </c>
      <c r="Z264" s="13">
        <f t="shared" si="81"/>
        <v>503.70978144034393</v>
      </c>
      <c r="AA264" s="13">
        <f t="shared" si="82"/>
        <v>503.70978144034393</v>
      </c>
      <c r="AB264" s="13">
        <f t="shared" si="83"/>
        <v>58.1</v>
      </c>
      <c r="AC264" s="13">
        <f t="shared" si="84"/>
        <v>445.60978144034391</v>
      </c>
      <c r="AD264" s="14">
        <f t="shared" si="85"/>
        <v>0.88465580351871531</v>
      </c>
      <c r="AE264" s="14">
        <f t="shared" si="86"/>
        <v>7.6697036392486044</v>
      </c>
      <c r="AF264" s="13" t="str">
        <f>IF(AD264&gt;=Assumptions!$B$3,"OK","Review")</f>
        <v>OK</v>
      </c>
      <c r="AG264" s="13">
        <f>IFERROR(IF(Assumptions!$B$13="Cost Price",AB264,AA264)*SUMIF(Assumptions!$A$6:$A$10,X264,Assumptions!$B$6:$B$10),0)</f>
        <v>40.296782515227513</v>
      </c>
      <c r="AH264" s="13">
        <f>IFERROR(IF(Assumptions!$B$13="Cost Price",AB264,AA264)*SUMIF(Assumptions!$A$6:$A$10,X264,Assumptions!$C$6:$C$10),0)</f>
        <v>25.185489072017198</v>
      </c>
      <c r="AI264" s="13">
        <f>IFERROR(IF(Assumptions!$B$13="Cost Price",AB264,AA264)*SUMIF(Assumptions!$A$6:$A$10,X264,Assumptions!$D$6:$D$10),0)</f>
        <v>50.370978144034396</v>
      </c>
      <c r="AJ264" s="13">
        <v>80.606055177355799</v>
      </c>
      <c r="AK264" s="13">
        <f t="shared" si="87"/>
        <v>196.45930490863492</v>
      </c>
      <c r="AL264" s="14">
        <v>0.33</v>
      </c>
      <c r="AM264" s="13">
        <f t="shared" si="88"/>
        <v>249.15047653170899</v>
      </c>
      <c r="AN264" s="14">
        <f t="shared" si="89"/>
        <v>0.49463100720273928</v>
      </c>
      <c r="AO264" t="str">
        <f>IF(AN264&gt;=Assumptions!$B$3,"OK","Review")</f>
        <v>OK</v>
      </c>
    </row>
    <row r="265" spans="1:41" ht="15" customHeight="1">
      <c r="A265" s="9" t="s">
        <v>242</v>
      </c>
      <c r="B265" s="9" t="s">
        <v>45</v>
      </c>
      <c r="C265" s="9" t="s">
        <v>243</v>
      </c>
      <c r="D265" s="9" t="s">
        <v>254</v>
      </c>
      <c r="E265" s="9" t="s">
        <v>73</v>
      </c>
      <c r="F265" s="9" t="s">
        <v>90</v>
      </c>
      <c r="G265" s="9" t="s">
        <v>24</v>
      </c>
      <c r="H265" s="9" t="s">
        <v>75</v>
      </c>
      <c r="I265" s="9">
        <v>7000001011</v>
      </c>
      <c r="J265" s="10">
        <v>181.5</v>
      </c>
      <c r="K265" s="10">
        <v>10</v>
      </c>
      <c r="L265" s="10">
        <f t="shared" si="72"/>
        <v>191.5</v>
      </c>
      <c r="M265" s="11">
        <v>0.18</v>
      </c>
      <c r="N265" s="10">
        <f t="shared" si="73"/>
        <v>34.47</v>
      </c>
      <c r="O265" s="10">
        <f t="shared" si="74"/>
        <v>225.97</v>
      </c>
      <c r="P265" s="11">
        <f t="shared" si="75"/>
        <v>0.6660869565217391</v>
      </c>
      <c r="Q265" s="10">
        <f t="shared" si="76"/>
        <v>339.25</v>
      </c>
      <c r="R265" s="10">
        <f t="shared" si="77"/>
        <v>1693.7999999999997</v>
      </c>
      <c r="S265" s="10">
        <f t="shared" si="78"/>
        <v>225.97</v>
      </c>
      <c r="T265" s="9" t="s">
        <v>91</v>
      </c>
      <c r="U265" s="10">
        <v>3389</v>
      </c>
      <c r="V265" s="10">
        <f t="shared" si="79"/>
        <v>2372.2999999999997</v>
      </c>
      <c r="W265" s="166">
        <v>49119990</v>
      </c>
      <c r="X265" s="12" t="s">
        <v>26</v>
      </c>
      <c r="Y265" s="12">
        <f t="shared" si="80"/>
        <v>225.97</v>
      </c>
      <c r="Z265" s="13">
        <f t="shared" si="81"/>
        <v>225.97</v>
      </c>
      <c r="AA265" s="13">
        <f t="shared" si="82"/>
        <v>191.5</v>
      </c>
      <c r="AB265" s="13">
        <f t="shared" si="83"/>
        <v>181.5</v>
      </c>
      <c r="AC265" s="13">
        <f t="shared" si="84"/>
        <v>10</v>
      </c>
      <c r="AD265" s="14">
        <f t="shared" si="85"/>
        <v>5.2219321148825062E-2</v>
      </c>
      <c r="AE265" s="14">
        <f t="shared" si="86"/>
        <v>5.5096418732782371E-2</v>
      </c>
      <c r="AF265" s="13" t="str">
        <f>IF(AD265&gt;=Assumptions!$B$3,"OK","Review")</f>
        <v>Review</v>
      </c>
      <c r="AG265" s="13">
        <f>IFERROR(IF(Assumptions!$B$13="Cost Price",AB265,AA265)*SUMIF(Assumptions!$A$6:$A$10,X265,Assumptions!$B$6:$B$10),0)</f>
        <v>15.32</v>
      </c>
      <c r="AH265" s="13">
        <f>IFERROR(IF(Assumptions!$B$13="Cost Price",AB265,AA265)*SUMIF(Assumptions!$A$6:$A$10,X265,Assumptions!$C$6:$C$10),0)</f>
        <v>9.5750000000000011</v>
      </c>
      <c r="AI265" s="13">
        <f>IFERROR(IF(Assumptions!$B$13="Cost Price",AB265,AA265)*SUMIF(Assumptions!$A$6:$A$10,X265,Assumptions!$D$6:$D$10),0)</f>
        <v>19.150000000000002</v>
      </c>
      <c r="AJ265" s="13">
        <v>19.150000000000002</v>
      </c>
      <c r="AK265" s="13">
        <f t="shared" si="87"/>
        <v>63.195000000000007</v>
      </c>
      <c r="AL265" s="14">
        <v>0.33</v>
      </c>
      <c r="AM265" s="13">
        <f t="shared" si="88"/>
        <v>-53.195000000000007</v>
      </c>
      <c r="AN265" s="14">
        <f t="shared" si="89"/>
        <v>-0.27778067885117497</v>
      </c>
      <c r="AO265" t="str">
        <f>IF(AN265&gt;=Assumptions!$B$3,"OK","Review")</f>
        <v>Review</v>
      </c>
    </row>
    <row r="266" spans="1:41" ht="15" customHeight="1">
      <c r="A266" s="9" t="s">
        <v>242</v>
      </c>
      <c r="B266" s="9" t="s">
        <v>45</v>
      </c>
      <c r="C266" s="9" t="s">
        <v>92</v>
      </c>
      <c r="D266" s="9" t="s">
        <v>93</v>
      </c>
      <c r="E266" s="9" t="s">
        <v>73</v>
      </c>
      <c r="F266" s="9" t="s">
        <v>94</v>
      </c>
      <c r="G266" s="9" t="s">
        <v>24</v>
      </c>
      <c r="H266" s="9" t="s">
        <v>75</v>
      </c>
      <c r="I266" s="9">
        <v>8400007</v>
      </c>
      <c r="J266" s="10">
        <v>96</v>
      </c>
      <c r="K266" s="10"/>
      <c r="L266" s="10">
        <f t="shared" si="72"/>
        <v>96</v>
      </c>
      <c r="M266" s="11">
        <v>0.18</v>
      </c>
      <c r="N266" s="10">
        <f t="shared" si="73"/>
        <v>17.28</v>
      </c>
      <c r="O266" s="10">
        <f t="shared" si="74"/>
        <v>113.28</v>
      </c>
      <c r="P266" s="11">
        <f t="shared" si="75"/>
        <v>0.3339130434782609</v>
      </c>
      <c r="Q266" s="10">
        <f t="shared" si="76"/>
        <v>339.25</v>
      </c>
      <c r="R266" s="10">
        <f t="shared" si="77"/>
        <v>1693.7999999999997</v>
      </c>
      <c r="S266" s="10">
        <f t="shared" si="78"/>
        <v>113.28</v>
      </c>
      <c r="T266" s="9" t="s">
        <v>91</v>
      </c>
      <c r="U266" s="10">
        <v>3389</v>
      </c>
      <c r="V266" s="10">
        <f t="shared" si="79"/>
        <v>2372.2999999999997</v>
      </c>
      <c r="W266" s="166">
        <v>999299</v>
      </c>
      <c r="X266" s="12" t="s">
        <v>26</v>
      </c>
      <c r="Y266" s="12">
        <f t="shared" si="80"/>
        <v>113.28</v>
      </c>
      <c r="Z266" s="13">
        <f t="shared" si="81"/>
        <v>113.28</v>
      </c>
      <c r="AA266" s="13">
        <f t="shared" si="82"/>
        <v>96</v>
      </c>
      <c r="AB266" s="13">
        <f t="shared" si="83"/>
        <v>96</v>
      </c>
      <c r="AC266" s="13">
        <f t="shared" si="84"/>
        <v>0</v>
      </c>
      <c r="AD266" s="14">
        <f t="shared" si="85"/>
        <v>0</v>
      </c>
      <c r="AE266" s="14">
        <f t="shared" si="86"/>
        <v>0</v>
      </c>
      <c r="AF266" s="13" t="str">
        <f>IF(AD266&gt;=Assumptions!$B$3,"OK","Review")</f>
        <v>Review</v>
      </c>
      <c r="AG266" s="13">
        <f>IFERROR(IF(Assumptions!$B$13="Cost Price",AB266,AA266)*SUMIF(Assumptions!$A$6:$A$10,X266,Assumptions!$B$6:$B$10),0)</f>
        <v>7.68</v>
      </c>
      <c r="AH266" s="13">
        <f>IFERROR(IF(Assumptions!$B$13="Cost Price",AB266,AA266)*SUMIF(Assumptions!$A$6:$A$10,X266,Assumptions!$C$6:$C$10),0)</f>
        <v>4.8000000000000007</v>
      </c>
      <c r="AI266" s="13">
        <f>IFERROR(IF(Assumptions!$B$13="Cost Price",AB266,AA266)*SUMIF(Assumptions!$A$6:$A$10,X266,Assumptions!$D$6:$D$10),0)</f>
        <v>9.6000000000000014</v>
      </c>
      <c r="AJ266" s="13">
        <v>9.6000000000000014</v>
      </c>
      <c r="AK266" s="13">
        <f t="shared" si="87"/>
        <v>31.680000000000003</v>
      </c>
      <c r="AL266" s="14">
        <v>0.33</v>
      </c>
      <c r="AM266" s="13">
        <f t="shared" si="88"/>
        <v>-31.680000000000003</v>
      </c>
      <c r="AN266" s="14">
        <f t="shared" si="89"/>
        <v>-0.33</v>
      </c>
      <c r="AO266" t="str">
        <f>IF(AN266&gt;=Assumptions!$B$3,"OK","Review")</f>
        <v>Review</v>
      </c>
    </row>
    <row r="267" spans="1:41" ht="15" customHeight="1">
      <c r="A267" s="9" t="s">
        <v>242</v>
      </c>
      <c r="B267" s="9" t="s">
        <v>46</v>
      </c>
      <c r="C267" s="9" t="s">
        <v>200</v>
      </c>
      <c r="D267" s="9" t="s">
        <v>236</v>
      </c>
      <c r="E267" s="9" t="s">
        <v>73</v>
      </c>
      <c r="F267" s="9" t="s">
        <v>74</v>
      </c>
      <c r="G267" s="9" t="s">
        <v>24</v>
      </c>
      <c r="H267" s="9" t="s">
        <v>75</v>
      </c>
      <c r="I267" s="9">
        <v>4000011841</v>
      </c>
      <c r="J267" s="10">
        <v>31.85</v>
      </c>
      <c r="K267" s="10"/>
      <c r="L267" s="10">
        <f t="shared" si="72"/>
        <v>31.85</v>
      </c>
      <c r="M267" s="11">
        <v>0</v>
      </c>
      <c r="N267" s="10">
        <f t="shared" si="73"/>
        <v>0</v>
      </c>
      <c r="O267" s="10">
        <f t="shared" si="74"/>
        <v>31.85</v>
      </c>
      <c r="P267" s="11">
        <f t="shared" si="75"/>
        <v>9.7159940209267562E-2</v>
      </c>
      <c r="Q267" s="10">
        <f t="shared" si="76"/>
        <v>327.81</v>
      </c>
      <c r="R267" s="10">
        <f t="shared" si="77"/>
        <v>1534.7359999999999</v>
      </c>
      <c r="S267" s="10">
        <f t="shared" si="78"/>
        <v>149.11485799701046</v>
      </c>
      <c r="T267" s="9" t="s">
        <v>76</v>
      </c>
      <c r="U267" s="10">
        <v>3389</v>
      </c>
      <c r="V267" s="10">
        <f t="shared" si="79"/>
        <v>2372.2999999999997</v>
      </c>
      <c r="W267" s="166">
        <v>490110</v>
      </c>
      <c r="X267" s="12" t="s">
        <v>26</v>
      </c>
      <c r="Y267" s="12">
        <f t="shared" si="80"/>
        <v>149.11485799701046</v>
      </c>
      <c r="Z267" s="13">
        <f t="shared" si="81"/>
        <v>149.11485799701046</v>
      </c>
      <c r="AA267" s="13">
        <f t="shared" si="82"/>
        <v>149.11485799701046</v>
      </c>
      <c r="AB267" s="13">
        <f t="shared" si="83"/>
        <v>31.85</v>
      </c>
      <c r="AC267" s="13">
        <f t="shared" si="84"/>
        <v>117.26485799701047</v>
      </c>
      <c r="AD267" s="14">
        <f t="shared" si="85"/>
        <v>0.78640626140261261</v>
      </c>
      <c r="AE267" s="14">
        <f t="shared" si="86"/>
        <v>3.6817851804398889</v>
      </c>
      <c r="AF267" s="13" t="str">
        <f>IF(AD267&gt;=Assumptions!$B$3,"OK","Review")</f>
        <v>OK</v>
      </c>
      <c r="AG267" s="13">
        <f>IFERROR(IF(Assumptions!$B$13="Cost Price",AB267,AA267)*SUMIF(Assumptions!$A$6:$A$10,X267,Assumptions!$B$6:$B$10),0)</f>
        <v>11.929188639760836</v>
      </c>
      <c r="AH267" s="13">
        <f>IFERROR(IF(Assumptions!$B$13="Cost Price",AB267,AA267)*SUMIF(Assumptions!$A$6:$A$10,X267,Assumptions!$C$6:$C$10),0)</f>
        <v>7.4557428998505237</v>
      </c>
      <c r="AI267" s="13">
        <f>IFERROR(IF(Assumptions!$B$13="Cost Price",AB267,AA267)*SUMIF(Assumptions!$A$6:$A$10,X267,Assumptions!$D$6:$D$10),0)</f>
        <v>14.911485799701047</v>
      </c>
      <c r="AJ267" s="13">
        <v>24.789736920777283</v>
      </c>
      <c r="AK267" s="13">
        <f t="shared" si="87"/>
        <v>59.086154260089685</v>
      </c>
      <c r="AL267" s="14">
        <v>0.33</v>
      </c>
      <c r="AM267" s="13">
        <f t="shared" si="88"/>
        <v>58.178703736920781</v>
      </c>
      <c r="AN267" s="14">
        <f t="shared" si="89"/>
        <v>0.39016034028002211</v>
      </c>
      <c r="AO267" t="str">
        <f>IF(AN267&gt;=Assumptions!$B$3,"OK","Review")</f>
        <v>OK</v>
      </c>
    </row>
    <row r="268" spans="1:41" ht="15" customHeight="1">
      <c r="A268" s="9" t="s">
        <v>242</v>
      </c>
      <c r="B268" s="9" t="s">
        <v>46</v>
      </c>
      <c r="C268" s="9" t="s">
        <v>202</v>
      </c>
      <c r="D268" s="9" t="s">
        <v>237</v>
      </c>
      <c r="E268" s="9" t="s">
        <v>73</v>
      </c>
      <c r="F268" s="9" t="s">
        <v>74</v>
      </c>
      <c r="G268" s="9" t="s">
        <v>24</v>
      </c>
      <c r="H268" s="9" t="s">
        <v>75</v>
      </c>
      <c r="I268" s="9">
        <v>4000011842</v>
      </c>
      <c r="J268" s="10">
        <v>59.62</v>
      </c>
      <c r="K268" s="10"/>
      <c r="L268" s="10">
        <f t="shared" si="72"/>
        <v>59.62</v>
      </c>
      <c r="M268" s="11">
        <v>0</v>
      </c>
      <c r="N268" s="10">
        <f t="shared" si="73"/>
        <v>0</v>
      </c>
      <c r="O268" s="10">
        <f t="shared" si="74"/>
        <v>59.62</v>
      </c>
      <c r="P268" s="11">
        <f t="shared" si="75"/>
        <v>0.18187364631951433</v>
      </c>
      <c r="Q268" s="10">
        <f t="shared" si="76"/>
        <v>327.81</v>
      </c>
      <c r="R268" s="10">
        <f t="shared" si="77"/>
        <v>1534.7359999999999</v>
      </c>
      <c r="S268" s="10">
        <f t="shared" si="78"/>
        <v>279.12803245782612</v>
      </c>
      <c r="T268" s="9" t="s">
        <v>76</v>
      </c>
      <c r="U268" s="10">
        <v>3389</v>
      </c>
      <c r="V268" s="10">
        <f t="shared" si="79"/>
        <v>2372.2999999999997</v>
      </c>
      <c r="W268" s="166">
        <v>490110</v>
      </c>
      <c r="X268" s="12" t="s">
        <v>26</v>
      </c>
      <c r="Y268" s="12">
        <f t="shared" si="80"/>
        <v>279.12803245782612</v>
      </c>
      <c r="Z268" s="13">
        <f t="shared" si="81"/>
        <v>279.12803245782612</v>
      </c>
      <c r="AA268" s="13">
        <f t="shared" si="82"/>
        <v>279.12803245782612</v>
      </c>
      <c r="AB268" s="13">
        <f t="shared" si="83"/>
        <v>59.62</v>
      </c>
      <c r="AC268" s="13">
        <f t="shared" si="84"/>
        <v>219.50803245782612</v>
      </c>
      <c r="AD268" s="14">
        <f t="shared" si="85"/>
        <v>0.78640626140261249</v>
      </c>
      <c r="AE268" s="14">
        <f t="shared" si="86"/>
        <v>3.681785180439888</v>
      </c>
      <c r="AF268" s="13" t="str">
        <f>IF(AD268&gt;=Assumptions!$B$3,"OK","Review")</f>
        <v>OK</v>
      </c>
      <c r="AG268" s="13">
        <f>IFERROR(IF(Assumptions!$B$13="Cost Price",AB268,AA268)*SUMIF(Assumptions!$A$6:$A$10,X268,Assumptions!$B$6:$B$10),0)</f>
        <v>22.330242596626089</v>
      </c>
      <c r="AH268" s="13">
        <f>IFERROR(IF(Assumptions!$B$13="Cost Price",AB268,AA268)*SUMIF(Assumptions!$A$6:$A$10,X268,Assumptions!$C$6:$C$10),0)</f>
        <v>13.956401622891306</v>
      </c>
      <c r="AI268" s="13">
        <f>IFERROR(IF(Assumptions!$B$13="Cost Price",AB268,AA268)*SUMIF(Assumptions!$A$6:$A$10,X268,Assumptions!$D$6:$D$10),0)</f>
        <v>27.912803245782612</v>
      </c>
      <c r="AJ268" s="13">
        <v>46.403896867087639</v>
      </c>
      <c r="AK268" s="13">
        <f t="shared" si="87"/>
        <v>110.60334433238765</v>
      </c>
      <c r="AL268" s="14">
        <v>0.33</v>
      </c>
      <c r="AM268" s="13">
        <f t="shared" si="88"/>
        <v>108.90468812543847</v>
      </c>
      <c r="AN268" s="14">
        <f t="shared" si="89"/>
        <v>0.390160340280022</v>
      </c>
      <c r="AO268" t="str">
        <f>IF(AN268&gt;=Assumptions!$B$3,"OK","Review")</f>
        <v>OK</v>
      </c>
    </row>
    <row r="269" spans="1:41" ht="15" customHeight="1">
      <c r="A269" s="9" t="s">
        <v>242</v>
      </c>
      <c r="B269" s="9" t="s">
        <v>46</v>
      </c>
      <c r="C269" s="9" t="s">
        <v>205</v>
      </c>
      <c r="D269" s="9" t="s">
        <v>238</v>
      </c>
      <c r="E269" s="9" t="s">
        <v>73</v>
      </c>
      <c r="F269" s="9" t="s">
        <v>74</v>
      </c>
      <c r="G269" s="9" t="s">
        <v>24</v>
      </c>
      <c r="H269" s="9" t="s">
        <v>75</v>
      </c>
      <c r="I269" s="9">
        <v>4000011843</v>
      </c>
      <c r="J269" s="10">
        <v>83.8</v>
      </c>
      <c r="K269" s="10"/>
      <c r="L269" s="10">
        <f t="shared" si="72"/>
        <v>83.8</v>
      </c>
      <c r="M269" s="11">
        <v>0</v>
      </c>
      <c r="N269" s="10">
        <f t="shared" si="73"/>
        <v>0</v>
      </c>
      <c r="O269" s="10">
        <f t="shared" si="74"/>
        <v>83.8</v>
      </c>
      <c r="P269" s="11">
        <f t="shared" si="75"/>
        <v>0.25563588664165215</v>
      </c>
      <c r="Q269" s="10">
        <f t="shared" si="76"/>
        <v>327.81</v>
      </c>
      <c r="R269" s="10">
        <f t="shared" si="77"/>
        <v>1534.7359999999999</v>
      </c>
      <c r="S269" s="10">
        <f t="shared" si="78"/>
        <v>392.33359812086263</v>
      </c>
      <c r="T269" s="9" t="s">
        <v>76</v>
      </c>
      <c r="U269" s="10">
        <v>3389</v>
      </c>
      <c r="V269" s="10">
        <f t="shared" si="79"/>
        <v>2372.2999999999997</v>
      </c>
      <c r="W269" s="166">
        <v>490110</v>
      </c>
      <c r="X269" s="12" t="s">
        <v>26</v>
      </c>
      <c r="Y269" s="12">
        <f t="shared" si="80"/>
        <v>392.33359812086263</v>
      </c>
      <c r="Z269" s="13">
        <f t="shared" si="81"/>
        <v>392.33359812086263</v>
      </c>
      <c r="AA269" s="13">
        <f t="shared" si="82"/>
        <v>392.33359812086263</v>
      </c>
      <c r="AB269" s="13">
        <f t="shared" si="83"/>
        <v>83.8</v>
      </c>
      <c r="AC269" s="13">
        <f t="shared" si="84"/>
        <v>308.53359812086262</v>
      </c>
      <c r="AD269" s="14">
        <f t="shared" si="85"/>
        <v>0.78640626140261249</v>
      </c>
      <c r="AE269" s="14">
        <f t="shared" si="86"/>
        <v>3.681785180439888</v>
      </c>
      <c r="AF269" s="13" t="str">
        <f>IF(AD269&gt;=Assumptions!$B$3,"OK","Review")</f>
        <v>OK</v>
      </c>
      <c r="AG269" s="13">
        <f>IFERROR(IF(Assumptions!$B$13="Cost Price",AB269,AA269)*SUMIF(Assumptions!$A$6:$A$10,X269,Assumptions!$B$6:$B$10),0)</f>
        <v>31.386687849669013</v>
      </c>
      <c r="AH269" s="13">
        <f>IFERROR(IF(Assumptions!$B$13="Cost Price",AB269,AA269)*SUMIF(Assumptions!$A$6:$A$10,X269,Assumptions!$C$6:$C$10),0)</f>
        <v>19.616679906043132</v>
      </c>
      <c r="AI269" s="13">
        <f>IFERROR(IF(Assumptions!$B$13="Cost Price",AB269,AA269)*SUMIF(Assumptions!$A$6:$A$10,X269,Assumptions!$D$6:$D$10),0)</f>
        <v>39.233359812086263</v>
      </c>
      <c r="AJ269" s="13">
        <v>65.223860406943047</v>
      </c>
      <c r="AK269" s="13">
        <f t="shared" si="87"/>
        <v>155.46058797474146</v>
      </c>
      <c r="AL269" s="14">
        <v>0.33</v>
      </c>
      <c r="AM269" s="13">
        <f t="shared" si="88"/>
        <v>153.07301014612116</v>
      </c>
      <c r="AN269" s="14">
        <f t="shared" si="89"/>
        <v>0.390160340280022</v>
      </c>
      <c r="AO269" t="str">
        <f>IF(AN269&gt;=Assumptions!$B$3,"OK","Review")</f>
        <v>OK</v>
      </c>
    </row>
    <row r="270" spans="1:41" ht="15" customHeight="1">
      <c r="A270" s="9" t="s">
        <v>242</v>
      </c>
      <c r="B270" s="9" t="s">
        <v>46</v>
      </c>
      <c r="C270" s="9" t="s">
        <v>202</v>
      </c>
      <c r="D270" s="9" t="s">
        <v>239</v>
      </c>
      <c r="E270" s="9" t="s">
        <v>73</v>
      </c>
      <c r="F270" s="9" t="s">
        <v>74</v>
      </c>
      <c r="G270" s="9" t="s">
        <v>24</v>
      </c>
      <c r="H270" s="9" t="s">
        <v>84</v>
      </c>
      <c r="I270" s="9">
        <v>4000011844</v>
      </c>
      <c r="J270" s="10">
        <v>59.62</v>
      </c>
      <c r="K270" s="10"/>
      <c r="L270" s="10">
        <f t="shared" si="72"/>
        <v>59.62</v>
      </c>
      <c r="M270" s="11">
        <v>0</v>
      </c>
      <c r="N270" s="10">
        <f t="shared" si="73"/>
        <v>0</v>
      </c>
      <c r="O270" s="10">
        <f t="shared" si="74"/>
        <v>59.62</v>
      </c>
      <c r="P270" s="11">
        <f t="shared" si="75"/>
        <v>0.18187364631951433</v>
      </c>
      <c r="Q270" s="10">
        <f t="shared" si="76"/>
        <v>327.81</v>
      </c>
      <c r="R270" s="10">
        <f t="shared" si="77"/>
        <v>1534.7359999999999</v>
      </c>
      <c r="S270" s="10">
        <f t="shared" si="78"/>
        <v>279.12803245782612</v>
      </c>
      <c r="T270" s="9" t="s">
        <v>76</v>
      </c>
      <c r="U270" s="10">
        <v>3389</v>
      </c>
      <c r="V270" s="10">
        <f t="shared" si="79"/>
        <v>2372.2999999999997</v>
      </c>
      <c r="W270" s="166">
        <v>490110</v>
      </c>
      <c r="X270" s="12" t="s">
        <v>26</v>
      </c>
      <c r="Y270" s="12">
        <f t="shared" si="80"/>
        <v>279.12803245782612</v>
      </c>
      <c r="Z270" s="13">
        <f t="shared" si="81"/>
        <v>279.12803245782612</v>
      </c>
      <c r="AA270" s="13">
        <f t="shared" si="82"/>
        <v>279.12803245782612</v>
      </c>
      <c r="AB270" s="13">
        <f t="shared" si="83"/>
        <v>59.62</v>
      </c>
      <c r="AC270" s="13">
        <f t="shared" si="84"/>
        <v>219.50803245782612</v>
      </c>
      <c r="AD270" s="14">
        <f t="shared" si="85"/>
        <v>0.78640626140261249</v>
      </c>
      <c r="AE270" s="14">
        <f t="shared" si="86"/>
        <v>3.681785180439888</v>
      </c>
      <c r="AF270" s="13" t="str">
        <f>IF(AD270&gt;=Assumptions!$B$3,"OK","Review")</f>
        <v>OK</v>
      </c>
      <c r="AG270" s="13">
        <f>IFERROR(IF(Assumptions!$B$13="Cost Price",AB270,AA270)*SUMIF(Assumptions!$A$6:$A$10,X270,Assumptions!$B$6:$B$10),0)</f>
        <v>22.330242596626089</v>
      </c>
      <c r="AH270" s="13">
        <f>IFERROR(IF(Assumptions!$B$13="Cost Price",AB270,AA270)*SUMIF(Assumptions!$A$6:$A$10,X270,Assumptions!$C$6:$C$10),0)</f>
        <v>13.956401622891306</v>
      </c>
      <c r="AI270" s="13">
        <f>IFERROR(IF(Assumptions!$B$13="Cost Price",AB270,AA270)*SUMIF(Assumptions!$A$6:$A$10,X270,Assumptions!$D$6:$D$10),0)</f>
        <v>27.912803245782612</v>
      </c>
      <c r="AJ270" s="13">
        <v>46.403896867087639</v>
      </c>
      <c r="AK270" s="13">
        <f t="shared" si="87"/>
        <v>110.60334433238765</v>
      </c>
      <c r="AL270" s="14">
        <v>0.33</v>
      </c>
      <c r="AM270" s="13">
        <f t="shared" si="88"/>
        <v>108.90468812543847</v>
      </c>
      <c r="AN270" s="14">
        <f t="shared" si="89"/>
        <v>0.390160340280022</v>
      </c>
      <c r="AO270" t="str">
        <f>IF(AN270&gt;=Assumptions!$B$3,"OK","Review")</f>
        <v>OK</v>
      </c>
    </row>
    <row r="271" spans="1:41" ht="15" customHeight="1">
      <c r="A271" s="9" t="s">
        <v>242</v>
      </c>
      <c r="B271" s="9" t="s">
        <v>46</v>
      </c>
      <c r="C271" s="9" t="s">
        <v>205</v>
      </c>
      <c r="D271" s="9" t="s">
        <v>240</v>
      </c>
      <c r="E271" s="9" t="s">
        <v>73</v>
      </c>
      <c r="F271" s="9" t="s">
        <v>74</v>
      </c>
      <c r="G271" s="9" t="s">
        <v>24</v>
      </c>
      <c r="H271" s="9" t="s">
        <v>84</v>
      </c>
      <c r="I271" s="9">
        <v>4000011845</v>
      </c>
      <c r="J271" s="10">
        <v>92.92</v>
      </c>
      <c r="K271" s="10"/>
      <c r="L271" s="10">
        <f t="shared" si="72"/>
        <v>92.92</v>
      </c>
      <c r="M271" s="11">
        <v>0</v>
      </c>
      <c r="N271" s="10">
        <f t="shared" si="73"/>
        <v>0</v>
      </c>
      <c r="O271" s="10">
        <f t="shared" si="74"/>
        <v>92.92</v>
      </c>
      <c r="P271" s="11">
        <f t="shared" si="75"/>
        <v>0.28345688051005158</v>
      </c>
      <c r="Q271" s="10">
        <f t="shared" si="76"/>
        <v>327.81</v>
      </c>
      <c r="R271" s="10">
        <f t="shared" si="77"/>
        <v>1534.7359999999999</v>
      </c>
      <c r="S271" s="10">
        <f t="shared" si="78"/>
        <v>435.03147896647448</v>
      </c>
      <c r="T271" s="9" t="s">
        <v>76</v>
      </c>
      <c r="U271" s="10">
        <v>3389</v>
      </c>
      <c r="V271" s="10">
        <f t="shared" si="79"/>
        <v>2372.2999999999997</v>
      </c>
      <c r="W271" s="166">
        <v>490110</v>
      </c>
      <c r="X271" s="12" t="s">
        <v>26</v>
      </c>
      <c r="Y271" s="12">
        <f t="shared" si="80"/>
        <v>435.03147896647448</v>
      </c>
      <c r="Z271" s="13">
        <f t="shared" si="81"/>
        <v>435.03147896647448</v>
      </c>
      <c r="AA271" s="13">
        <f t="shared" si="82"/>
        <v>435.03147896647448</v>
      </c>
      <c r="AB271" s="13">
        <f t="shared" si="83"/>
        <v>92.92</v>
      </c>
      <c r="AC271" s="13">
        <f t="shared" si="84"/>
        <v>342.11147896647446</v>
      </c>
      <c r="AD271" s="14">
        <f t="shared" si="85"/>
        <v>0.78640626140261249</v>
      </c>
      <c r="AE271" s="14">
        <f t="shared" si="86"/>
        <v>3.6817851804398889</v>
      </c>
      <c r="AF271" s="13" t="str">
        <f>IF(AD271&gt;=Assumptions!$B$3,"OK","Review")</f>
        <v>OK</v>
      </c>
      <c r="AG271" s="13">
        <f>IFERROR(IF(Assumptions!$B$13="Cost Price",AB271,AA271)*SUMIF(Assumptions!$A$6:$A$10,X271,Assumptions!$B$6:$B$10),0)</f>
        <v>34.802518317317961</v>
      </c>
      <c r="AH271" s="13">
        <f>IFERROR(IF(Assumptions!$B$13="Cost Price",AB271,AA271)*SUMIF(Assumptions!$A$6:$A$10,X271,Assumptions!$C$6:$C$10),0)</f>
        <v>21.751573948323724</v>
      </c>
      <c r="AI271" s="13">
        <f>IFERROR(IF(Assumptions!$B$13="Cost Price",AB271,AA271)*SUMIF(Assumptions!$A$6:$A$10,X271,Assumptions!$D$6:$D$10),0)</f>
        <v>43.503147896647448</v>
      </c>
      <c r="AJ271" s="13">
        <v>72.32220893810441</v>
      </c>
      <c r="AK271" s="13">
        <f t="shared" si="87"/>
        <v>172.37944910039354</v>
      </c>
      <c r="AL271" s="14">
        <v>0.33</v>
      </c>
      <c r="AM271" s="13">
        <f t="shared" si="88"/>
        <v>169.73202986608092</v>
      </c>
      <c r="AN271" s="14">
        <f t="shared" si="89"/>
        <v>0.390160340280022</v>
      </c>
      <c r="AO271" t="str">
        <f>IF(AN271&gt;=Assumptions!$B$3,"OK","Review")</f>
        <v>OK</v>
      </c>
    </row>
    <row r="272" spans="1:41" ht="15" customHeight="1">
      <c r="A272" s="9" t="s">
        <v>242</v>
      </c>
      <c r="B272" s="9" t="s">
        <v>46</v>
      </c>
      <c r="C272" s="9" t="s">
        <v>243</v>
      </c>
      <c r="D272" s="9" t="s">
        <v>255</v>
      </c>
      <c r="E272" s="9" t="s">
        <v>73</v>
      </c>
      <c r="F272" s="9" t="s">
        <v>90</v>
      </c>
      <c r="G272" s="9" t="s">
        <v>24</v>
      </c>
      <c r="H272" s="9" t="s">
        <v>75</v>
      </c>
      <c r="I272" s="9">
        <v>7000001012</v>
      </c>
      <c r="J272" s="10">
        <v>248.9</v>
      </c>
      <c r="K272" s="10">
        <v>10</v>
      </c>
      <c r="L272" s="10">
        <f t="shared" si="72"/>
        <v>258.89999999999998</v>
      </c>
      <c r="M272" s="11">
        <v>0.18</v>
      </c>
      <c r="N272" s="10">
        <f t="shared" si="73"/>
        <v>46.601999999999997</v>
      </c>
      <c r="O272" s="10">
        <f t="shared" si="74"/>
        <v>305.50199999999995</v>
      </c>
      <c r="P272" s="11">
        <f t="shared" si="75"/>
        <v>0.72950126796280645</v>
      </c>
      <c r="Q272" s="10">
        <f t="shared" si="76"/>
        <v>418.78199999999993</v>
      </c>
      <c r="R272" s="10">
        <f t="shared" si="77"/>
        <v>1534.7359999999999</v>
      </c>
      <c r="S272" s="10">
        <f t="shared" si="78"/>
        <v>305.50199999999995</v>
      </c>
      <c r="T272" s="9" t="s">
        <v>91</v>
      </c>
      <c r="U272" s="10">
        <v>3389</v>
      </c>
      <c r="V272" s="10">
        <f t="shared" si="79"/>
        <v>2372.2999999999997</v>
      </c>
      <c r="W272" s="166">
        <v>49119990</v>
      </c>
      <c r="X272" s="12" t="s">
        <v>26</v>
      </c>
      <c r="Y272" s="12">
        <f t="shared" si="80"/>
        <v>305.50199999999995</v>
      </c>
      <c r="Z272" s="13">
        <f t="shared" si="81"/>
        <v>305.50199999999995</v>
      </c>
      <c r="AA272" s="13">
        <f t="shared" si="82"/>
        <v>258.89999999999998</v>
      </c>
      <c r="AB272" s="13">
        <f t="shared" si="83"/>
        <v>248.9</v>
      </c>
      <c r="AC272" s="13">
        <f t="shared" si="84"/>
        <v>9.9999999999999716</v>
      </c>
      <c r="AD272" s="14">
        <f t="shared" si="85"/>
        <v>3.8624951718810245E-2</v>
      </c>
      <c r="AE272" s="14">
        <f t="shared" si="86"/>
        <v>4.0176777822418526E-2</v>
      </c>
      <c r="AF272" s="13" t="str">
        <f>IF(AD272&gt;=Assumptions!$B$3,"OK","Review")</f>
        <v>Review</v>
      </c>
      <c r="AG272" s="13">
        <f>IFERROR(IF(Assumptions!$B$13="Cost Price",AB272,AA272)*SUMIF(Assumptions!$A$6:$A$10,X272,Assumptions!$B$6:$B$10),0)</f>
        <v>20.712</v>
      </c>
      <c r="AH272" s="13">
        <f>IFERROR(IF(Assumptions!$B$13="Cost Price",AB272,AA272)*SUMIF(Assumptions!$A$6:$A$10,X272,Assumptions!$C$6:$C$10),0)</f>
        <v>12.945</v>
      </c>
      <c r="AI272" s="13">
        <f>IFERROR(IF(Assumptions!$B$13="Cost Price",AB272,AA272)*SUMIF(Assumptions!$A$6:$A$10,X272,Assumptions!$D$6:$D$10),0)</f>
        <v>25.89</v>
      </c>
      <c r="AJ272" s="13">
        <v>25.89</v>
      </c>
      <c r="AK272" s="13">
        <f t="shared" si="87"/>
        <v>85.436999999999998</v>
      </c>
      <c r="AL272" s="14">
        <v>0.33</v>
      </c>
      <c r="AM272" s="13">
        <f t="shared" si="88"/>
        <v>-75.437000000000026</v>
      </c>
      <c r="AN272" s="14">
        <f t="shared" si="89"/>
        <v>-0.29137504828118976</v>
      </c>
      <c r="AO272" t="str">
        <f>IF(AN272&gt;=Assumptions!$B$3,"OK","Review")</f>
        <v>Review</v>
      </c>
    </row>
    <row r="273" spans="1:41" ht="15" customHeight="1">
      <c r="A273" s="9" t="s">
        <v>242</v>
      </c>
      <c r="B273" s="9" t="s">
        <v>46</v>
      </c>
      <c r="C273" s="9" t="s">
        <v>92</v>
      </c>
      <c r="D273" s="9" t="s">
        <v>93</v>
      </c>
      <c r="E273" s="9" t="s">
        <v>73</v>
      </c>
      <c r="F273" s="9" t="s">
        <v>94</v>
      </c>
      <c r="G273" s="9" t="s">
        <v>24</v>
      </c>
      <c r="H273" s="9" t="s">
        <v>75</v>
      </c>
      <c r="I273" s="9">
        <v>8400007</v>
      </c>
      <c r="J273" s="10">
        <v>96</v>
      </c>
      <c r="K273" s="10"/>
      <c r="L273" s="10">
        <f t="shared" si="72"/>
        <v>96</v>
      </c>
      <c r="M273" s="11">
        <v>0.18</v>
      </c>
      <c r="N273" s="10">
        <f t="shared" si="73"/>
        <v>17.28</v>
      </c>
      <c r="O273" s="10">
        <f t="shared" si="74"/>
        <v>113.28</v>
      </c>
      <c r="P273" s="11">
        <f t="shared" si="75"/>
        <v>0.2704987320371936</v>
      </c>
      <c r="Q273" s="10">
        <f t="shared" si="76"/>
        <v>418.78199999999993</v>
      </c>
      <c r="R273" s="10">
        <f t="shared" si="77"/>
        <v>1534.7359999999999</v>
      </c>
      <c r="S273" s="10">
        <f t="shared" si="78"/>
        <v>113.28</v>
      </c>
      <c r="T273" s="9" t="s">
        <v>91</v>
      </c>
      <c r="U273" s="10">
        <v>3389</v>
      </c>
      <c r="V273" s="10">
        <f t="shared" si="79"/>
        <v>2372.2999999999997</v>
      </c>
      <c r="W273" s="166">
        <v>999299</v>
      </c>
      <c r="X273" s="12" t="s">
        <v>26</v>
      </c>
      <c r="Y273" s="12">
        <f t="shared" si="80"/>
        <v>113.28</v>
      </c>
      <c r="Z273" s="13">
        <f t="shared" si="81"/>
        <v>113.28</v>
      </c>
      <c r="AA273" s="13">
        <f t="shared" si="82"/>
        <v>96</v>
      </c>
      <c r="AB273" s="13">
        <f t="shared" si="83"/>
        <v>96</v>
      </c>
      <c r="AC273" s="13">
        <f t="shared" si="84"/>
        <v>0</v>
      </c>
      <c r="AD273" s="14">
        <f t="shared" si="85"/>
        <v>0</v>
      </c>
      <c r="AE273" s="14">
        <f t="shared" si="86"/>
        <v>0</v>
      </c>
      <c r="AF273" s="13" t="str">
        <f>IF(AD273&gt;=Assumptions!$B$3,"OK","Review")</f>
        <v>Review</v>
      </c>
      <c r="AG273" s="13">
        <f>IFERROR(IF(Assumptions!$B$13="Cost Price",AB273,AA273)*SUMIF(Assumptions!$A$6:$A$10,X273,Assumptions!$B$6:$B$10),0)</f>
        <v>7.68</v>
      </c>
      <c r="AH273" s="13">
        <f>IFERROR(IF(Assumptions!$B$13="Cost Price",AB273,AA273)*SUMIF(Assumptions!$A$6:$A$10,X273,Assumptions!$C$6:$C$10),0)</f>
        <v>4.8000000000000007</v>
      </c>
      <c r="AI273" s="13">
        <f>IFERROR(IF(Assumptions!$B$13="Cost Price",AB273,AA273)*SUMIF(Assumptions!$A$6:$A$10,X273,Assumptions!$D$6:$D$10),0)</f>
        <v>9.6000000000000014</v>
      </c>
      <c r="AJ273" s="13">
        <v>9.6000000000000014</v>
      </c>
      <c r="AK273" s="13">
        <f t="shared" si="87"/>
        <v>31.680000000000003</v>
      </c>
      <c r="AL273" s="14">
        <v>0.33</v>
      </c>
      <c r="AM273" s="13">
        <f t="shared" si="88"/>
        <v>-31.680000000000003</v>
      </c>
      <c r="AN273" s="14">
        <f t="shared" si="89"/>
        <v>-0.33</v>
      </c>
      <c r="AO273" t="str">
        <f>IF(AN273&gt;=Assumptions!$B$3,"OK","Review")</f>
        <v>Review</v>
      </c>
    </row>
    <row r="274" spans="1:41" ht="15" customHeight="1">
      <c r="A274" s="9" t="s">
        <v>256</v>
      </c>
      <c r="B274" s="9" t="s">
        <v>35</v>
      </c>
      <c r="C274" s="9" t="s">
        <v>71</v>
      </c>
      <c r="D274" s="9" t="s">
        <v>72</v>
      </c>
      <c r="E274" s="9" t="s">
        <v>73</v>
      </c>
      <c r="F274" s="9" t="s">
        <v>74</v>
      </c>
      <c r="G274" s="9" t="s">
        <v>24</v>
      </c>
      <c r="H274" s="9" t="s">
        <v>75</v>
      </c>
      <c r="I274" s="9">
        <v>4000011860</v>
      </c>
      <c r="J274" s="10">
        <v>44.16</v>
      </c>
      <c r="K274" s="10"/>
      <c r="L274" s="10">
        <f t="shared" si="72"/>
        <v>44.16</v>
      </c>
      <c r="M274" s="11">
        <v>0</v>
      </c>
      <c r="N274" s="10">
        <f t="shared" si="73"/>
        <v>0</v>
      </c>
      <c r="O274" s="10">
        <f t="shared" si="74"/>
        <v>44.16</v>
      </c>
      <c r="P274" s="11">
        <f t="shared" si="75"/>
        <v>0.13933676206102294</v>
      </c>
      <c r="Q274" s="10">
        <f t="shared" si="76"/>
        <v>316.92999999999995</v>
      </c>
      <c r="R274" s="10">
        <f t="shared" si="77"/>
        <v>2647.5639999999999</v>
      </c>
      <c r="S274" s="10">
        <f t="shared" si="78"/>
        <v>368.90299510933011</v>
      </c>
      <c r="T274" s="9" t="s">
        <v>76</v>
      </c>
      <c r="U274" s="10">
        <v>4499</v>
      </c>
      <c r="V274" s="10">
        <f t="shared" si="79"/>
        <v>3149.2999999999997</v>
      </c>
      <c r="W274" s="166">
        <v>490110</v>
      </c>
      <c r="X274" s="12" t="s">
        <v>27</v>
      </c>
      <c r="Y274" s="12">
        <f t="shared" si="80"/>
        <v>368.90299510933011</v>
      </c>
      <c r="Z274" s="13">
        <f t="shared" si="81"/>
        <v>368.90299510933011</v>
      </c>
      <c r="AA274" s="13">
        <f t="shared" si="82"/>
        <v>368.90299510933011</v>
      </c>
      <c r="AB274" s="13">
        <f t="shared" si="83"/>
        <v>44.16</v>
      </c>
      <c r="AC274" s="13">
        <f t="shared" si="84"/>
        <v>324.74299510933008</v>
      </c>
      <c r="AD274" s="14">
        <f t="shared" si="85"/>
        <v>0.8802937341646887</v>
      </c>
      <c r="AE274" s="14">
        <f t="shared" si="86"/>
        <v>7.3537815921496854</v>
      </c>
      <c r="AF274" s="13" t="str">
        <f>IF(AD274&gt;=Assumptions!$B$3,"OK","Review")</f>
        <v>OK</v>
      </c>
      <c r="AG274" s="13">
        <f>IFERROR(IF(Assumptions!$B$13="Cost Price",AB274,AA274)*SUMIF(Assumptions!$A$6:$A$10,X274,Assumptions!$B$6:$B$10),0)</f>
        <v>29.512239608746409</v>
      </c>
      <c r="AH274" s="13">
        <f>IFERROR(IF(Assumptions!$B$13="Cost Price",AB274,AA274)*SUMIF(Assumptions!$A$6:$A$10,X274,Assumptions!$C$6:$C$10),0)</f>
        <v>18.445149755466506</v>
      </c>
      <c r="AI274" s="13">
        <f>IFERROR(IF(Assumptions!$B$13="Cost Price",AB274,AA274)*SUMIF(Assumptions!$A$6:$A$10,X274,Assumptions!$D$6:$D$10),0)</f>
        <v>36.890299510933012</v>
      </c>
      <c r="AJ274" s="13">
        <v>55.696582286309287</v>
      </c>
      <c r="AK274" s="13">
        <f t="shared" si="87"/>
        <v>140.54427116145521</v>
      </c>
      <c r="AL274" s="14">
        <v>0.33</v>
      </c>
      <c r="AM274" s="13">
        <f t="shared" si="88"/>
        <v>184.19872394787487</v>
      </c>
      <c r="AN274" s="14">
        <f t="shared" si="89"/>
        <v>0.49931479654505034</v>
      </c>
      <c r="AO274" t="str">
        <f>IF(AN274&gt;=Assumptions!$B$3,"OK","Review")</f>
        <v>OK</v>
      </c>
    </row>
    <row r="275" spans="1:41" ht="15" customHeight="1">
      <c r="A275" s="9" t="s">
        <v>256</v>
      </c>
      <c r="B275" s="9" t="s">
        <v>35</v>
      </c>
      <c r="C275" s="9" t="s">
        <v>71</v>
      </c>
      <c r="D275" s="9" t="s">
        <v>77</v>
      </c>
      <c r="E275" s="9" t="s">
        <v>73</v>
      </c>
      <c r="F275" s="9" t="s">
        <v>74</v>
      </c>
      <c r="G275" s="9" t="s">
        <v>24</v>
      </c>
      <c r="H275" s="9" t="s">
        <v>75</v>
      </c>
      <c r="I275" s="9">
        <v>4000011852</v>
      </c>
      <c r="J275" s="10">
        <v>20.94</v>
      </c>
      <c r="K275" s="10"/>
      <c r="L275" s="10">
        <f t="shared" si="72"/>
        <v>20.94</v>
      </c>
      <c r="M275" s="11">
        <v>0</v>
      </c>
      <c r="N275" s="10">
        <f t="shared" si="73"/>
        <v>0</v>
      </c>
      <c r="O275" s="10">
        <f t="shared" si="74"/>
        <v>20.94</v>
      </c>
      <c r="P275" s="11">
        <f t="shared" si="75"/>
        <v>6.6071372227305733E-2</v>
      </c>
      <c r="Q275" s="10">
        <f t="shared" si="76"/>
        <v>316.92999999999995</v>
      </c>
      <c r="R275" s="10">
        <f t="shared" si="77"/>
        <v>2647.5639999999999</v>
      </c>
      <c r="S275" s="10">
        <f t="shared" si="78"/>
        <v>174.92818653961447</v>
      </c>
      <c r="T275" s="9" t="s">
        <v>76</v>
      </c>
      <c r="U275" s="10">
        <v>4499</v>
      </c>
      <c r="V275" s="10">
        <f t="shared" si="79"/>
        <v>3149.2999999999997</v>
      </c>
      <c r="W275" s="166">
        <v>490110</v>
      </c>
      <c r="X275" s="12" t="s">
        <v>27</v>
      </c>
      <c r="Y275" s="12">
        <f t="shared" si="80"/>
        <v>174.92818653961447</v>
      </c>
      <c r="Z275" s="13">
        <f t="shared" si="81"/>
        <v>174.92818653961447</v>
      </c>
      <c r="AA275" s="13">
        <f t="shared" si="82"/>
        <v>174.92818653961447</v>
      </c>
      <c r="AB275" s="13">
        <f t="shared" si="83"/>
        <v>20.94</v>
      </c>
      <c r="AC275" s="13">
        <f t="shared" si="84"/>
        <v>153.98818653961447</v>
      </c>
      <c r="AD275" s="14">
        <f t="shared" si="85"/>
        <v>0.88029373416468881</v>
      </c>
      <c r="AE275" s="14">
        <f t="shared" si="86"/>
        <v>7.3537815921496881</v>
      </c>
      <c r="AF275" s="13" t="str">
        <f>IF(AD275&gt;=Assumptions!$B$3,"OK","Review")</f>
        <v>OK</v>
      </c>
      <c r="AG275" s="13">
        <f>IFERROR(IF(Assumptions!$B$13="Cost Price",AB275,AA275)*SUMIF(Assumptions!$A$6:$A$10,X275,Assumptions!$B$6:$B$10),0)</f>
        <v>13.994254923169159</v>
      </c>
      <c r="AH275" s="13">
        <f>IFERROR(IF(Assumptions!$B$13="Cost Price",AB275,AA275)*SUMIF(Assumptions!$A$6:$A$10,X275,Assumptions!$C$6:$C$10),0)</f>
        <v>8.7464093269807233</v>
      </c>
      <c r="AI275" s="13">
        <f>IFERROR(IF(Assumptions!$B$13="Cost Price",AB275,AA275)*SUMIF(Assumptions!$A$6:$A$10,X275,Assumptions!$D$6:$D$10),0)</f>
        <v>17.492818653961447</v>
      </c>
      <c r="AJ275" s="13">
        <v>26.410471763480906</v>
      </c>
      <c r="AK275" s="13">
        <f t="shared" si="87"/>
        <v>66.643954667592226</v>
      </c>
      <c r="AL275" s="14">
        <v>0.33</v>
      </c>
      <c r="AM275" s="13">
        <f t="shared" si="88"/>
        <v>87.344231872022249</v>
      </c>
      <c r="AN275" s="14">
        <f t="shared" si="89"/>
        <v>0.49931479654505057</v>
      </c>
      <c r="AO275" t="str">
        <f>IF(AN275&gt;=Assumptions!$B$3,"OK","Review")</f>
        <v>OK</v>
      </c>
    </row>
    <row r="276" spans="1:41" ht="15" customHeight="1">
      <c r="A276" s="9" t="s">
        <v>256</v>
      </c>
      <c r="B276" s="9" t="s">
        <v>35</v>
      </c>
      <c r="C276" s="9" t="s">
        <v>78</v>
      </c>
      <c r="D276" s="9" t="s">
        <v>79</v>
      </c>
      <c r="E276" s="9" t="s">
        <v>73</v>
      </c>
      <c r="F276" s="9" t="s">
        <v>74</v>
      </c>
      <c r="G276" s="9" t="s">
        <v>24</v>
      </c>
      <c r="H276" s="9" t="s">
        <v>75</v>
      </c>
      <c r="I276" s="9">
        <v>4000011794</v>
      </c>
      <c r="J276" s="10">
        <v>19.559999999999999</v>
      </c>
      <c r="K276" s="10"/>
      <c r="L276" s="10">
        <f t="shared" si="72"/>
        <v>19.559999999999999</v>
      </c>
      <c r="M276" s="11">
        <v>0</v>
      </c>
      <c r="N276" s="10">
        <f t="shared" si="73"/>
        <v>0</v>
      </c>
      <c r="O276" s="10">
        <f t="shared" si="74"/>
        <v>19.559999999999999</v>
      </c>
      <c r="P276" s="11">
        <f t="shared" si="75"/>
        <v>6.1717098412898755E-2</v>
      </c>
      <c r="Q276" s="10">
        <f t="shared" si="76"/>
        <v>316.92999999999995</v>
      </c>
      <c r="R276" s="10">
        <f t="shared" si="77"/>
        <v>2647.5639999999999</v>
      </c>
      <c r="S276" s="10">
        <f t="shared" si="78"/>
        <v>163.39996794244786</v>
      </c>
      <c r="T276" s="9" t="s">
        <v>76</v>
      </c>
      <c r="U276" s="10">
        <v>4499</v>
      </c>
      <c r="V276" s="10">
        <f t="shared" si="79"/>
        <v>3149.2999999999997</v>
      </c>
      <c r="W276" s="166">
        <v>490110</v>
      </c>
      <c r="X276" s="12" t="s">
        <v>27</v>
      </c>
      <c r="Y276" s="12">
        <f t="shared" si="80"/>
        <v>163.39996794244786</v>
      </c>
      <c r="Z276" s="13">
        <f t="shared" si="81"/>
        <v>163.39996794244786</v>
      </c>
      <c r="AA276" s="13">
        <f t="shared" si="82"/>
        <v>163.39996794244786</v>
      </c>
      <c r="AB276" s="13">
        <f t="shared" si="83"/>
        <v>19.559999999999999</v>
      </c>
      <c r="AC276" s="13">
        <f t="shared" si="84"/>
        <v>143.83996794244786</v>
      </c>
      <c r="AD276" s="14">
        <f t="shared" si="85"/>
        <v>0.8802937341646887</v>
      </c>
      <c r="AE276" s="14">
        <f t="shared" si="86"/>
        <v>7.3537815921496863</v>
      </c>
      <c r="AF276" s="13" t="str">
        <f>IF(AD276&gt;=Assumptions!$B$3,"OK","Review")</f>
        <v>OK</v>
      </c>
      <c r="AG276" s="13">
        <f>IFERROR(IF(Assumptions!$B$13="Cost Price",AB276,AA276)*SUMIF(Assumptions!$A$6:$A$10,X276,Assumptions!$B$6:$B$10),0)</f>
        <v>13.071997435395829</v>
      </c>
      <c r="AH276" s="13">
        <f>IFERROR(IF(Assumptions!$B$13="Cost Price",AB276,AA276)*SUMIF(Assumptions!$A$6:$A$10,X276,Assumptions!$C$6:$C$10),0)</f>
        <v>8.1699983971223933</v>
      </c>
      <c r="AI276" s="13">
        <f>IFERROR(IF(Assumptions!$B$13="Cost Price",AB276,AA276)*SUMIF(Assumptions!$A$6:$A$10,X276,Assumptions!$D$6:$D$10),0)</f>
        <v>16.339996794244787</v>
      </c>
      <c r="AJ276" s="13">
        <v>24.669953567033733</v>
      </c>
      <c r="AK276" s="13">
        <f t="shared" si="87"/>
        <v>62.251946193796741</v>
      </c>
      <c r="AL276" s="14">
        <v>0.33</v>
      </c>
      <c r="AM276" s="13">
        <f t="shared" si="88"/>
        <v>81.588021748651116</v>
      </c>
      <c r="AN276" s="14">
        <f t="shared" si="89"/>
        <v>0.49931479654505045</v>
      </c>
      <c r="AO276" t="str">
        <f>IF(AN276&gt;=Assumptions!$B$3,"OK","Review")</f>
        <v>OK</v>
      </c>
    </row>
    <row r="277" spans="1:41" ht="15" customHeight="1">
      <c r="A277" s="9" t="s">
        <v>256</v>
      </c>
      <c r="B277" s="9" t="s">
        <v>35</v>
      </c>
      <c r="C277" s="9" t="s">
        <v>78</v>
      </c>
      <c r="D277" s="9" t="s">
        <v>80</v>
      </c>
      <c r="E277" s="9" t="s">
        <v>73</v>
      </c>
      <c r="F277" s="9" t="s">
        <v>81</v>
      </c>
      <c r="G277" s="9" t="s">
        <v>24</v>
      </c>
      <c r="H277" s="9" t="s">
        <v>75</v>
      </c>
      <c r="I277" s="9">
        <v>4000011783</v>
      </c>
      <c r="J277" s="10">
        <v>60.15</v>
      </c>
      <c r="K277" s="10"/>
      <c r="L277" s="10">
        <f t="shared" si="72"/>
        <v>60.15</v>
      </c>
      <c r="M277" s="11">
        <v>0</v>
      </c>
      <c r="N277" s="10">
        <f t="shared" si="73"/>
        <v>0</v>
      </c>
      <c r="O277" s="10">
        <f t="shared" si="74"/>
        <v>60.15</v>
      </c>
      <c r="P277" s="11">
        <f t="shared" si="75"/>
        <v>0.1897895434323037</v>
      </c>
      <c r="Q277" s="10">
        <f t="shared" si="76"/>
        <v>316.92999999999995</v>
      </c>
      <c r="R277" s="10">
        <f t="shared" si="77"/>
        <v>2647.5639999999999</v>
      </c>
      <c r="S277" s="10">
        <f t="shared" si="78"/>
        <v>502.47996276780367</v>
      </c>
      <c r="T277" s="9" t="s">
        <v>76</v>
      </c>
      <c r="U277" s="10">
        <v>4499</v>
      </c>
      <c r="V277" s="10">
        <f t="shared" si="79"/>
        <v>3149.2999999999997</v>
      </c>
      <c r="W277" s="166">
        <v>490110</v>
      </c>
      <c r="X277" s="12" t="s">
        <v>27</v>
      </c>
      <c r="Y277" s="12">
        <f t="shared" si="80"/>
        <v>502.47996276780367</v>
      </c>
      <c r="Z277" s="13">
        <f t="shared" si="81"/>
        <v>502.47996276780367</v>
      </c>
      <c r="AA277" s="13">
        <f t="shared" si="82"/>
        <v>502.47996276780367</v>
      </c>
      <c r="AB277" s="13">
        <f t="shared" si="83"/>
        <v>60.15</v>
      </c>
      <c r="AC277" s="13">
        <f t="shared" si="84"/>
        <v>442.32996276780369</v>
      </c>
      <c r="AD277" s="14">
        <f t="shared" si="85"/>
        <v>0.88029373416468881</v>
      </c>
      <c r="AE277" s="14">
        <f t="shared" si="86"/>
        <v>7.3537815921496872</v>
      </c>
      <c r="AF277" s="13" t="str">
        <f>IF(AD277&gt;=Assumptions!$B$3,"OK","Review")</f>
        <v>OK</v>
      </c>
      <c r="AG277" s="13">
        <f>IFERROR(IF(Assumptions!$B$13="Cost Price",AB277,AA277)*SUMIF(Assumptions!$A$6:$A$10,X277,Assumptions!$B$6:$B$10),0)</f>
        <v>40.198397021424292</v>
      </c>
      <c r="AH277" s="13">
        <f>IFERROR(IF(Assumptions!$B$13="Cost Price",AB277,AA277)*SUMIF(Assumptions!$A$6:$A$10,X277,Assumptions!$C$6:$C$10),0)</f>
        <v>25.123998138390185</v>
      </c>
      <c r="AI277" s="13">
        <f>IFERROR(IF(Assumptions!$B$13="Cost Price",AB277,AA277)*SUMIF(Assumptions!$A$6:$A$10,X277,Assumptions!$D$6:$D$10),0)</f>
        <v>50.24799627678037</v>
      </c>
      <c r="AJ277" s="13">
        <v>75.863890953838407</v>
      </c>
      <c r="AK277" s="13">
        <f t="shared" si="87"/>
        <v>191.43428239043325</v>
      </c>
      <c r="AL277" s="14">
        <v>0.33</v>
      </c>
      <c r="AM277" s="13">
        <f t="shared" si="88"/>
        <v>250.89568037737044</v>
      </c>
      <c r="AN277" s="14">
        <f t="shared" si="89"/>
        <v>0.49931479654505051</v>
      </c>
      <c r="AO277" t="str">
        <f>IF(AN277&gt;=Assumptions!$B$3,"OK","Review")</f>
        <v>OK</v>
      </c>
    </row>
    <row r="278" spans="1:41" ht="15" customHeight="1">
      <c r="A278" s="9" t="s">
        <v>256</v>
      </c>
      <c r="B278" s="9" t="s">
        <v>35</v>
      </c>
      <c r="C278" s="9" t="s">
        <v>78</v>
      </c>
      <c r="D278" s="9" t="s">
        <v>82</v>
      </c>
      <c r="E278" s="9" t="s">
        <v>73</v>
      </c>
      <c r="F278" s="9" t="s">
        <v>81</v>
      </c>
      <c r="G278" s="9" t="s">
        <v>24</v>
      </c>
      <c r="H278" s="9" t="s">
        <v>75</v>
      </c>
      <c r="I278" s="9">
        <v>4000011805</v>
      </c>
      <c r="J278" s="10">
        <v>20.94</v>
      </c>
      <c r="K278" s="10"/>
      <c r="L278" s="10">
        <f t="shared" si="72"/>
        <v>20.94</v>
      </c>
      <c r="M278" s="11">
        <v>0</v>
      </c>
      <c r="N278" s="10">
        <f t="shared" si="73"/>
        <v>0</v>
      </c>
      <c r="O278" s="10">
        <f t="shared" si="74"/>
        <v>20.94</v>
      </c>
      <c r="P278" s="11">
        <f t="shared" si="75"/>
        <v>6.6071372227305733E-2</v>
      </c>
      <c r="Q278" s="10">
        <f t="shared" si="76"/>
        <v>316.92999999999995</v>
      </c>
      <c r="R278" s="10">
        <f t="shared" si="77"/>
        <v>2647.5639999999999</v>
      </c>
      <c r="S278" s="10">
        <f t="shared" si="78"/>
        <v>174.92818653961447</v>
      </c>
      <c r="T278" s="9" t="s">
        <v>76</v>
      </c>
      <c r="U278" s="10">
        <v>4499</v>
      </c>
      <c r="V278" s="10">
        <f t="shared" si="79"/>
        <v>3149.2999999999997</v>
      </c>
      <c r="W278" s="166">
        <v>490110</v>
      </c>
      <c r="X278" s="12" t="s">
        <v>27</v>
      </c>
      <c r="Y278" s="12">
        <f t="shared" si="80"/>
        <v>174.92818653961447</v>
      </c>
      <c r="Z278" s="13">
        <f t="shared" si="81"/>
        <v>174.92818653961447</v>
      </c>
      <c r="AA278" s="13">
        <f t="shared" si="82"/>
        <v>174.92818653961447</v>
      </c>
      <c r="AB278" s="13">
        <f t="shared" si="83"/>
        <v>20.94</v>
      </c>
      <c r="AC278" s="13">
        <f t="shared" si="84"/>
        <v>153.98818653961447</v>
      </c>
      <c r="AD278" s="14">
        <f t="shared" si="85"/>
        <v>0.88029373416468881</v>
      </c>
      <c r="AE278" s="14">
        <f t="shared" si="86"/>
        <v>7.3537815921496881</v>
      </c>
      <c r="AF278" s="13" t="str">
        <f>IF(AD278&gt;=Assumptions!$B$3,"OK","Review")</f>
        <v>OK</v>
      </c>
      <c r="AG278" s="13">
        <f>IFERROR(IF(Assumptions!$B$13="Cost Price",AB278,AA278)*SUMIF(Assumptions!$A$6:$A$10,X278,Assumptions!$B$6:$B$10),0)</f>
        <v>13.994254923169159</v>
      </c>
      <c r="AH278" s="13">
        <f>IFERROR(IF(Assumptions!$B$13="Cost Price",AB278,AA278)*SUMIF(Assumptions!$A$6:$A$10,X278,Assumptions!$C$6:$C$10),0)</f>
        <v>8.7464093269807233</v>
      </c>
      <c r="AI278" s="13">
        <f>IFERROR(IF(Assumptions!$B$13="Cost Price",AB278,AA278)*SUMIF(Assumptions!$A$6:$A$10,X278,Assumptions!$D$6:$D$10),0)</f>
        <v>17.492818653961447</v>
      </c>
      <c r="AJ278" s="13">
        <v>26.410471763480906</v>
      </c>
      <c r="AK278" s="13">
        <f t="shared" si="87"/>
        <v>66.643954667592226</v>
      </c>
      <c r="AL278" s="14">
        <v>0.33</v>
      </c>
      <c r="AM278" s="13">
        <f t="shared" si="88"/>
        <v>87.344231872022249</v>
      </c>
      <c r="AN278" s="14">
        <f t="shared" si="89"/>
        <v>0.49931479654505057</v>
      </c>
      <c r="AO278" t="str">
        <f>IF(AN278&gt;=Assumptions!$B$3,"OK","Review")</f>
        <v>OK</v>
      </c>
    </row>
    <row r="279" spans="1:41" ht="15" customHeight="1">
      <c r="A279" s="9" t="s">
        <v>256</v>
      </c>
      <c r="B279" s="9" t="s">
        <v>35</v>
      </c>
      <c r="C279" s="9" t="s">
        <v>71</v>
      </c>
      <c r="D279" s="9" t="s">
        <v>83</v>
      </c>
      <c r="E279" s="9" t="s">
        <v>73</v>
      </c>
      <c r="F279" s="9" t="s">
        <v>74</v>
      </c>
      <c r="G279" s="9" t="s">
        <v>24</v>
      </c>
      <c r="H279" s="9" t="s">
        <v>84</v>
      </c>
      <c r="I279" s="9">
        <v>4000011816</v>
      </c>
      <c r="J279" s="10">
        <v>46.25</v>
      </c>
      <c r="K279" s="10"/>
      <c r="L279" s="10">
        <f t="shared" si="72"/>
        <v>46.25</v>
      </c>
      <c r="M279" s="11">
        <v>0</v>
      </c>
      <c r="N279" s="10">
        <f t="shared" si="73"/>
        <v>0</v>
      </c>
      <c r="O279" s="10">
        <f t="shared" si="74"/>
        <v>46.25</v>
      </c>
      <c r="P279" s="11">
        <f t="shared" si="75"/>
        <v>0.14593127820023352</v>
      </c>
      <c r="Q279" s="10">
        <f t="shared" si="76"/>
        <v>316.92999999999995</v>
      </c>
      <c r="R279" s="10">
        <f t="shared" si="77"/>
        <v>2647.5639999999999</v>
      </c>
      <c r="S279" s="10">
        <f t="shared" si="78"/>
        <v>386.36239863692305</v>
      </c>
      <c r="T279" s="9" t="s">
        <v>76</v>
      </c>
      <c r="U279" s="10">
        <v>4499</v>
      </c>
      <c r="V279" s="10">
        <f t="shared" si="79"/>
        <v>3149.2999999999997</v>
      </c>
      <c r="W279" s="166">
        <v>490110</v>
      </c>
      <c r="X279" s="12" t="s">
        <v>27</v>
      </c>
      <c r="Y279" s="12">
        <f t="shared" si="80"/>
        <v>386.36239863692305</v>
      </c>
      <c r="Z279" s="13">
        <f t="shared" si="81"/>
        <v>386.36239863692305</v>
      </c>
      <c r="AA279" s="13">
        <f t="shared" si="82"/>
        <v>386.36239863692305</v>
      </c>
      <c r="AB279" s="13">
        <f t="shared" si="83"/>
        <v>46.25</v>
      </c>
      <c r="AC279" s="13">
        <f t="shared" si="84"/>
        <v>340.11239863692305</v>
      </c>
      <c r="AD279" s="14">
        <f t="shared" si="85"/>
        <v>0.88029373416468881</v>
      </c>
      <c r="AE279" s="14">
        <f t="shared" si="86"/>
        <v>7.3537815921496872</v>
      </c>
      <c r="AF279" s="13" t="str">
        <f>IF(AD279&gt;=Assumptions!$B$3,"OK","Review")</f>
        <v>OK</v>
      </c>
      <c r="AG279" s="13">
        <f>IFERROR(IF(Assumptions!$B$13="Cost Price",AB279,AA279)*SUMIF(Assumptions!$A$6:$A$10,X279,Assumptions!$B$6:$B$10),0)</f>
        <v>30.908991890953846</v>
      </c>
      <c r="AH279" s="13">
        <f>IFERROR(IF(Assumptions!$B$13="Cost Price",AB279,AA279)*SUMIF(Assumptions!$A$6:$A$10,X279,Assumptions!$C$6:$C$10),0)</f>
        <v>19.318119931846155</v>
      </c>
      <c r="AI279" s="13">
        <f>IFERROR(IF(Assumptions!$B$13="Cost Price",AB279,AA279)*SUMIF(Assumptions!$A$6:$A$10,X279,Assumptions!$D$6:$D$10),0)</f>
        <v>38.63623986369231</v>
      </c>
      <c r="AJ279" s="13">
        <v>58.332584482377833</v>
      </c>
      <c r="AK279" s="13">
        <f t="shared" si="87"/>
        <v>147.19593616887013</v>
      </c>
      <c r="AL279" s="14">
        <v>0.33</v>
      </c>
      <c r="AM279" s="13">
        <f t="shared" si="88"/>
        <v>192.91646246805291</v>
      </c>
      <c r="AN279" s="14">
        <f t="shared" si="89"/>
        <v>0.49931479654505045</v>
      </c>
      <c r="AO279" t="str">
        <f>IF(AN279&gt;=Assumptions!$B$3,"OK","Review")</f>
        <v>OK</v>
      </c>
    </row>
    <row r="280" spans="1:41" ht="15" customHeight="1">
      <c r="A280" s="9" t="s">
        <v>256</v>
      </c>
      <c r="B280" s="9" t="s">
        <v>35</v>
      </c>
      <c r="C280" s="9" t="s">
        <v>71</v>
      </c>
      <c r="D280" s="9" t="s">
        <v>85</v>
      </c>
      <c r="E280" s="9" t="s">
        <v>73</v>
      </c>
      <c r="F280" s="9" t="s">
        <v>74</v>
      </c>
      <c r="G280" s="9" t="s">
        <v>24</v>
      </c>
      <c r="H280" s="9" t="s">
        <v>84</v>
      </c>
      <c r="I280" s="9">
        <v>4000011747</v>
      </c>
      <c r="J280" s="10">
        <v>19.510000000000002</v>
      </c>
      <c r="K280" s="10"/>
      <c r="L280" s="10">
        <f t="shared" si="72"/>
        <v>19.510000000000002</v>
      </c>
      <c r="M280" s="11">
        <v>0</v>
      </c>
      <c r="N280" s="10">
        <f t="shared" si="73"/>
        <v>0</v>
      </c>
      <c r="O280" s="10">
        <f t="shared" si="74"/>
        <v>19.510000000000002</v>
      </c>
      <c r="P280" s="11">
        <f t="shared" si="75"/>
        <v>6.1559334868898509E-2</v>
      </c>
      <c r="Q280" s="10">
        <f t="shared" si="76"/>
        <v>316.92999999999995</v>
      </c>
      <c r="R280" s="10">
        <f t="shared" si="77"/>
        <v>2647.5639999999999</v>
      </c>
      <c r="S280" s="10">
        <f t="shared" si="78"/>
        <v>162.98227886284042</v>
      </c>
      <c r="T280" s="9" t="s">
        <v>76</v>
      </c>
      <c r="U280" s="10">
        <v>4499</v>
      </c>
      <c r="V280" s="10">
        <f t="shared" si="79"/>
        <v>3149.2999999999997</v>
      </c>
      <c r="W280" s="166">
        <v>490110</v>
      </c>
      <c r="X280" s="12" t="s">
        <v>27</v>
      </c>
      <c r="Y280" s="12">
        <f t="shared" si="80"/>
        <v>162.98227886284042</v>
      </c>
      <c r="Z280" s="13">
        <f t="shared" si="81"/>
        <v>162.98227886284042</v>
      </c>
      <c r="AA280" s="13">
        <f t="shared" si="82"/>
        <v>162.98227886284042</v>
      </c>
      <c r="AB280" s="13">
        <f t="shared" si="83"/>
        <v>19.510000000000002</v>
      </c>
      <c r="AC280" s="13">
        <f t="shared" si="84"/>
        <v>143.47227886284043</v>
      </c>
      <c r="AD280" s="14">
        <f t="shared" si="85"/>
        <v>0.88029373416468881</v>
      </c>
      <c r="AE280" s="14">
        <f t="shared" si="86"/>
        <v>7.3537815921496881</v>
      </c>
      <c r="AF280" s="13" t="str">
        <f>IF(AD280&gt;=Assumptions!$B$3,"OK","Review")</f>
        <v>OK</v>
      </c>
      <c r="AG280" s="13">
        <f>IFERROR(IF(Assumptions!$B$13="Cost Price",AB280,AA280)*SUMIF(Assumptions!$A$6:$A$10,X280,Assumptions!$B$6:$B$10),0)</f>
        <v>13.038582309027234</v>
      </c>
      <c r="AH280" s="13">
        <f>IFERROR(IF(Assumptions!$B$13="Cost Price",AB280,AA280)*SUMIF(Assumptions!$A$6:$A$10,X280,Assumptions!$C$6:$C$10),0)</f>
        <v>8.1491139431420212</v>
      </c>
      <c r="AI280" s="13">
        <f>IFERROR(IF(Assumptions!$B$13="Cost Price",AB280,AA280)*SUMIF(Assumptions!$A$6:$A$10,X280,Assumptions!$D$6:$D$10),0)</f>
        <v>16.298227886284042</v>
      </c>
      <c r="AJ280" s="13">
        <v>24.606891313539276</v>
      </c>
      <c r="AK280" s="13">
        <f t="shared" si="87"/>
        <v>62.092815451992578</v>
      </c>
      <c r="AL280" s="14">
        <v>0.33</v>
      </c>
      <c r="AM280" s="13">
        <f t="shared" si="88"/>
        <v>81.379463410847848</v>
      </c>
      <c r="AN280" s="14">
        <f t="shared" si="89"/>
        <v>0.49931479654505051</v>
      </c>
      <c r="AO280" t="str">
        <f>IF(AN280&gt;=Assumptions!$B$3,"OK","Review")</f>
        <v>OK</v>
      </c>
    </row>
    <row r="281" spans="1:41" ht="15" customHeight="1">
      <c r="A281" s="9" t="s">
        <v>256</v>
      </c>
      <c r="B281" s="9" t="s">
        <v>35</v>
      </c>
      <c r="C281" s="9" t="s">
        <v>78</v>
      </c>
      <c r="D281" s="9" t="s">
        <v>86</v>
      </c>
      <c r="E281" s="9" t="s">
        <v>73</v>
      </c>
      <c r="F281" s="9" t="s">
        <v>81</v>
      </c>
      <c r="G281" s="9" t="s">
        <v>24</v>
      </c>
      <c r="H281" s="9" t="s">
        <v>84</v>
      </c>
      <c r="I281" s="9">
        <v>4000011758</v>
      </c>
      <c r="J281" s="10">
        <v>65.91</v>
      </c>
      <c r="K281" s="10"/>
      <c r="L281" s="10">
        <f t="shared" si="72"/>
        <v>65.91</v>
      </c>
      <c r="M281" s="11">
        <v>0</v>
      </c>
      <c r="N281" s="10">
        <f t="shared" si="73"/>
        <v>0</v>
      </c>
      <c r="O281" s="10">
        <f t="shared" si="74"/>
        <v>65.91</v>
      </c>
      <c r="P281" s="11">
        <f t="shared" si="75"/>
        <v>0.20796390370113277</v>
      </c>
      <c r="Q281" s="10">
        <f t="shared" si="76"/>
        <v>316.92999999999995</v>
      </c>
      <c r="R281" s="10">
        <f t="shared" si="77"/>
        <v>2647.5639999999999</v>
      </c>
      <c r="S281" s="10">
        <f t="shared" si="78"/>
        <v>550.5977447385859</v>
      </c>
      <c r="T281" s="9" t="s">
        <v>76</v>
      </c>
      <c r="U281" s="10">
        <v>4499</v>
      </c>
      <c r="V281" s="10">
        <f t="shared" si="79"/>
        <v>3149.2999999999997</v>
      </c>
      <c r="W281" s="166">
        <v>490110</v>
      </c>
      <c r="X281" s="12" t="s">
        <v>27</v>
      </c>
      <c r="Y281" s="12">
        <f t="shared" si="80"/>
        <v>550.5977447385859</v>
      </c>
      <c r="Z281" s="13">
        <f t="shared" si="81"/>
        <v>550.5977447385859</v>
      </c>
      <c r="AA281" s="13">
        <f t="shared" si="82"/>
        <v>550.5977447385859</v>
      </c>
      <c r="AB281" s="13">
        <f t="shared" si="83"/>
        <v>65.91</v>
      </c>
      <c r="AC281" s="13">
        <f t="shared" si="84"/>
        <v>484.68774473858593</v>
      </c>
      <c r="AD281" s="14">
        <f t="shared" si="85"/>
        <v>0.88029373416468881</v>
      </c>
      <c r="AE281" s="14">
        <f t="shared" si="86"/>
        <v>7.3537815921496881</v>
      </c>
      <c r="AF281" s="13" t="str">
        <f>IF(AD281&gt;=Assumptions!$B$3,"OK","Review")</f>
        <v>OK</v>
      </c>
      <c r="AG281" s="13">
        <f>IFERROR(IF(Assumptions!$B$13="Cost Price",AB281,AA281)*SUMIF(Assumptions!$A$6:$A$10,X281,Assumptions!$B$6:$B$10),0)</f>
        <v>44.04781957908687</v>
      </c>
      <c r="AH281" s="13">
        <f>IFERROR(IF(Assumptions!$B$13="Cost Price",AB281,AA281)*SUMIF(Assumptions!$A$6:$A$10,X281,Assumptions!$C$6:$C$10),0)</f>
        <v>27.529887236929298</v>
      </c>
      <c r="AI281" s="13">
        <f>IFERROR(IF(Assumptions!$B$13="Cost Price",AB281,AA281)*SUMIF(Assumptions!$A$6:$A$10,X281,Assumptions!$D$6:$D$10),0)</f>
        <v>55.059774473858596</v>
      </c>
      <c r="AJ281" s="13">
        <v>83.128662556400485</v>
      </c>
      <c r="AK281" s="13">
        <f t="shared" si="87"/>
        <v>209.76614384627524</v>
      </c>
      <c r="AL281" s="14">
        <v>0.33</v>
      </c>
      <c r="AM281" s="13">
        <f t="shared" si="88"/>
        <v>274.92160089231072</v>
      </c>
      <c r="AN281" s="14">
        <f t="shared" si="89"/>
        <v>0.49931479654505062</v>
      </c>
      <c r="AO281" t="str">
        <f>IF(AN281&gt;=Assumptions!$B$3,"OK","Review")</f>
        <v>OK</v>
      </c>
    </row>
    <row r="282" spans="1:41" ht="15" customHeight="1">
      <c r="A282" s="9" t="s">
        <v>256</v>
      </c>
      <c r="B282" s="9" t="s">
        <v>35</v>
      </c>
      <c r="C282" s="9" t="s">
        <v>78</v>
      </c>
      <c r="D282" s="9" t="s">
        <v>87</v>
      </c>
      <c r="E282" s="9" t="s">
        <v>73</v>
      </c>
      <c r="F282" s="9" t="s">
        <v>81</v>
      </c>
      <c r="G282" s="9" t="s">
        <v>24</v>
      </c>
      <c r="H282" s="9" t="s">
        <v>84</v>
      </c>
      <c r="I282" s="9">
        <v>4000011769</v>
      </c>
      <c r="J282" s="10">
        <v>19.510000000000002</v>
      </c>
      <c r="K282" s="10"/>
      <c r="L282" s="10">
        <f t="shared" si="72"/>
        <v>19.510000000000002</v>
      </c>
      <c r="M282" s="11">
        <v>0</v>
      </c>
      <c r="N282" s="10">
        <f t="shared" si="73"/>
        <v>0</v>
      </c>
      <c r="O282" s="10">
        <f t="shared" si="74"/>
        <v>19.510000000000002</v>
      </c>
      <c r="P282" s="11">
        <f t="shared" si="75"/>
        <v>6.1559334868898509E-2</v>
      </c>
      <c r="Q282" s="10">
        <f t="shared" si="76"/>
        <v>316.92999999999995</v>
      </c>
      <c r="R282" s="10">
        <f t="shared" si="77"/>
        <v>2647.5639999999999</v>
      </c>
      <c r="S282" s="10">
        <f t="shared" si="78"/>
        <v>162.98227886284042</v>
      </c>
      <c r="T282" s="9" t="s">
        <v>76</v>
      </c>
      <c r="U282" s="10">
        <v>4499</v>
      </c>
      <c r="V282" s="10">
        <f t="shared" si="79"/>
        <v>3149.2999999999997</v>
      </c>
      <c r="W282" s="166">
        <v>490110</v>
      </c>
      <c r="X282" s="12" t="s">
        <v>27</v>
      </c>
      <c r="Y282" s="12">
        <f t="shared" si="80"/>
        <v>162.98227886284042</v>
      </c>
      <c r="Z282" s="13">
        <f t="shared" si="81"/>
        <v>162.98227886284042</v>
      </c>
      <c r="AA282" s="13">
        <f t="shared" si="82"/>
        <v>162.98227886284042</v>
      </c>
      <c r="AB282" s="13">
        <f t="shared" si="83"/>
        <v>19.510000000000002</v>
      </c>
      <c r="AC282" s="13">
        <f t="shared" si="84"/>
        <v>143.47227886284043</v>
      </c>
      <c r="AD282" s="14">
        <f t="shared" si="85"/>
        <v>0.88029373416468881</v>
      </c>
      <c r="AE282" s="14">
        <f t="shared" si="86"/>
        <v>7.3537815921496881</v>
      </c>
      <c r="AF282" s="13" t="str">
        <f>IF(AD282&gt;=Assumptions!$B$3,"OK","Review")</f>
        <v>OK</v>
      </c>
      <c r="AG282" s="13">
        <f>IFERROR(IF(Assumptions!$B$13="Cost Price",AB282,AA282)*SUMIF(Assumptions!$A$6:$A$10,X282,Assumptions!$B$6:$B$10),0)</f>
        <v>13.038582309027234</v>
      </c>
      <c r="AH282" s="13">
        <f>IFERROR(IF(Assumptions!$B$13="Cost Price",AB282,AA282)*SUMIF(Assumptions!$A$6:$A$10,X282,Assumptions!$C$6:$C$10),0)</f>
        <v>8.1491139431420212</v>
      </c>
      <c r="AI282" s="13">
        <f>IFERROR(IF(Assumptions!$B$13="Cost Price",AB282,AA282)*SUMIF(Assumptions!$A$6:$A$10,X282,Assumptions!$D$6:$D$10),0)</f>
        <v>16.298227886284042</v>
      </c>
      <c r="AJ282" s="13">
        <v>24.606891313539276</v>
      </c>
      <c r="AK282" s="13">
        <f t="shared" si="87"/>
        <v>62.092815451992578</v>
      </c>
      <c r="AL282" s="14">
        <v>0.33</v>
      </c>
      <c r="AM282" s="13">
        <f t="shared" si="88"/>
        <v>81.379463410847848</v>
      </c>
      <c r="AN282" s="14">
        <f t="shared" si="89"/>
        <v>0.49931479654505051</v>
      </c>
      <c r="AO282" t="str">
        <f>IF(AN282&gt;=Assumptions!$B$3,"OK","Review")</f>
        <v>OK</v>
      </c>
    </row>
    <row r="283" spans="1:41" ht="15" customHeight="1">
      <c r="A283" s="9" t="s">
        <v>256</v>
      </c>
      <c r="B283" s="9" t="s">
        <v>35</v>
      </c>
      <c r="C283" s="9" t="s">
        <v>243</v>
      </c>
      <c r="D283" s="9" t="s">
        <v>244</v>
      </c>
      <c r="E283" s="9" t="s">
        <v>73</v>
      </c>
      <c r="F283" s="9" t="s">
        <v>90</v>
      </c>
      <c r="G283" s="9" t="s">
        <v>24</v>
      </c>
      <c r="H283" s="9" t="s">
        <v>75</v>
      </c>
      <c r="I283" s="9">
        <v>7000001001</v>
      </c>
      <c r="J283" s="10">
        <v>106.6</v>
      </c>
      <c r="K283" s="10">
        <v>10</v>
      </c>
      <c r="L283" s="10">
        <f t="shared" si="72"/>
        <v>116.6</v>
      </c>
      <c r="M283" s="11">
        <v>0.18</v>
      </c>
      <c r="N283" s="10">
        <f t="shared" si="73"/>
        <v>20.988</v>
      </c>
      <c r="O283" s="10">
        <f t="shared" si="74"/>
        <v>137.58799999999999</v>
      </c>
      <c r="P283" s="11">
        <f t="shared" si="75"/>
        <v>0.54844778927563498</v>
      </c>
      <c r="Q283" s="10">
        <f t="shared" si="76"/>
        <v>250.86799999999999</v>
      </c>
      <c r="R283" s="10">
        <f t="shared" si="77"/>
        <v>2647.5639999999999</v>
      </c>
      <c r="S283" s="10">
        <f t="shared" si="78"/>
        <v>137.58799999999999</v>
      </c>
      <c r="T283" s="9" t="s">
        <v>91</v>
      </c>
      <c r="U283" s="10">
        <v>4499</v>
      </c>
      <c r="V283" s="10">
        <f t="shared" si="79"/>
        <v>3149.2999999999997</v>
      </c>
      <c r="W283" s="166">
        <v>49119990</v>
      </c>
      <c r="X283" s="12" t="s">
        <v>27</v>
      </c>
      <c r="Y283" s="12">
        <f t="shared" si="80"/>
        <v>137.58799999999999</v>
      </c>
      <c r="Z283" s="13">
        <f t="shared" si="81"/>
        <v>137.58799999999999</v>
      </c>
      <c r="AA283" s="13">
        <f t="shared" si="82"/>
        <v>116.6</v>
      </c>
      <c r="AB283" s="13">
        <f t="shared" si="83"/>
        <v>106.6</v>
      </c>
      <c r="AC283" s="13">
        <f t="shared" si="84"/>
        <v>10</v>
      </c>
      <c r="AD283" s="14">
        <f t="shared" si="85"/>
        <v>8.5763293310463132E-2</v>
      </c>
      <c r="AE283" s="14">
        <f t="shared" si="86"/>
        <v>9.3808630393996256E-2</v>
      </c>
      <c r="AF283" s="13" t="str">
        <f>IF(AD283&gt;=Assumptions!$B$3,"OK","Review")</f>
        <v>Review</v>
      </c>
      <c r="AG283" s="13">
        <f>IFERROR(IF(Assumptions!$B$13="Cost Price",AB283,AA283)*SUMIF(Assumptions!$A$6:$A$10,X283,Assumptions!$B$6:$B$10),0)</f>
        <v>9.3279999999999994</v>
      </c>
      <c r="AH283" s="13">
        <f>IFERROR(IF(Assumptions!$B$13="Cost Price",AB283,AA283)*SUMIF(Assumptions!$A$6:$A$10,X283,Assumptions!$C$6:$C$10),0)</f>
        <v>5.83</v>
      </c>
      <c r="AI283" s="13">
        <f>IFERROR(IF(Assumptions!$B$13="Cost Price",AB283,AA283)*SUMIF(Assumptions!$A$6:$A$10,X283,Assumptions!$D$6:$D$10),0)</f>
        <v>11.66</v>
      </c>
      <c r="AJ283" s="13">
        <v>11.66</v>
      </c>
      <c r="AK283" s="13">
        <f t="shared" si="87"/>
        <v>38.477999999999994</v>
      </c>
      <c r="AL283" s="14">
        <v>0.33</v>
      </c>
      <c r="AM283" s="13">
        <f t="shared" si="88"/>
        <v>-28.477999999999994</v>
      </c>
      <c r="AN283" s="14">
        <f t="shared" si="89"/>
        <v>-0.24423670668953684</v>
      </c>
      <c r="AO283" t="str">
        <f>IF(AN283&gt;=Assumptions!$B$3,"OK","Review")</f>
        <v>Review</v>
      </c>
    </row>
    <row r="284" spans="1:41" ht="15" customHeight="1">
      <c r="A284" s="9" t="s">
        <v>256</v>
      </c>
      <c r="B284" s="9" t="s">
        <v>35</v>
      </c>
      <c r="C284" s="9" t="s">
        <v>92</v>
      </c>
      <c r="D284" s="9" t="s">
        <v>93</v>
      </c>
      <c r="E284" s="9" t="s">
        <v>73</v>
      </c>
      <c r="F284" s="9" t="s">
        <v>94</v>
      </c>
      <c r="G284" s="9" t="s">
        <v>24</v>
      </c>
      <c r="H284" s="9" t="s">
        <v>75</v>
      </c>
      <c r="I284" s="9">
        <v>8400007</v>
      </c>
      <c r="J284" s="10">
        <v>96</v>
      </c>
      <c r="K284" s="10"/>
      <c r="L284" s="10">
        <f t="shared" si="72"/>
        <v>96</v>
      </c>
      <c r="M284" s="11">
        <v>0.18</v>
      </c>
      <c r="N284" s="10">
        <f t="shared" si="73"/>
        <v>17.28</v>
      </c>
      <c r="O284" s="10">
        <f t="shared" si="74"/>
        <v>113.28</v>
      </c>
      <c r="P284" s="11">
        <f t="shared" si="75"/>
        <v>0.45155221072436502</v>
      </c>
      <c r="Q284" s="10">
        <f t="shared" si="76"/>
        <v>250.86799999999999</v>
      </c>
      <c r="R284" s="10">
        <f t="shared" si="77"/>
        <v>2647.5639999999999</v>
      </c>
      <c r="S284" s="10">
        <f t="shared" si="78"/>
        <v>113.28</v>
      </c>
      <c r="T284" s="9" t="s">
        <v>91</v>
      </c>
      <c r="U284" s="10">
        <v>4499</v>
      </c>
      <c r="V284" s="10">
        <f t="shared" si="79"/>
        <v>3149.2999999999997</v>
      </c>
      <c r="W284" s="166">
        <v>999299</v>
      </c>
      <c r="X284" s="12" t="s">
        <v>27</v>
      </c>
      <c r="Y284" s="12">
        <f t="shared" si="80"/>
        <v>113.28</v>
      </c>
      <c r="Z284" s="13">
        <f t="shared" si="81"/>
        <v>113.28</v>
      </c>
      <c r="AA284" s="13">
        <f t="shared" si="82"/>
        <v>96</v>
      </c>
      <c r="AB284" s="13">
        <f t="shared" si="83"/>
        <v>96</v>
      </c>
      <c r="AC284" s="13">
        <f t="shared" si="84"/>
        <v>0</v>
      </c>
      <c r="AD284" s="14">
        <f t="shared" si="85"/>
        <v>0</v>
      </c>
      <c r="AE284" s="14">
        <f t="shared" si="86"/>
        <v>0</v>
      </c>
      <c r="AF284" s="13" t="str">
        <f>IF(AD284&gt;=Assumptions!$B$3,"OK","Review")</f>
        <v>Review</v>
      </c>
      <c r="AG284" s="13">
        <f>IFERROR(IF(Assumptions!$B$13="Cost Price",AB284,AA284)*SUMIF(Assumptions!$A$6:$A$10,X284,Assumptions!$B$6:$B$10),0)</f>
        <v>7.68</v>
      </c>
      <c r="AH284" s="13">
        <f>IFERROR(IF(Assumptions!$B$13="Cost Price",AB284,AA284)*SUMIF(Assumptions!$A$6:$A$10,X284,Assumptions!$C$6:$C$10),0)</f>
        <v>4.8000000000000007</v>
      </c>
      <c r="AI284" s="13">
        <f>IFERROR(IF(Assumptions!$B$13="Cost Price",AB284,AA284)*SUMIF(Assumptions!$A$6:$A$10,X284,Assumptions!$D$6:$D$10),0)</f>
        <v>9.6000000000000014</v>
      </c>
      <c r="AJ284" s="13">
        <v>9.6000000000000014</v>
      </c>
      <c r="AK284" s="13">
        <f t="shared" si="87"/>
        <v>31.680000000000003</v>
      </c>
      <c r="AL284" s="14">
        <v>0.33</v>
      </c>
      <c r="AM284" s="13">
        <f t="shared" si="88"/>
        <v>-31.680000000000003</v>
      </c>
      <c r="AN284" s="14">
        <f t="shared" si="89"/>
        <v>-0.33</v>
      </c>
      <c r="AO284" t="str">
        <f>IF(AN284&gt;=Assumptions!$B$3,"OK","Review")</f>
        <v>Review</v>
      </c>
    </row>
    <row r="285" spans="1:41" ht="15" customHeight="1">
      <c r="A285" s="9" t="s">
        <v>256</v>
      </c>
      <c r="B285" s="9" t="s">
        <v>36</v>
      </c>
      <c r="C285" s="9" t="s">
        <v>71</v>
      </c>
      <c r="D285" s="9" t="s">
        <v>95</v>
      </c>
      <c r="E285" s="9" t="s">
        <v>73</v>
      </c>
      <c r="F285" s="9" t="s">
        <v>74</v>
      </c>
      <c r="G285" s="9" t="s">
        <v>24</v>
      </c>
      <c r="H285" s="9" t="s">
        <v>75</v>
      </c>
      <c r="I285" s="9">
        <v>4000011861</v>
      </c>
      <c r="J285" s="10">
        <v>40.090000000000003</v>
      </c>
      <c r="K285" s="10"/>
      <c r="L285" s="10">
        <f t="shared" si="72"/>
        <v>40.090000000000003</v>
      </c>
      <c r="M285" s="11">
        <v>0</v>
      </c>
      <c r="N285" s="10">
        <f t="shared" si="73"/>
        <v>0</v>
      </c>
      <c r="O285" s="10">
        <f t="shared" si="74"/>
        <v>40.090000000000003</v>
      </c>
      <c r="P285" s="11">
        <f t="shared" si="75"/>
        <v>0.12098623853211012</v>
      </c>
      <c r="Q285" s="10">
        <f t="shared" si="76"/>
        <v>331.35999999999996</v>
      </c>
      <c r="R285" s="10">
        <f t="shared" si="77"/>
        <v>2618.5359999999996</v>
      </c>
      <c r="S285" s="10">
        <f t="shared" si="78"/>
        <v>316.80682110091743</v>
      </c>
      <c r="T285" s="9" t="s">
        <v>76</v>
      </c>
      <c r="U285" s="10">
        <v>4499</v>
      </c>
      <c r="V285" s="10">
        <f t="shared" si="79"/>
        <v>3149.2999999999997</v>
      </c>
      <c r="W285" s="166">
        <v>490110</v>
      </c>
      <c r="X285" s="12" t="s">
        <v>27</v>
      </c>
      <c r="Y285" s="12">
        <f t="shared" si="80"/>
        <v>316.80682110091743</v>
      </c>
      <c r="Z285" s="13">
        <f t="shared" si="81"/>
        <v>316.80682110091743</v>
      </c>
      <c r="AA285" s="13">
        <f t="shared" si="82"/>
        <v>316.80682110091743</v>
      </c>
      <c r="AB285" s="13">
        <f t="shared" si="83"/>
        <v>40.090000000000003</v>
      </c>
      <c r="AC285" s="13">
        <f t="shared" si="84"/>
        <v>276.7168211009174</v>
      </c>
      <c r="AD285" s="14">
        <f t="shared" si="85"/>
        <v>0.87345600747898811</v>
      </c>
      <c r="AE285" s="14">
        <f t="shared" si="86"/>
        <v>6.9023901496861404</v>
      </c>
      <c r="AF285" s="13" t="str">
        <f>IF(AD285&gt;=Assumptions!$B$3,"OK","Review")</f>
        <v>OK</v>
      </c>
      <c r="AG285" s="13">
        <f>IFERROR(IF(Assumptions!$B$13="Cost Price",AB285,AA285)*SUMIF(Assumptions!$A$6:$A$10,X285,Assumptions!$B$6:$B$10),0)</f>
        <v>25.344545688073396</v>
      </c>
      <c r="AH285" s="13">
        <f>IFERROR(IF(Assumptions!$B$13="Cost Price",AB285,AA285)*SUMIF(Assumptions!$A$6:$A$10,X285,Assumptions!$C$6:$C$10),0)</f>
        <v>15.840341055045872</v>
      </c>
      <c r="AI285" s="13">
        <f>IFERROR(IF(Assumptions!$B$13="Cost Price",AB285,AA285)*SUMIF(Assumptions!$A$6:$A$10,X285,Assumptions!$D$6:$D$10),0)</f>
        <v>31.680682110091745</v>
      </c>
      <c r="AJ285" s="13">
        <v>48.010194724770656</v>
      </c>
      <c r="AK285" s="13">
        <f t="shared" si="87"/>
        <v>120.87576357798167</v>
      </c>
      <c r="AL285" s="14">
        <v>0.33</v>
      </c>
      <c r="AM285" s="13">
        <f t="shared" si="88"/>
        <v>155.84105752293573</v>
      </c>
      <c r="AN285" s="14">
        <f t="shared" si="89"/>
        <v>0.49191193857941978</v>
      </c>
      <c r="AO285" t="str">
        <f>IF(AN285&gt;=Assumptions!$B$3,"OK","Review")</f>
        <v>OK</v>
      </c>
    </row>
    <row r="286" spans="1:41" ht="15" customHeight="1">
      <c r="A286" s="9" t="s">
        <v>256</v>
      </c>
      <c r="B286" s="9" t="s">
        <v>36</v>
      </c>
      <c r="C286" s="9" t="s">
        <v>71</v>
      </c>
      <c r="D286" s="9" t="s">
        <v>96</v>
      </c>
      <c r="E286" s="9" t="s">
        <v>73</v>
      </c>
      <c r="F286" s="9" t="s">
        <v>74</v>
      </c>
      <c r="G286" s="9" t="s">
        <v>24</v>
      </c>
      <c r="H286" s="9" t="s">
        <v>75</v>
      </c>
      <c r="I286" s="9">
        <v>4000011872</v>
      </c>
      <c r="J286" s="10">
        <v>21.01</v>
      </c>
      <c r="K286" s="10"/>
      <c r="L286" s="10">
        <f t="shared" si="72"/>
        <v>21.01</v>
      </c>
      <c r="M286" s="11">
        <v>0</v>
      </c>
      <c r="N286" s="10">
        <f t="shared" si="73"/>
        <v>0</v>
      </c>
      <c r="O286" s="10">
        <f t="shared" si="74"/>
        <v>21.01</v>
      </c>
      <c r="P286" s="11">
        <f t="shared" si="75"/>
        <v>6.3405359729599237E-2</v>
      </c>
      <c r="Q286" s="10">
        <f t="shared" si="76"/>
        <v>331.35999999999996</v>
      </c>
      <c r="R286" s="10">
        <f t="shared" si="77"/>
        <v>2618.5359999999996</v>
      </c>
      <c r="S286" s="10">
        <f t="shared" si="78"/>
        <v>166.02921704490583</v>
      </c>
      <c r="T286" s="9" t="s">
        <v>76</v>
      </c>
      <c r="U286" s="10">
        <v>4499</v>
      </c>
      <c r="V286" s="10">
        <f t="shared" si="79"/>
        <v>3149.2999999999997</v>
      </c>
      <c r="W286" s="166">
        <v>490110</v>
      </c>
      <c r="X286" s="12" t="s">
        <v>27</v>
      </c>
      <c r="Y286" s="12">
        <f t="shared" si="80"/>
        <v>166.02921704490583</v>
      </c>
      <c r="Z286" s="13">
        <f t="shared" si="81"/>
        <v>166.02921704490583</v>
      </c>
      <c r="AA286" s="13">
        <f t="shared" si="82"/>
        <v>166.02921704490583</v>
      </c>
      <c r="AB286" s="13">
        <f t="shared" si="83"/>
        <v>21.01</v>
      </c>
      <c r="AC286" s="13">
        <f t="shared" si="84"/>
        <v>145.01921704490584</v>
      </c>
      <c r="AD286" s="14">
        <f t="shared" si="85"/>
        <v>0.87345600747898833</v>
      </c>
      <c r="AE286" s="14">
        <f t="shared" si="86"/>
        <v>6.9023901496861413</v>
      </c>
      <c r="AF286" s="13" t="str">
        <f>IF(AD286&gt;=Assumptions!$B$3,"OK","Review")</f>
        <v>OK</v>
      </c>
      <c r="AG286" s="13">
        <f>IFERROR(IF(Assumptions!$B$13="Cost Price",AB286,AA286)*SUMIF(Assumptions!$A$6:$A$10,X286,Assumptions!$B$6:$B$10),0)</f>
        <v>13.282337363592466</v>
      </c>
      <c r="AH286" s="13">
        <f>IFERROR(IF(Assumptions!$B$13="Cost Price",AB286,AA286)*SUMIF(Assumptions!$A$6:$A$10,X286,Assumptions!$C$6:$C$10),0)</f>
        <v>8.3014608522452917</v>
      </c>
      <c r="AI286" s="13">
        <f>IFERROR(IF(Assumptions!$B$13="Cost Price",AB286,AA286)*SUMIF(Assumptions!$A$6:$A$10,X286,Assumptions!$D$6:$D$10),0)</f>
        <v>16.602921704490583</v>
      </c>
      <c r="AJ286" s="13">
        <v>25.160743107194595</v>
      </c>
      <c r="AK286" s="13">
        <f t="shared" si="87"/>
        <v>63.347463027522934</v>
      </c>
      <c r="AL286" s="14">
        <v>0.33</v>
      </c>
      <c r="AM286" s="13">
        <f t="shared" si="88"/>
        <v>81.671754017382909</v>
      </c>
      <c r="AN286" s="14">
        <f t="shared" si="89"/>
        <v>0.49191193857942001</v>
      </c>
      <c r="AO286" t="str">
        <f>IF(AN286&gt;=Assumptions!$B$3,"OK","Review")</f>
        <v>OK</v>
      </c>
    </row>
    <row r="287" spans="1:41" ht="15" customHeight="1">
      <c r="A287" s="9" t="s">
        <v>256</v>
      </c>
      <c r="B287" s="9" t="s">
        <v>36</v>
      </c>
      <c r="C287" s="9" t="s">
        <v>78</v>
      </c>
      <c r="D287" s="9" t="s">
        <v>97</v>
      </c>
      <c r="E287" s="9" t="s">
        <v>73</v>
      </c>
      <c r="F287" s="9" t="s">
        <v>74</v>
      </c>
      <c r="G287" s="9" t="s">
        <v>24</v>
      </c>
      <c r="H287" s="9" t="s">
        <v>75</v>
      </c>
      <c r="I287" s="9">
        <v>4000011837</v>
      </c>
      <c r="J287" s="10">
        <v>20.100000000000001</v>
      </c>
      <c r="K287" s="10"/>
      <c r="L287" s="10">
        <f t="shared" si="72"/>
        <v>20.100000000000001</v>
      </c>
      <c r="M287" s="11">
        <v>0</v>
      </c>
      <c r="N287" s="10">
        <f t="shared" si="73"/>
        <v>0</v>
      </c>
      <c r="O287" s="10">
        <f t="shared" si="74"/>
        <v>20.100000000000001</v>
      </c>
      <c r="P287" s="11">
        <f t="shared" si="75"/>
        <v>6.0659101883148249E-2</v>
      </c>
      <c r="Q287" s="10">
        <f t="shared" si="76"/>
        <v>331.35999999999996</v>
      </c>
      <c r="R287" s="10">
        <f t="shared" si="77"/>
        <v>2618.5359999999996</v>
      </c>
      <c r="S287" s="10">
        <f t="shared" si="78"/>
        <v>158.83804200869145</v>
      </c>
      <c r="T287" s="9" t="s">
        <v>76</v>
      </c>
      <c r="U287" s="10">
        <v>4499</v>
      </c>
      <c r="V287" s="10">
        <f t="shared" si="79"/>
        <v>3149.2999999999997</v>
      </c>
      <c r="W287" s="166">
        <v>490110</v>
      </c>
      <c r="X287" s="12" t="s">
        <v>27</v>
      </c>
      <c r="Y287" s="12">
        <f t="shared" si="80"/>
        <v>158.83804200869145</v>
      </c>
      <c r="Z287" s="13">
        <f t="shared" si="81"/>
        <v>158.83804200869145</v>
      </c>
      <c r="AA287" s="13">
        <f t="shared" si="82"/>
        <v>158.83804200869145</v>
      </c>
      <c r="AB287" s="13">
        <f t="shared" si="83"/>
        <v>20.100000000000001</v>
      </c>
      <c r="AC287" s="13">
        <f t="shared" si="84"/>
        <v>138.73804200869145</v>
      </c>
      <c r="AD287" s="14">
        <f t="shared" si="85"/>
        <v>0.87345600747898833</v>
      </c>
      <c r="AE287" s="14">
        <f t="shared" si="86"/>
        <v>6.9023901496861413</v>
      </c>
      <c r="AF287" s="13" t="str">
        <f>IF(AD287&gt;=Assumptions!$B$3,"OK","Review")</f>
        <v>OK</v>
      </c>
      <c r="AG287" s="13">
        <f>IFERROR(IF(Assumptions!$B$13="Cost Price",AB287,AA287)*SUMIF(Assumptions!$A$6:$A$10,X287,Assumptions!$B$6:$B$10),0)</f>
        <v>12.707043360695316</v>
      </c>
      <c r="AH287" s="13">
        <f>IFERROR(IF(Assumptions!$B$13="Cost Price",AB287,AA287)*SUMIF(Assumptions!$A$6:$A$10,X287,Assumptions!$C$6:$C$10),0)</f>
        <v>7.9419021004345725</v>
      </c>
      <c r="AI287" s="13">
        <f>IFERROR(IF(Assumptions!$B$13="Cost Price",AB287,AA287)*SUMIF(Assumptions!$A$6:$A$10,X287,Assumptions!$D$6:$D$10),0)</f>
        <v>15.883804200869145</v>
      </c>
      <c r="AJ287" s="13">
        <v>24.070963182037669</v>
      </c>
      <c r="AK287" s="13">
        <f t="shared" si="87"/>
        <v>60.603712844036707</v>
      </c>
      <c r="AL287" s="14">
        <v>0.33</v>
      </c>
      <c r="AM287" s="13">
        <f t="shared" si="88"/>
        <v>78.134329164654744</v>
      </c>
      <c r="AN287" s="14">
        <f t="shared" si="89"/>
        <v>0.49191193857941989</v>
      </c>
      <c r="AO287" t="str">
        <f>IF(AN287&gt;=Assumptions!$B$3,"OK","Review")</f>
        <v>OK</v>
      </c>
    </row>
    <row r="288" spans="1:41" ht="15" customHeight="1">
      <c r="A288" s="9" t="s">
        <v>256</v>
      </c>
      <c r="B288" s="9" t="s">
        <v>36</v>
      </c>
      <c r="C288" s="9" t="s">
        <v>78</v>
      </c>
      <c r="D288" s="9" t="s">
        <v>98</v>
      </c>
      <c r="E288" s="9" t="s">
        <v>73</v>
      </c>
      <c r="F288" s="9" t="s">
        <v>81</v>
      </c>
      <c r="G288" s="9" t="s">
        <v>24</v>
      </c>
      <c r="H288" s="9" t="s">
        <v>75</v>
      </c>
      <c r="I288" s="9">
        <v>4000011826</v>
      </c>
      <c r="J288" s="10">
        <v>66.38</v>
      </c>
      <c r="K288" s="10"/>
      <c r="L288" s="10">
        <f t="shared" si="72"/>
        <v>66.38</v>
      </c>
      <c r="M288" s="11">
        <v>0</v>
      </c>
      <c r="N288" s="10">
        <f t="shared" si="73"/>
        <v>0</v>
      </c>
      <c r="O288" s="10">
        <f t="shared" si="74"/>
        <v>66.38</v>
      </c>
      <c r="P288" s="11">
        <f t="shared" si="75"/>
        <v>0.20032592950265574</v>
      </c>
      <c r="Q288" s="10">
        <f t="shared" si="76"/>
        <v>331.35999999999996</v>
      </c>
      <c r="R288" s="10">
        <f t="shared" si="77"/>
        <v>2618.5359999999996</v>
      </c>
      <c r="S288" s="10">
        <f t="shared" si="78"/>
        <v>524.56065813616601</v>
      </c>
      <c r="T288" s="9" t="s">
        <v>76</v>
      </c>
      <c r="U288" s="10">
        <v>4499</v>
      </c>
      <c r="V288" s="10">
        <f t="shared" si="79"/>
        <v>3149.2999999999997</v>
      </c>
      <c r="W288" s="166">
        <v>490110</v>
      </c>
      <c r="X288" s="12" t="s">
        <v>27</v>
      </c>
      <c r="Y288" s="12">
        <f t="shared" si="80"/>
        <v>524.56065813616601</v>
      </c>
      <c r="Z288" s="13">
        <f t="shared" si="81"/>
        <v>524.56065813616601</v>
      </c>
      <c r="AA288" s="13">
        <f t="shared" si="82"/>
        <v>524.56065813616601</v>
      </c>
      <c r="AB288" s="13">
        <f t="shared" si="83"/>
        <v>66.38</v>
      </c>
      <c r="AC288" s="13">
        <f t="shared" si="84"/>
        <v>458.18065813616602</v>
      </c>
      <c r="AD288" s="14">
        <f t="shared" si="85"/>
        <v>0.87345600747898822</v>
      </c>
      <c r="AE288" s="14">
        <f t="shared" si="86"/>
        <v>6.9023901496861413</v>
      </c>
      <c r="AF288" s="13" t="str">
        <f>IF(AD288&gt;=Assumptions!$B$3,"OK","Review")</f>
        <v>OK</v>
      </c>
      <c r="AG288" s="13">
        <f>IFERROR(IF(Assumptions!$B$13="Cost Price",AB288,AA288)*SUMIF(Assumptions!$A$6:$A$10,X288,Assumptions!$B$6:$B$10),0)</f>
        <v>41.964852650893285</v>
      </c>
      <c r="AH288" s="13">
        <f>IFERROR(IF(Assumptions!$B$13="Cost Price",AB288,AA288)*SUMIF(Assumptions!$A$6:$A$10,X288,Assumptions!$C$6:$C$10),0)</f>
        <v>26.228032906808302</v>
      </c>
      <c r="AI288" s="13">
        <f>IFERROR(IF(Assumptions!$B$13="Cost Price",AB288,AA288)*SUMIF(Assumptions!$A$6:$A$10,X288,Assumptions!$D$6:$D$10),0)</f>
        <v>52.456065813616604</v>
      </c>
      <c r="AJ288" s="13">
        <v>79.494056518590071</v>
      </c>
      <c r="AK288" s="13">
        <f t="shared" si="87"/>
        <v>200.14300788990826</v>
      </c>
      <c r="AL288" s="14">
        <v>0.33</v>
      </c>
      <c r="AM288" s="13">
        <f t="shared" si="88"/>
        <v>258.03765024625773</v>
      </c>
      <c r="AN288" s="14">
        <f t="shared" si="89"/>
        <v>0.49191193857941978</v>
      </c>
      <c r="AO288" t="str">
        <f>IF(AN288&gt;=Assumptions!$B$3,"OK","Review")</f>
        <v>OK</v>
      </c>
    </row>
    <row r="289" spans="1:41" ht="15" customHeight="1">
      <c r="A289" s="9" t="s">
        <v>256</v>
      </c>
      <c r="B289" s="9" t="s">
        <v>36</v>
      </c>
      <c r="C289" s="9" t="s">
        <v>78</v>
      </c>
      <c r="D289" s="9" t="s">
        <v>99</v>
      </c>
      <c r="E289" s="9" t="s">
        <v>73</v>
      </c>
      <c r="F289" s="9" t="s">
        <v>81</v>
      </c>
      <c r="G289" s="9" t="s">
        <v>24</v>
      </c>
      <c r="H289" s="9" t="s">
        <v>75</v>
      </c>
      <c r="I289" s="9">
        <v>4000011846</v>
      </c>
      <c r="J289" s="10">
        <v>25.48</v>
      </c>
      <c r="K289" s="10"/>
      <c r="L289" s="10">
        <f t="shared" si="72"/>
        <v>25.48</v>
      </c>
      <c r="M289" s="11">
        <v>0</v>
      </c>
      <c r="N289" s="10">
        <f t="shared" si="73"/>
        <v>0</v>
      </c>
      <c r="O289" s="10">
        <f t="shared" si="74"/>
        <v>25.48</v>
      </c>
      <c r="P289" s="11">
        <f t="shared" si="75"/>
        <v>7.6895219700627723E-2</v>
      </c>
      <c r="Q289" s="10">
        <f t="shared" si="76"/>
        <v>331.35999999999996</v>
      </c>
      <c r="R289" s="10">
        <f t="shared" si="77"/>
        <v>2618.5359999999996</v>
      </c>
      <c r="S289" s="10">
        <f t="shared" si="78"/>
        <v>201.3529010140029</v>
      </c>
      <c r="T289" s="9" t="s">
        <v>76</v>
      </c>
      <c r="U289" s="10">
        <v>4499</v>
      </c>
      <c r="V289" s="10">
        <f t="shared" si="79"/>
        <v>3149.2999999999997</v>
      </c>
      <c r="W289" s="166">
        <v>490110</v>
      </c>
      <c r="X289" s="12" t="s">
        <v>27</v>
      </c>
      <c r="Y289" s="12">
        <f t="shared" si="80"/>
        <v>201.3529010140029</v>
      </c>
      <c r="Z289" s="13">
        <f t="shared" si="81"/>
        <v>201.3529010140029</v>
      </c>
      <c r="AA289" s="13">
        <f t="shared" si="82"/>
        <v>201.3529010140029</v>
      </c>
      <c r="AB289" s="13">
        <f t="shared" si="83"/>
        <v>25.48</v>
      </c>
      <c r="AC289" s="13">
        <f t="shared" si="84"/>
        <v>175.87290101400291</v>
      </c>
      <c r="AD289" s="14">
        <f t="shared" si="85"/>
        <v>0.87345600747898833</v>
      </c>
      <c r="AE289" s="14">
        <f t="shared" si="86"/>
        <v>6.9023901496861422</v>
      </c>
      <c r="AF289" s="13" t="str">
        <f>IF(AD289&gt;=Assumptions!$B$3,"OK","Review")</f>
        <v>OK</v>
      </c>
      <c r="AG289" s="13">
        <f>IFERROR(IF(Assumptions!$B$13="Cost Price",AB289,AA289)*SUMIF(Assumptions!$A$6:$A$10,X289,Assumptions!$B$6:$B$10),0)</f>
        <v>16.108232081120232</v>
      </c>
      <c r="AH289" s="13">
        <f>IFERROR(IF(Assumptions!$B$13="Cost Price",AB289,AA289)*SUMIF(Assumptions!$A$6:$A$10,X289,Assumptions!$C$6:$C$10),0)</f>
        <v>10.067645050700145</v>
      </c>
      <c r="AI289" s="13">
        <f>IFERROR(IF(Assumptions!$B$13="Cost Price",AB289,AA289)*SUMIF(Assumptions!$A$6:$A$10,X289,Assumptions!$D$6:$D$10),0)</f>
        <v>20.13529010140029</v>
      </c>
      <c r="AJ289" s="13">
        <v>30.513837904394013</v>
      </c>
      <c r="AK289" s="13">
        <f t="shared" si="87"/>
        <v>76.825005137614681</v>
      </c>
      <c r="AL289" s="14">
        <v>0.33</v>
      </c>
      <c r="AM289" s="13">
        <f t="shared" si="88"/>
        <v>99.047895876388225</v>
      </c>
      <c r="AN289" s="14">
        <f t="shared" si="89"/>
        <v>0.49191193857942001</v>
      </c>
      <c r="AO289" t="str">
        <f>IF(AN289&gt;=Assumptions!$B$3,"OK","Review")</f>
        <v>OK</v>
      </c>
    </row>
    <row r="290" spans="1:41" ht="15" customHeight="1">
      <c r="A290" s="9" t="s">
        <v>256</v>
      </c>
      <c r="B290" s="9" t="s">
        <v>36</v>
      </c>
      <c r="C290" s="9" t="s">
        <v>71</v>
      </c>
      <c r="D290" s="9" t="s">
        <v>100</v>
      </c>
      <c r="E290" s="9" t="s">
        <v>73</v>
      </c>
      <c r="F290" s="9" t="s">
        <v>74</v>
      </c>
      <c r="G290" s="9" t="s">
        <v>24</v>
      </c>
      <c r="H290" s="9" t="s">
        <v>84</v>
      </c>
      <c r="I290" s="9">
        <v>4000011847</v>
      </c>
      <c r="J290" s="10">
        <v>50.5</v>
      </c>
      <c r="K290" s="10"/>
      <c r="L290" s="10">
        <f t="shared" si="72"/>
        <v>50.5</v>
      </c>
      <c r="M290" s="11">
        <v>0</v>
      </c>
      <c r="N290" s="10">
        <f t="shared" si="73"/>
        <v>0</v>
      </c>
      <c r="O290" s="10">
        <f t="shared" si="74"/>
        <v>50.5</v>
      </c>
      <c r="P290" s="11">
        <f t="shared" si="75"/>
        <v>0.15240222114920329</v>
      </c>
      <c r="Q290" s="10">
        <f t="shared" si="76"/>
        <v>331.35999999999996</v>
      </c>
      <c r="R290" s="10">
        <f t="shared" si="77"/>
        <v>2618.5359999999996</v>
      </c>
      <c r="S290" s="10">
        <f t="shared" si="78"/>
        <v>399.07070255915011</v>
      </c>
      <c r="T290" s="9" t="s">
        <v>76</v>
      </c>
      <c r="U290" s="10">
        <v>4499</v>
      </c>
      <c r="V290" s="10">
        <f t="shared" si="79"/>
        <v>3149.2999999999997</v>
      </c>
      <c r="W290" s="166">
        <v>490110</v>
      </c>
      <c r="X290" s="12" t="s">
        <v>27</v>
      </c>
      <c r="Y290" s="12">
        <f t="shared" si="80"/>
        <v>399.07070255915011</v>
      </c>
      <c r="Z290" s="13">
        <f t="shared" si="81"/>
        <v>399.07070255915011</v>
      </c>
      <c r="AA290" s="13">
        <f t="shared" si="82"/>
        <v>399.07070255915011</v>
      </c>
      <c r="AB290" s="13">
        <f t="shared" si="83"/>
        <v>50.5</v>
      </c>
      <c r="AC290" s="13">
        <f t="shared" si="84"/>
        <v>348.57070255915011</v>
      </c>
      <c r="AD290" s="14">
        <f t="shared" si="85"/>
        <v>0.87345600747898822</v>
      </c>
      <c r="AE290" s="14">
        <f t="shared" si="86"/>
        <v>6.9023901496861404</v>
      </c>
      <c r="AF290" s="13" t="str">
        <f>IF(AD290&gt;=Assumptions!$B$3,"OK","Review")</f>
        <v>OK</v>
      </c>
      <c r="AG290" s="13">
        <f>IFERROR(IF(Assumptions!$B$13="Cost Price",AB290,AA290)*SUMIF(Assumptions!$A$6:$A$10,X290,Assumptions!$B$6:$B$10),0)</f>
        <v>31.925656204732011</v>
      </c>
      <c r="AH290" s="13">
        <f>IFERROR(IF(Assumptions!$B$13="Cost Price",AB290,AA290)*SUMIF(Assumptions!$A$6:$A$10,X290,Assumptions!$C$6:$C$10),0)</f>
        <v>19.953535127957508</v>
      </c>
      <c r="AI290" s="13">
        <f>IFERROR(IF(Assumptions!$B$13="Cost Price",AB290,AA290)*SUMIF(Assumptions!$A$6:$A$10,X290,Assumptions!$D$6:$D$10),0)</f>
        <v>39.907070255915016</v>
      </c>
      <c r="AJ290" s="13">
        <v>60.476798044422985</v>
      </c>
      <c r="AK290" s="13">
        <f t="shared" si="87"/>
        <v>152.26305963302752</v>
      </c>
      <c r="AL290" s="14">
        <v>0.33</v>
      </c>
      <c r="AM290" s="13">
        <f t="shared" si="88"/>
        <v>196.30764292612258</v>
      </c>
      <c r="AN290" s="14">
        <f t="shared" si="89"/>
        <v>0.49191193857941989</v>
      </c>
      <c r="AO290" t="str">
        <f>IF(AN290&gt;=Assumptions!$B$3,"OK","Review")</f>
        <v>OK</v>
      </c>
    </row>
    <row r="291" spans="1:41" ht="15" customHeight="1">
      <c r="A291" s="9" t="s">
        <v>256</v>
      </c>
      <c r="B291" s="9" t="s">
        <v>36</v>
      </c>
      <c r="C291" s="9" t="s">
        <v>71</v>
      </c>
      <c r="D291" s="9" t="s">
        <v>101</v>
      </c>
      <c r="E291" s="9" t="s">
        <v>73</v>
      </c>
      <c r="F291" s="9" t="s">
        <v>74</v>
      </c>
      <c r="G291" s="9" t="s">
        <v>24</v>
      </c>
      <c r="H291" s="9" t="s">
        <v>84</v>
      </c>
      <c r="I291" s="9">
        <v>4000011848</v>
      </c>
      <c r="J291" s="10">
        <v>21.01</v>
      </c>
      <c r="K291" s="10"/>
      <c r="L291" s="10">
        <f t="shared" si="72"/>
        <v>21.01</v>
      </c>
      <c r="M291" s="11">
        <v>0</v>
      </c>
      <c r="N291" s="10">
        <f t="shared" si="73"/>
        <v>0</v>
      </c>
      <c r="O291" s="10">
        <f t="shared" si="74"/>
        <v>21.01</v>
      </c>
      <c r="P291" s="11">
        <f t="shared" si="75"/>
        <v>6.3405359729599237E-2</v>
      </c>
      <c r="Q291" s="10">
        <f t="shared" si="76"/>
        <v>331.35999999999996</v>
      </c>
      <c r="R291" s="10">
        <f t="shared" si="77"/>
        <v>2618.5359999999996</v>
      </c>
      <c r="S291" s="10">
        <f t="shared" si="78"/>
        <v>166.02921704490583</v>
      </c>
      <c r="T291" s="9" t="s">
        <v>76</v>
      </c>
      <c r="U291" s="10">
        <v>4499</v>
      </c>
      <c r="V291" s="10">
        <f t="shared" si="79"/>
        <v>3149.2999999999997</v>
      </c>
      <c r="W291" s="166">
        <v>490110</v>
      </c>
      <c r="X291" s="12" t="s">
        <v>27</v>
      </c>
      <c r="Y291" s="12">
        <f t="shared" si="80"/>
        <v>166.02921704490583</v>
      </c>
      <c r="Z291" s="13">
        <f t="shared" si="81"/>
        <v>166.02921704490583</v>
      </c>
      <c r="AA291" s="13">
        <f t="shared" si="82"/>
        <v>166.02921704490583</v>
      </c>
      <c r="AB291" s="13">
        <f t="shared" si="83"/>
        <v>21.01</v>
      </c>
      <c r="AC291" s="13">
        <f t="shared" si="84"/>
        <v>145.01921704490584</v>
      </c>
      <c r="AD291" s="14">
        <f t="shared" si="85"/>
        <v>0.87345600747898833</v>
      </c>
      <c r="AE291" s="14">
        <f t="shared" si="86"/>
        <v>6.9023901496861413</v>
      </c>
      <c r="AF291" s="13" t="str">
        <f>IF(AD291&gt;=Assumptions!$B$3,"OK","Review")</f>
        <v>OK</v>
      </c>
      <c r="AG291" s="13">
        <f>IFERROR(IF(Assumptions!$B$13="Cost Price",AB291,AA291)*SUMIF(Assumptions!$A$6:$A$10,X291,Assumptions!$B$6:$B$10),0)</f>
        <v>13.282337363592466</v>
      </c>
      <c r="AH291" s="13">
        <f>IFERROR(IF(Assumptions!$B$13="Cost Price",AB291,AA291)*SUMIF(Assumptions!$A$6:$A$10,X291,Assumptions!$C$6:$C$10),0)</f>
        <v>8.3014608522452917</v>
      </c>
      <c r="AI291" s="13">
        <f>IFERROR(IF(Assumptions!$B$13="Cost Price",AB291,AA291)*SUMIF(Assumptions!$A$6:$A$10,X291,Assumptions!$D$6:$D$10),0)</f>
        <v>16.602921704490583</v>
      </c>
      <c r="AJ291" s="13">
        <v>25.160743107194595</v>
      </c>
      <c r="AK291" s="13">
        <f t="shared" si="87"/>
        <v>63.347463027522934</v>
      </c>
      <c r="AL291" s="14">
        <v>0.33</v>
      </c>
      <c r="AM291" s="13">
        <f t="shared" si="88"/>
        <v>81.671754017382909</v>
      </c>
      <c r="AN291" s="14">
        <f t="shared" si="89"/>
        <v>0.49191193857942001</v>
      </c>
      <c r="AO291" t="str">
        <f>IF(AN291&gt;=Assumptions!$B$3,"OK","Review")</f>
        <v>OK</v>
      </c>
    </row>
    <row r="292" spans="1:41" ht="15" customHeight="1">
      <c r="A292" s="9" t="s">
        <v>256</v>
      </c>
      <c r="B292" s="9" t="s">
        <v>36</v>
      </c>
      <c r="C292" s="9" t="s">
        <v>78</v>
      </c>
      <c r="D292" s="9" t="s">
        <v>102</v>
      </c>
      <c r="E292" s="9" t="s">
        <v>73</v>
      </c>
      <c r="F292" s="9" t="s">
        <v>81</v>
      </c>
      <c r="G292" s="9" t="s">
        <v>24</v>
      </c>
      <c r="H292" s="9" t="s">
        <v>84</v>
      </c>
      <c r="I292" s="9">
        <v>4000011849</v>
      </c>
      <c r="J292" s="10">
        <v>62.84</v>
      </c>
      <c r="K292" s="10"/>
      <c r="L292" s="10">
        <f t="shared" si="72"/>
        <v>62.84</v>
      </c>
      <c r="M292" s="11">
        <v>0</v>
      </c>
      <c r="N292" s="10">
        <f t="shared" si="73"/>
        <v>0</v>
      </c>
      <c r="O292" s="10">
        <f t="shared" si="74"/>
        <v>62.84</v>
      </c>
      <c r="P292" s="11">
        <f t="shared" si="75"/>
        <v>0.18964268469338488</v>
      </c>
      <c r="Q292" s="10">
        <f t="shared" si="76"/>
        <v>331.35999999999996</v>
      </c>
      <c r="R292" s="10">
        <f t="shared" si="77"/>
        <v>2618.5359999999996</v>
      </c>
      <c r="S292" s="10">
        <f t="shared" si="78"/>
        <v>496.58619700627719</v>
      </c>
      <c r="T292" s="9" t="s">
        <v>76</v>
      </c>
      <c r="U292" s="10">
        <v>4499</v>
      </c>
      <c r="V292" s="10">
        <f t="shared" si="79"/>
        <v>3149.2999999999997</v>
      </c>
      <c r="W292" s="166">
        <v>490110</v>
      </c>
      <c r="X292" s="12" t="s">
        <v>27</v>
      </c>
      <c r="Y292" s="12">
        <f t="shared" si="80"/>
        <v>496.58619700627719</v>
      </c>
      <c r="Z292" s="13">
        <f t="shared" si="81"/>
        <v>496.58619700627719</v>
      </c>
      <c r="AA292" s="13">
        <f t="shared" si="82"/>
        <v>496.58619700627719</v>
      </c>
      <c r="AB292" s="13">
        <f t="shared" si="83"/>
        <v>62.84</v>
      </c>
      <c r="AC292" s="13">
        <f t="shared" si="84"/>
        <v>433.74619700627716</v>
      </c>
      <c r="AD292" s="14">
        <f t="shared" si="85"/>
        <v>0.87345600747898822</v>
      </c>
      <c r="AE292" s="14">
        <f t="shared" si="86"/>
        <v>6.9023901496861413</v>
      </c>
      <c r="AF292" s="13" t="str">
        <f>IF(AD292&gt;=Assumptions!$B$3,"OK","Review")</f>
        <v>OK</v>
      </c>
      <c r="AG292" s="13">
        <f>IFERROR(IF(Assumptions!$B$13="Cost Price",AB292,AA292)*SUMIF(Assumptions!$A$6:$A$10,X292,Assumptions!$B$6:$B$10),0)</f>
        <v>39.726895760502174</v>
      </c>
      <c r="AH292" s="13">
        <f>IFERROR(IF(Assumptions!$B$13="Cost Price",AB292,AA292)*SUMIF(Assumptions!$A$6:$A$10,X292,Assumptions!$C$6:$C$10),0)</f>
        <v>24.829309850313862</v>
      </c>
      <c r="AI292" s="13">
        <f>IFERROR(IF(Assumptions!$B$13="Cost Price",AB292,AA292)*SUMIF(Assumptions!$A$6:$A$10,X292,Assumptions!$D$6:$D$10),0)</f>
        <v>49.658619700627725</v>
      </c>
      <c r="AJ292" s="13">
        <v>75.254692853693882</v>
      </c>
      <c r="AK292" s="13">
        <f t="shared" si="87"/>
        <v>189.46951816513763</v>
      </c>
      <c r="AL292" s="14">
        <v>0.33</v>
      </c>
      <c r="AM292" s="13">
        <f t="shared" si="88"/>
        <v>244.27667884113953</v>
      </c>
      <c r="AN292" s="14">
        <f t="shared" si="89"/>
        <v>0.49191193857941989</v>
      </c>
      <c r="AO292" t="str">
        <f>IF(AN292&gt;=Assumptions!$B$3,"OK","Review")</f>
        <v>OK</v>
      </c>
    </row>
    <row r="293" spans="1:41" ht="15" customHeight="1">
      <c r="A293" s="9" t="s">
        <v>256</v>
      </c>
      <c r="B293" s="9" t="s">
        <v>36</v>
      </c>
      <c r="C293" s="9" t="s">
        <v>78</v>
      </c>
      <c r="D293" s="9" t="s">
        <v>103</v>
      </c>
      <c r="E293" s="9" t="s">
        <v>73</v>
      </c>
      <c r="F293" s="9" t="s">
        <v>81</v>
      </c>
      <c r="G293" s="9" t="s">
        <v>24</v>
      </c>
      <c r="H293" s="9" t="s">
        <v>84</v>
      </c>
      <c r="I293" s="9">
        <v>4000011850</v>
      </c>
      <c r="J293" s="10">
        <v>23.95</v>
      </c>
      <c r="K293" s="10"/>
      <c r="L293" s="10">
        <f t="shared" si="72"/>
        <v>23.95</v>
      </c>
      <c r="M293" s="11">
        <v>0</v>
      </c>
      <c r="N293" s="10">
        <f t="shared" si="73"/>
        <v>0</v>
      </c>
      <c r="O293" s="10">
        <f t="shared" si="74"/>
        <v>23.95</v>
      </c>
      <c r="P293" s="11">
        <f t="shared" si="75"/>
        <v>7.2277885079671658E-2</v>
      </c>
      <c r="Q293" s="10">
        <f t="shared" si="76"/>
        <v>331.35999999999996</v>
      </c>
      <c r="R293" s="10">
        <f t="shared" si="77"/>
        <v>2618.5359999999996</v>
      </c>
      <c r="S293" s="10">
        <f t="shared" si="78"/>
        <v>189.26224408498308</v>
      </c>
      <c r="T293" s="9" t="s">
        <v>76</v>
      </c>
      <c r="U293" s="10">
        <v>4499</v>
      </c>
      <c r="V293" s="10">
        <f t="shared" si="79"/>
        <v>3149.2999999999997</v>
      </c>
      <c r="W293" s="166">
        <v>490110</v>
      </c>
      <c r="X293" s="12" t="s">
        <v>27</v>
      </c>
      <c r="Y293" s="12">
        <f t="shared" si="80"/>
        <v>189.26224408498308</v>
      </c>
      <c r="Z293" s="13">
        <f t="shared" si="81"/>
        <v>189.26224408498308</v>
      </c>
      <c r="AA293" s="13">
        <f t="shared" si="82"/>
        <v>189.26224408498308</v>
      </c>
      <c r="AB293" s="13">
        <f t="shared" si="83"/>
        <v>23.95</v>
      </c>
      <c r="AC293" s="13">
        <f t="shared" si="84"/>
        <v>165.31224408498309</v>
      </c>
      <c r="AD293" s="14">
        <f t="shared" si="85"/>
        <v>0.87345600747898833</v>
      </c>
      <c r="AE293" s="14">
        <f t="shared" si="86"/>
        <v>6.9023901496861422</v>
      </c>
      <c r="AF293" s="13" t="str">
        <f>IF(AD293&gt;=Assumptions!$B$3,"OK","Review")</f>
        <v>OK</v>
      </c>
      <c r="AG293" s="13">
        <f>IFERROR(IF(Assumptions!$B$13="Cost Price",AB293,AA293)*SUMIF(Assumptions!$A$6:$A$10,X293,Assumptions!$B$6:$B$10),0)</f>
        <v>15.140979526798647</v>
      </c>
      <c r="AH293" s="13">
        <f>IFERROR(IF(Assumptions!$B$13="Cost Price",AB293,AA293)*SUMIF(Assumptions!$A$6:$A$10,X293,Assumptions!$C$6:$C$10),0)</f>
        <v>9.4631122042491551</v>
      </c>
      <c r="AI293" s="13">
        <f>IFERROR(IF(Assumptions!$B$13="Cost Price",AB293,AA293)*SUMIF(Assumptions!$A$6:$A$10,X293,Assumptions!$D$6:$D$10),0)</f>
        <v>18.92622440849831</v>
      </c>
      <c r="AJ293" s="13">
        <v>28.681570557701594</v>
      </c>
      <c r="AK293" s="13">
        <f t="shared" si="87"/>
        <v>72.211886697247706</v>
      </c>
      <c r="AL293" s="14">
        <v>0.33</v>
      </c>
      <c r="AM293" s="13">
        <f t="shared" si="88"/>
        <v>93.100357387735386</v>
      </c>
      <c r="AN293" s="14">
        <f t="shared" si="89"/>
        <v>0.49191193857941995</v>
      </c>
      <c r="AO293" t="str">
        <f>IF(AN293&gt;=Assumptions!$B$3,"OK","Review")</f>
        <v>OK</v>
      </c>
    </row>
    <row r="294" spans="1:41" ht="15" customHeight="1">
      <c r="A294" s="9" t="s">
        <v>256</v>
      </c>
      <c r="B294" s="9" t="s">
        <v>36</v>
      </c>
      <c r="C294" s="9" t="s">
        <v>243</v>
      </c>
      <c r="D294" s="9" t="s">
        <v>245</v>
      </c>
      <c r="E294" s="9" t="s">
        <v>73</v>
      </c>
      <c r="F294" s="9" t="s">
        <v>90</v>
      </c>
      <c r="G294" s="9" t="s">
        <v>24</v>
      </c>
      <c r="H294" s="9" t="s">
        <v>75</v>
      </c>
      <c r="I294" s="9">
        <v>7000001002</v>
      </c>
      <c r="J294" s="10">
        <v>118.9</v>
      </c>
      <c r="K294" s="10">
        <v>10</v>
      </c>
      <c r="L294" s="10">
        <f t="shared" si="72"/>
        <v>128.9</v>
      </c>
      <c r="M294" s="11">
        <v>0.18</v>
      </c>
      <c r="N294" s="10">
        <f t="shared" si="73"/>
        <v>23.202000000000002</v>
      </c>
      <c r="O294" s="10">
        <f t="shared" si="74"/>
        <v>152.102</v>
      </c>
      <c r="P294" s="11">
        <f t="shared" si="75"/>
        <v>0.57314361938639391</v>
      </c>
      <c r="Q294" s="10">
        <f t="shared" si="76"/>
        <v>265.38200000000001</v>
      </c>
      <c r="R294" s="10">
        <f t="shared" si="77"/>
        <v>2618.5359999999996</v>
      </c>
      <c r="S294" s="10">
        <f t="shared" si="78"/>
        <v>152.102</v>
      </c>
      <c r="T294" s="9" t="s">
        <v>91</v>
      </c>
      <c r="U294" s="10">
        <v>4499</v>
      </c>
      <c r="V294" s="10">
        <f t="shared" si="79"/>
        <v>3149.2999999999997</v>
      </c>
      <c r="W294" s="166">
        <v>49119990</v>
      </c>
      <c r="X294" s="12" t="s">
        <v>27</v>
      </c>
      <c r="Y294" s="12">
        <f t="shared" si="80"/>
        <v>152.102</v>
      </c>
      <c r="Z294" s="13">
        <f t="shared" si="81"/>
        <v>152.102</v>
      </c>
      <c r="AA294" s="13">
        <f t="shared" si="82"/>
        <v>128.9</v>
      </c>
      <c r="AB294" s="13">
        <f t="shared" si="83"/>
        <v>118.9</v>
      </c>
      <c r="AC294" s="13">
        <f t="shared" si="84"/>
        <v>10</v>
      </c>
      <c r="AD294" s="14">
        <f t="shared" si="85"/>
        <v>7.7579519006982151E-2</v>
      </c>
      <c r="AE294" s="14">
        <f t="shared" si="86"/>
        <v>8.4104289318755257E-2</v>
      </c>
      <c r="AF294" s="13" t="str">
        <f>IF(AD294&gt;=Assumptions!$B$3,"OK","Review")</f>
        <v>Review</v>
      </c>
      <c r="AG294" s="13">
        <f>IFERROR(IF(Assumptions!$B$13="Cost Price",AB294,AA294)*SUMIF(Assumptions!$A$6:$A$10,X294,Assumptions!$B$6:$B$10),0)</f>
        <v>10.312000000000001</v>
      </c>
      <c r="AH294" s="13">
        <f>IFERROR(IF(Assumptions!$B$13="Cost Price",AB294,AA294)*SUMIF(Assumptions!$A$6:$A$10,X294,Assumptions!$C$6:$C$10),0)</f>
        <v>6.4450000000000003</v>
      </c>
      <c r="AI294" s="13">
        <f>IFERROR(IF(Assumptions!$B$13="Cost Price",AB294,AA294)*SUMIF(Assumptions!$A$6:$A$10,X294,Assumptions!$D$6:$D$10),0)</f>
        <v>12.89</v>
      </c>
      <c r="AJ294" s="13">
        <v>12.89</v>
      </c>
      <c r="AK294" s="13">
        <f t="shared" si="87"/>
        <v>42.537000000000006</v>
      </c>
      <c r="AL294" s="14">
        <v>0.33</v>
      </c>
      <c r="AM294" s="13">
        <f t="shared" si="88"/>
        <v>-32.537000000000006</v>
      </c>
      <c r="AN294" s="14">
        <f t="shared" si="89"/>
        <v>-0.25242048099301789</v>
      </c>
      <c r="AO294" t="str">
        <f>IF(AN294&gt;=Assumptions!$B$3,"OK","Review")</f>
        <v>Review</v>
      </c>
    </row>
    <row r="295" spans="1:41" ht="15" customHeight="1">
      <c r="A295" s="9" t="s">
        <v>256</v>
      </c>
      <c r="B295" s="9" t="s">
        <v>36</v>
      </c>
      <c r="C295" s="9" t="s">
        <v>92</v>
      </c>
      <c r="D295" s="9" t="s">
        <v>93</v>
      </c>
      <c r="E295" s="9" t="s">
        <v>73</v>
      </c>
      <c r="F295" s="9" t="s">
        <v>94</v>
      </c>
      <c r="G295" s="9" t="s">
        <v>24</v>
      </c>
      <c r="H295" s="9" t="s">
        <v>75</v>
      </c>
      <c r="I295" s="9">
        <v>8400007</v>
      </c>
      <c r="J295" s="10">
        <v>96</v>
      </c>
      <c r="K295" s="10"/>
      <c r="L295" s="10">
        <f t="shared" si="72"/>
        <v>96</v>
      </c>
      <c r="M295" s="11">
        <v>0.18</v>
      </c>
      <c r="N295" s="10">
        <f t="shared" si="73"/>
        <v>17.28</v>
      </c>
      <c r="O295" s="10">
        <f t="shared" si="74"/>
        <v>113.28</v>
      </c>
      <c r="P295" s="11">
        <f t="shared" si="75"/>
        <v>0.42685638061360603</v>
      </c>
      <c r="Q295" s="10">
        <f t="shared" si="76"/>
        <v>265.38200000000001</v>
      </c>
      <c r="R295" s="10">
        <f t="shared" si="77"/>
        <v>2618.5359999999996</v>
      </c>
      <c r="S295" s="10">
        <f t="shared" si="78"/>
        <v>113.28</v>
      </c>
      <c r="T295" s="9" t="s">
        <v>91</v>
      </c>
      <c r="U295" s="10">
        <v>4499</v>
      </c>
      <c r="V295" s="10">
        <f t="shared" si="79"/>
        <v>3149.2999999999997</v>
      </c>
      <c r="W295" s="166">
        <v>999299</v>
      </c>
      <c r="X295" s="12" t="s">
        <v>27</v>
      </c>
      <c r="Y295" s="12">
        <f t="shared" si="80"/>
        <v>113.28</v>
      </c>
      <c r="Z295" s="13">
        <f t="shared" si="81"/>
        <v>113.28</v>
      </c>
      <c r="AA295" s="13">
        <f t="shared" si="82"/>
        <v>96</v>
      </c>
      <c r="AB295" s="13">
        <f t="shared" si="83"/>
        <v>96</v>
      </c>
      <c r="AC295" s="13">
        <f t="shared" si="84"/>
        <v>0</v>
      </c>
      <c r="AD295" s="14">
        <f t="shared" si="85"/>
        <v>0</v>
      </c>
      <c r="AE295" s="14">
        <f t="shared" si="86"/>
        <v>0</v>
      </c>
      <c r="AF295" s="13" t="str">
        <f>IF(AD295&gt;=Assumptions!$B$3,"OK","Review")</f>
        <v>Review</v>
      </c>
      <c r="AG295" s="13">
        <f>IFERROR(IF(Assumptions!$B$13="Cost Price",AB295,AA295)*SUMIF(Assumptions!$A$6:$A$10,X295,Assumptions!$B$6:$B$10),0)</f>
        <v>7.68</v>
      </c>
      <c r="AH295" s="13">
        <f>IFERROR(IF(Assumptions!$B$13="Cost Price",AB295,AA295)*SUMIF(Assumptions!$A$6:$A$10,X295,Assumptions!$C$6:$C$10),0)</f>
        <v>4.8000000000000007</v>
      </c>
      <c r="AI295" s="13">
        <f>IFERROR(IF(Assumptions!$B$13="Cost Price",AB295,AA295)*SUMIF(Assumptions!$A$6:$A$10,X295,Assumptions!$D$6:$D$10),0)</f>
        <v>9.6000000000000014</v>
      </c>
      <c r="AJ295" s="13">
        <v>9.6000000000000014</v>
      </c>
      <c r="AK295" s="13">
        <f t="shared" si="87"/>
        <v>31.680000000000003</v>
      </c>
      <c r="AL295" s="14">
        <v>0.33</v>
      </c>
      <c r="AM295" s="13">
        <f t="shared" si="88"/>
        <v>-31.680000000000003</v>
      </c>
      <c r="AN295" s="14">
        <f t="shared" si="89"/>
        <v>-0.33</v>
      </c>
      <c r="AO295" t="str">
        <f>IF(AN295&gt;=Assumptions!$B$3,"OK","Review")</f>
        <v>Review</v>
      </c>
    </row>
    <row r="296" spans="1:41" ht="15" customHeight="1">
      <c r="A296" s="9" t="s">
        <v>256</v>
      </c>
      <c r="B296" s="9" t="s">
        <v>37</v>
      </c>
      <c r="C296" s="9" t="s">
        <v>105</v>
      </c>
      <c r="D296" s="9" t="s">
        <v>106</v>
      </c>
      <c r="E296" s="9" t="s">
        <v>73</v>
      </c>
      <c r="F296" s="9" t="s">
        <v>74</v>
      </c>
      <c r="G296" s="9" t="s">
        <v>24</v>
      </c>
      <c r="H296" s="9" t="s">
        <v>75</v>
      </c>
      <c r="I296" s="9">
        <v>4000011851</v>
      </c>
      <c r="J296" s="10">
        <v>30</v>
      </c>
      <c r="K296" s="10"/>
      <c r="L296" s="10">
        <f t="shared" si="72"/>
        <v>30</v>
      </c>
      <c r="M296" s="11">
        <v>0</v>
      </c>
      <c r="N296" s="10">
        <f t="shared" si="73"/>
        <v>0</v>
      </c>
      <c r="O296" s="10">
        <f t="shared" si="74"/>
        <v>30</v>
      </c>
      <c r="P296" s="11">
        <f t="shared" si="75"/>
        <v>6.0504608434342425E-2</v>
      </c>
      <c r="Q296" s="10">
        <f t="shared" si="76"/>
        <v>495.82999999999993</v>
      </c>
      <c r="R296" s="10">
        <f t="shared" si="77"/>
        <v>3421.1039999999998</v>
      </c>
      <c r="S296" s="10">
        <f t="shared" si="78"/>
        <v>206.9925579331626</v>
      </c>
      <c r="T296" s="9" t="s">
        <v>76</v>
      </c>
      <c r="U296" s="10">
        <v>5599</v>
      </c>
      <c r="V296" s="10">
        <f t="shared" si="79"/>
        <v>3919.2999999999997</v>
      </c>
      <c r="W296" s="166">
        <v>490110</v>
      </c>
      <c r="X296" s="12" t="s">
        <v>27</v>
      </c>
      <c r="Y296" s="12">
        <f t="shared" si="80"/>
        <v>206.9925579331626</v>
      </c>
      <c r="Z296" s="13">
        <f t="shared" si="81"/>
        <v>206.9925579331626</v>
      </c>
      <c r="AA296" s="13">
        <f t="shared" si="82"/>
        <v>206.9925579331626</v>
      </c>
      <c r="AB296" s="13">
        <f t="shared" si="83"/>
        <v>30</v>
      </c>
      <c r="AC296" s="13">
        <f t="shared" si="84"/>
        <v>176.9925579331626</v>
      </c>
      <c r="AD296" s="14">
        <f t="shared" si="85"/>
        <v>0.85506725314401433</v>
      </c>
      <c r="AE296" s="14">
        <f t="shared" si="86"/>
        <v>5.8997519311054196</v>
      </c>
      <c r="AF296" s="13" t="str">
        <f>IF(AD296&gt;=Assumptions!$B$3,"OK","Review")</f>
        <v>OK</v>
      </c>
      <c r="AG296" s="13">
        <f>IFERROR(IF(Assumptions!$B$13="Cost Price",AB296,AA296)*SUMIF(Assumptions!$A$6:$A$10,X296,Assumptions!$B$6:$B$10),0)</f>
        <v>16.55940463465301</v>
      </c>
      <c r="AH296" s="13">
        <f>IFERROR(IF(Assumptions!$B$13="Cost Price",AB296,AA296)*SUMIF(Assumptions!$A$6:$A$10,X296,Assumptions!$C$6:$C$10),0)</f>
        <v>10.349627896658131</v>
      </c>
      <c r="AI296" s="13">
        <f>IFERROR(IF(Assumptions!$B$13="Cost Price",AB296,AA296)*SUMIF(Assumptions!$A$6:$A$10,X296,Assumptions!$D$6:$D$10),0)</f>
        <v>20.699255793316262</v>
      </c>
      <c r="AJ296" s="13">
        <v>30.862214872032759</v>
      </c>
      <c r="AK296" s="13">
        <f t="shared" si="87"/>
        <v>78.470503196660161</v>
      </c>
      <c r="AL296" s="14">
        <v>0.33</v>
      </c>
      <c r="AM296" s="13">
        <f t="shared" si="88"/>
        <v>98.52205473650244</v>
      </c>
      <c r="AN296" s="14">
        <f t="shared" si="89"/>
        <v>0.47596906729523569</v>
      </c>
      <c r="AO296" t="str">
        <f>IF(AN296&gt;=Assumptions!$B$3,"OK","Review")</f>
        <v>OK</v>
      </c>
    </row>
    <row r="297" spans="1:41" ht="15" customHeight="1">
      <c r="A297" s="9" t="s">
        <v>256</v>
      </c>
      <c r="B297" s="9" t="s">
        <v>37</v>
      </c>
      <c r="C297" s="9" t="s">
        <v>105</v>
      </c>
      <c r="D297" s="9" t="s">
        <v>107</v>
      </c>
      <c r="E297" s="9" t="s">
        <v>73</v>
      </c>
      <c r="F297" s="9" t="s">
        <v>74</v>
      </c>
      <c r="G297" s="9" t="s">
        <v>24</v>
      </c>
      <c r="H297" s="9" t="s">
        <v>75</v>
      </c>
      <c r="I297" s="9">
        <v>4000011853</v>
      </c>
      <c r="J297" s="10">
        <v>16.29</v>
      </c>
      <c r="K297" s="10"/>
      <c r="L297" s="10">
        <f t="shared" si="72"/>
        <v>16.29</v>
      </c>
      <c r="M297" s="11">
        <v>0</v>
      </c>
      <c r="N297" s="10">
        <f t="shared" si="73"/>
        <v>0</v>
      </c>
      <c r="O297" s="10">
        <f t="shared" si="74"/>
        <v>16.29</v>
      </c>
      <c r="P297" s="11">
        <f t="shared" si="75"/>
        <v>3.2854002379847938E-2</v>
      </c>
      <c r="Q297" s="10">
        <f t="shared" si="76"/>
        <v>495.82999999999993</v>
      </c>
      <c r="R297" s="10">
        <f t="shared" si="77"/>
        <v>3421.1039999999998</v>
      </c>
      <c r="S297" s="10">
        <f t="shared" si="78"/>
        <v>112.3969589577073</v>
      </c>
      <c r="T297" s="9" t="s">
        <v>76</v>
      </c>
      <c r="U297" s="10">
        <v>5599</v>
      </c>
      <c r="V297" s="10">
        <f t="shared" si="79"/>
        <v>3919.2999999999997</v>
      </c>
      <c r="W297" s="166">
        <v>490110</v>
      </c>
      <c r="X297" s="12" t="s">
        <v>27</v>
      </c>
      <c r="Y297" s="12">
        <f t="shared" si="80"/>
        <v>112.3969589577073</v>
      </c>
      <c r="Z297" s="13">
        <f t="shared" si="81"/>
        <v>112.3969589577073</v>
      </c>
      <c r="AA297" s="13">
        <f t="shared" si="82"/>
        <v>112.3969589577073</v>
      </c>
      <c r="AB297" s="13">
        <f t="shared" si="83"/>
        <v>16.29</v>
      </c>
      <c r="AC297" s="13">
        <f t="shared" si="84"/>
        <v>96.106958957707292</v>
      </c>
      <c r="AD297" s="14">
        <f t="shared" si="85"/>
        <v>0.85506725314401433</v>
      </c>
      <c r="AE297" s="14">
        <f t="shared" si="86"/>
        <v>5.8997519311054205</v>
      </c>
      <c r="AF297" s="13" t="str">
        <f>IF(AD297&gt;=Assumptions!$B$3,"OK","Review")</f>
        <v>OK</v>
      </c>
      <c r="AG297" s="13">
        <f>IFERROR(IF(Assumptions!$B$13="Cost Price",AB297,AA297)*SUMIF(Assumptions!$A$6:$A$10,X297,Assumptions!$B$6:$B$10),0)</f>
        <v>8.9917567166165835</v>
      </c>
      <c r="AH297" s="13">
        <f>IFERROR(IF(Assumptions!$B$13="Cost Price",AB297,AA297)*SUMIF(Assumptions!$A$6:$A$10,X297,Assumptions!$C$6:$C$10),0)</f>
        <v>5.6198479478853649</v>
      </c>
      <c r="AI297" s="13">
        <f>IFERROR(IF(Assumptions!$B$13="Cost Price",AB297,AA297)*SUMIF(Assumptions!$A$6:$A$10,X297,Assumptions!$D$6:$D$10),0)</f>
        <v>11.23969589577073</v>
      </c>
      <c r="AJ297" s="13">
        <v>16.75818267551379</v>
      </c>
      <c r="AK297" s="13">
        <f t="shared" si="87"/>
        <v>42.60948323578647</v>
      </c>
      <c r="AL297" s="14">
        <v>0.33</v>
      </c>
      <c r="AM297" s="13">
        <f t="shared" si="88"/>
        <v>53.497475721920821</v>
      </c>
      <c r="AN297" s="14">
        <f t="shared" si="89"/>
        <v>0.47596906729523564</v>
      </c>
      <c r="AO297" t="str">
        <f>IF(AN297&gt;=Assumptions!$B$3,"OK","Review")</f>
        <v>OK</v>
      </c>
    </row>
    <row r="298" spans="1:41" ht="15" customHeight="1">
      <c r="A298" s="9" t="s">
        <v>256</v>
      </c>
      <c r="B298" s="9" t="s">
        <v>37</v>
      </c>
      <c r="C298" s="9" t="s">
        <v>71</v>
      </c>
      <c r="D298" s="9" t="s">
        <v>108</v>
      </c>
      <c r="E298" s="9" t="s">
        <v>73</v>
      </c>
      <c r="F298" s="9" t="s">
        <v>74</v>
      </c>
      <c r="G298" s="9" t="s">
        <v>24</v>
      </c>
      <c r="H298" s="9" t="s">
        <v>75</v>
      </c>
      <c r="I298" s="9">
        <v>4000011854</v>
      </c>
      <c r="J298" s="10">
        <v>43.03</v>
      </c>
      <c r="K298" s="10"/>
      <c r="L298" s="10">
        <f t="shared" si="72"/>
        <v>43.03</v>
      </c>
      <c r="M298" s="11">
        <v>0</v>
      </c>
      <c r="N298" s="10">
        <f t="shared" si="73"/>
        <v>0</v>
      </c>
      <c r="O298" s="10">
        <f t="shared" si="74"/>
        <v>43.03</v>
      </c>
      <c r="P298" s="11">
        <f t="shared" si="75"/>
        <v>8.6783776697658493E-2</v>
      </c>
      <c r="Q298" s="10">
        <f t="shared" si="76"/>
        <v>495.82999999999993</v>
      </c>
      <c r="R298" s="10">
        <f t="shared" si="77"/>
        <v>3421.1039999999998</v>
      </c>
      <c r="S298" s="10">
        <f t="shared" si="78"/>
        <v>296.89632559546624</v>
      </c>
      <c r="T298" s="9" t="s">
        <v>76</v>
      </c>
      <c r="U298" s="10">
        <v>5599</v>
      </c>
      <c r="V298" s="10">
        <f t="shared" si="79"/>
        <v>3919.2999999999997</v>
      </c>
      <c r="W298" s="166">
        <v>490110</v>
      </c>
      <c r="X298" s="12" t="s">
        <v>27</v>
      </c>
      <c r="Y298" s="12">
        <f t="shared" si="80"/>
        <v>296.89632559546624</v>
      </c>
      <c r="Z298" s="13">
        <f t="shared" si="81"/>
        <v>296.89632559546624</v>
      </c>
      <c r="AA298" s="13">
        <f t="shared" si="82"/>
        <v>296.89632559546624</v>
      </c>
      <c r="AB298" s="13">
        <f t="shared" si="83"/>
        <v>43.03</v>
      </c>
      <c r="AC298" s="13">
        <f t="shared" si="84"/>
        <v>253.86632559546624</v>
      </c>
      <c r="AD298" s="14">
        <f t="shared" si="85"/>
        <v>0.85506725314401433</v>
      </c>
      <c r="AE298" s="14">
        <f t="shared" si="86"/>
        <v>5.8997519311054205</v>
      </c>
      <c r="AF298" s="13" t="str">
        <f>IF(AD298&gt;=Assumptions!$B$3,"OK","Review")</f>
        <v>OK</v>
      </c>
      <c r="AG298" s="13">
        <f>IFERROR(IF(Assumptions!$B$13="Cost Price",AB298,AA298)*SUMIF(Assumptions!$A$6:$A$10,X298,Assumptions!$B$6:$B$10),0)</f>
        <v>23.751706047637299</v>
      </c>
      <c r="AH298" s="13">
        <f>IFERROR(IF(Assumptions!$B$13="Cost Price",AB298,AA298)*SUMIF(Assumptions!$A$6:$A$10,X298,Assumptions!$C$6:$C$10),0)</f>
        <v>14.844816279773312</v>
      </c>
      <c r="AI298" s="13">
        <f>IFERROR(IF(Assumptions!$B$13="Cost Price",AB298,AA298)*SUMIF(Assumptions!$A$6:$A$10,X298,Assumptions!$D$6:$D$10),0)</f>
        <v>29.689632559546624</v>
      </c>
      <c r="AJ298" s="13">
        <v>44.266703531452322</v>
      </c>
      <c r="AK298" s="13">
        <f t="shared" si="87"/>
        <v>112.55285841840956</v>
      </c>
      <c r="AL298" s="14">
        <v>0.33</v>
      </c>
      <c r="AM298" s="13">
        <f t="shared" si="88"/>
        <v>141.31346717705668</v>
      </c>
      <c r="AN298" s="14">
        <f t="shared" si="89"/>
        <v>0.47596906729523569</v>
      </c>
      <c r="AO298" t="str">
        <f>IF(AN298&gt;=Assumptions!$B$3,"OK","Review")</f>
        <v>OK</v>
      </c>
    </row>
    <row r="299" spans="1:41" ht="15" customHeight="1">
      <c r="A299" s="9" t="s">
        <v>256</v>
      </c>
      <c r="B299" s="9" t="s">
        <v>37</v>
      </c>
      <c r="C299" s="9" t="s">
        <v>71</v>
      </c>
      <c r="D299" s="9" t="s">
        <v>109</v>
      </c>
      <c r="E299" s="9" t="s">
        <v>73</v>
      </c>
      <c r="F299" s="9" t="s">
        <v>74</v>
      </c>
      <c r="G299" s="9" t="s">
        <v>24</v>
      </c>
      <c r="H299" s="9" t="s">
        <v>75</v>
      </c>
      <c r="I299" s="9">
        <v>4000011855</v>
      </c>
      <c r="J299" s="10">
        <v>20.67</v>
      </c>
      <c r="K299" s="10"/>
      <c r="L299" s="10">
        <f t="shared" si="72"/>
        <v>20.67</v>
      </c>
      <c r="M299" s="11">
        <v>0</v>
      </c>
      <c r="N299" s="10">
        <f t="shared" si="73"/>
        <v>0</v>
      </c>
      <c r="O299" s="10">
        <f t="shared" si="74"/>
        <v>20.67</v>
      </c>
      <c r="P299" s="11">
        <f t="shared" si="75"/>
        <v>4.1687675211261932E-2</v>
      </c>
      <c r="Q299" s="10">
        <f t="shared" si="76"/>
        <v>495.82999999999993</v>
      </c>
      <c r="R299" s="10">
        <f t="shared" si="77"/>
        <v>3421.1039999999998</v>
      </c>
      <c r="S299" s="10">
        <f t="shared" si="78"/>
        <v>142.61787241594902</v>
      </c>
      <c r="T299" s="9" t="s">
        <v>76</v>
      </c>
      <c r="U299" s="10">
        <v>5599</v>
      </c>
      <c r="V299" s="10">
        <f t="shared" si="79"/>
        <v>3919.2999999999997</v>
      </c>
      <c r="W299" s="166">
        <v>490110</v>
      </c>
      <c r="X299" s="12" t="s">
        <v>27</v>
      </c>
      <c r="Y299" s="12">
        <f t="shared" si="80"/>
        <v>142.61787241594902</v>
      </c>
      <c r="Z299" s="13">
        <f t="shared" si="81"/>
        <v>142.61787241594902</v>
      </c>
      <c r="AA299" s="13">
        <f t="shared" si="82"/>
        <v>142.61787241594902</v>
      </c>
      <c r="AB299" s="13">
        <f t="shared" si="83"/>
        <v>20.67</v>
      </c>
      <c r="AC299" s="13">
        <f t="shared" si="84"/>
        <v>121.94787241594902</v>
      </c>
      <c r="AD299" s="14">
        <f t="shared" si="85"/>
        <v>0.85506725314401433</v>
      </c>
      <c r="AE299" s="14">
        <f t="shared" si="86"/>
        <v>5.8997519311054187</v>
      </c>
      <c r="AF299" s="13" t="str">
        <f>IF(AD299&gt;=Assumptions!$B$3,"OK","Review")</f>
        <v>OK</v>
      </c>
      <c r="AG299" s="13">
        <f>IFERROR(IF(Assumptions!$B$13="Cost Price",AB299,AA299)*SUMIF(Assumptions!$A$6:$A$10,X299,Assumptions!$B$6:$B$10),0)</f>
        <v>11.409429793275923</v>
      </c>
      <c r="AH299" s="13">
        <f>IFERROR(IF(Assumptions!$B$13="Cost Price",AB299,AA299)*SUMIF(Assumptions!$A$6:$A$10,X299,Assumptions!$C$6:$C$10),0)</f>
        <v>7.1308936207974511</v>
      </c>
      <c r="AI299" s="13">
        <f>IFERROR(IF(Assumptions!$B$13="Cost Price",AB299,AA299)*SUMIF(Assumptions!$A$6:$A$10,X299,Assumptions!$D$6:$D$10),0)</f>
        <v>14.261787241594902</v>
      </c>
      <c r="AJ299" s="13">
        <v>21.264066046830575</v>
      </c>
      <c r="AK299" s="13">
        <f t="shared" si="87"/>
        <v>54.066176702498851</v>
      </c>
      <c r="AL299" s="14">
        <v>0.33</v>
      </c>
      <c r="AM299" s="13">
        <f t="shared" si="88"/>
        <v>67.881695713450171</v>
      </c>
      <c r="AN299" s="14">
        <f t="shared" si="89"/>
        <v>0.47596906729523564</v>
      </c>
      <c r="AO299" t="str">
        <f>IF(AN299&gt;=Assumptions!$B$3,"OK","Review")</f>
        <v>OK</v>
      </c>
    </row>
    <row r="300" spans="1:41" ht="15" customHeight="1">
      <c r="A300" s="9" t="s">
        <v>256</v>
      </c>
      <c r="B300" s="9" t="s">
        <v>37</v>
      </c>
      <c r="C300" s="9" t="s">
        <v>78</v>
      </c>
      <c r="D300" s="9" t="s">
        <v>110</v>
      </c>
      <c r="E300" s="9" t="s">
        <v>73</v>
      </c>
      <c r="F300" s="9" t="s">
        <v>74</v>
      </c>
      <c r="G300" s="9" t="s">
        <v>24</v>
      </c>
      <c r="H300" s="9" t="s">
        <v>75</v>
      </c>
      <c r="I300" s="9">
        <v>4000011857</v>
      </c>
      <c r="J300" s="10">
        <v>28.34</v>
      </c>
      <c r="K300" s="10"/>
      <c r="L300" s="10">
        <f t="shared" si="72"/>
        <v>28.34</v>
      </c>
      <c r="M300" s="11">
        <v>0</v>
      </c>
      <c r="N300" s="10">
        <f t="shared" si="73"/>
        <v>0</v>
      </c>
      <c r="O300" s="10">
        <f t="shared" si="74"/>
        <v>28.34</v>
      </c>
      <c r="P300" s="11">
        <f t="shared" si="75"/>
        <v>5.7156686767642143E-2</v>
      </c>
      <c r="Q300" s="10">
        <f t="shared" si="76"/>
        <v>495.82999999999993</v>
      </c>
      <c r="R300" s="10">
        <f t="shared" si="77"/>
        <v>3421.1039999999998</v>
      </c>
      <c r="S300" s="10">
        <f t="shared" si="78"/>
        <v>195.53896972752759</v>
      </c>
      <c r="T300" s="9" t="s">
        <v>76</v>
      </c>
      <c r="U300" s="10">
        <v>5599</v>
      </c>
      <c r="V300" s="10">
        <f t="shared" si="79"/>
        <v>3919.2999999999997</v>
      </c>
      <c r="W300" s="166">
        <v>490110</v>
      </c>
      <c r="X300" s="12" t="s">
        <v>27</v>
      </c>
      <c r="Y300" s="12">
        <f t="shared" si="80"/>
        <v>195.53896972752759</v>
      </c>
      <c r="Z300" s="13">
        <f t="shared" si="81"/>
        <v>195.53896972752759</v>
      </c>
      <c r="AA300" s="13">
        <f t="shared" si="82"/>
        <v>195.53896972752759</v>
      </c>
      <c r="AB300" s="13">
        <f t="shared" si="83"/>
        <v>28.34</v>
      </c>
      <c r="AC300" s="13">
        <f t="shared" si="84"/>
        <v>167.19896972752758</v>
      </c>
      <c r="AD300" s="14">
        <f t="shared" si="85"/>
        <v>0.85506725314401433</v>
      </c>
      <c r="AE300" s="14">
        <f t="shared" si="86"/>
        <v>5.8997519311054196</v>
      </c>
      <c r="AF300" s="13" t="str">
        <f>IF(AD300&gt;=Assumptions!$B$3,"OK","Review")</f>
        <v>OK</v>
      </c>
      <c r="AG300" s="13">
        <f>IFERROR(IF(Assumptions!$B$13="Cost Price",AB300,AA300)*SUMIF(Assumptions!$A$6:$A$10,X300,Assumptions!$B$6:$B$10),0)</f>
        <v>15.643117578202208</v>
      </c>
      <c r="AH300" s="13">
        <f>IFERROR(IF(Assumptions!$B$13="Cost Price",AB300,AA300)*SUMIF(Assumptions!$A$6:$A$10,X300,Assumptions!$C$6:$C$10),0)</f>
        <v>9.77694848637638</v>
      </c>
      <c r="AI300" s="13">
        <f>IFERROR(IF(Assumptions!$B$13="Cost Price",AB300,AA300)*SUMIF(Assumptions!$A$6:$A$10,X300,Assumptions!$D$6:$D$10),0)</f>
        <v>19.55389697275276</v>
      </c>
      <c r="AJ300" s="13">
        <v>29.154505649113613</v>
      </c>
      <c r="AK300" s="13">
        <f t="shared" si="87"/>
        <v>74.128468686444961</v>
      </c>
      <c r="AL300" s="14">
        <v>0.33</v>
      </c>
      <c r="AM300" s="13">
        <f t="shared" si="88"/>
        <v>93.070501041082622</v>
      </c>
      <c r="AN300" s="14">
        <f t="shared" si="89"/>
        <v>0.47596906729523564</v>
      </c>
      <c r="AO300" t="str">
        <f>IF(AN300&gt;=Assumptions!$B$3,"OK","Review")</f>
        <v>OK</v>
      </c>
    </row>
    <row r="301" spans="1:41" ht="15" customHeight="1">
      <c r="A301" s="9" t="s">
        <v>256</v>
      </c>
      <c r="B301" s="9" t="s">
        <v>37</v>
      </c>
      <c r="C301" s="9" t="s">
        <v>78</v>
      </c>
      <c r="D301" s="9" t="s">
        <v>111</v>
      </c>
      <c r="E301" s="9" t="s">
        <v>73</v>
      </c>
      <c r="F301" s="9" t="s">
        <v>81</v>
      </c>
      <c r="G301" s="9" t="s">
        <v>24</v>
      </c>
      <c r="H301" s="9" t="s">
        <v>75</v>
      </c>
      <c r="I301" s="9">
        <v>4000011856</v>
      </c>
      <c r="J301" s="10">
        <v>65.83</v>
      </c>
      <c r="K301" s="10"/>
      <c r="L301" s="10">
        <f t="shared" si="72"/>
        <v>65.83</v>
      </c>
      <c r="M301" s="11">
        <v>0</v>
      </c>
      <c r="N301" s="10">
        <f t="shared" si="73"/>
        <v>0</v>
      </c>
      <c r="O301" s="10">
        <f t="shared" si="74"/>
        <v>65.83</v>
      </c>
      <c r="P301" s="11">
        <f t="shared" si="75"/>
        <v>0.13276727910775873</v>
      </c>
      <c r="Q301" s="10">
        <f t="shared" si="76"/>
        <v>495.82999999999993</v>
      </c>
      <c r="R301" s="10">
        <f t="shared" si="77"/>
        <v>3421.1039999999998</v>
      </c>
      <c r="S301" s="10">
        <f t="shared" si="78"/>
        <v>454.21066962466983</v>
      </c>
      <c r="T301" s="9" t="s">
        <v>76</v>
      </c>
      <c r="U301" s="10">
        <v>5599</v>
      </c>
      <c r="V301" s="10">
        <f t="shared" si="79"/>
        <v>3919.2999999999997</v>
      </c>
      <c r="W301" s="166">
        <v>490110</v>
      </c>
      <c r="X301" s="12" t="s">
        <v>27</v>
      </c>
      <c r="Y301" s="12">
        <f t="shared" si="80"/>
        <v>454.21066962466983</v>
      </c>
      <c r="Z301" s="13">
        <f t="shared" si="81"/>
        <v>454.21066962466983</v>
      </c>
      <c r="AA301" s="13">
        <f t="shared" si="82"/>
        <v>454.21066962466983</v>
      </c>
      <c r="AB301" s="13">
        <f t="shared" si="83"/>
        <v>65.83</v>
      </c>
      <c r="AC301" s="13">
        <f t="shared" si="84"/>
        <v>388.38066962466985</v>
      </c>
      <c r="AD301" s="14">
        <f t="shared" si="85"/>
        <v>0.85506725314401444</v>
      </c>
      <c r="AE301" s="14">
        <f t="shared" si="86"/>
        <v>5.8997519311054205</v>
      </c>
      <c r="AF301" s="13" t="str">
        <f>IF(AD301&gt;=Assumptions!$B$3,"OK","Review")</f>
        <v>OK</v>
      </c>
      <c r="AG301" s="13">
        <f>IFERROR(IF(Assumptions!$B$13="Cost Price",AB301,AA301)*SUMIF(Assumptions!$A$6:$A$10,X301,Assumptions!$B$6:$B$10),0)</f>
        <v>36.336853569973584</v>
      </c>
      <c r="AH301" s="13">
        <f>IFERROR(IF(Assumptions!$B$13="Cost Price",AB301,AA301)*SUMIF(Assumptions!$A$6:$A$10,X301,Assumptions!$C$6:$C$10),0)</f>
        <v>22.710533481233494</v>
      </c>
      <c r="AI301" s="13">
        <f>IFERROR(IF(Assumptions!$B$13="Cost Price",AB301,AA301)*SUMIF(Assumptions!$A$6:$A$10,X301,Assumptions!$D$6:$D$10),0)</f>
        <v>45.421066962466988</v>
      </c>
      <c r="AJ301" s="13">
        <v>67.721986834197224</v>
      </c>
      <c r="AK301" s="13">
        <f t="shared" si="87"/>
        <v>172.19044084787129</v>
      </c>
      <c r="AL301" s="14">
        <v>0.33</v>
      </c>
      <c r="AM301" s="13">
        <f t="shared" si="88"/>
        <v>216.19022877679856</v>
      </c>
      <c r="AN301" s="14">
        <f t="shared" si="89"/>
        <v>0.47596906729523575</v>
      </c>
      <c r="AO301" t="str">
        <f>IF(AN301&gt;=Assumptions!$B$3,"OK","Review")</f>
        <v>OK</v>
      </c>
    </row>
    <row r="302" spans="1:41" ht="15" customHeight="1">
      <c r="A302" s="9" t="s">
        <v>256</v>
      </c>
      <c r="B302" s="9" t="s">
        <v>37</v>
      </c>
      <c r="C302" s="9" t="s">
        <v>78</v>
      </c>
      <c r="D302" s="9" t="s">
        <v>112</v>
      </c>
      <c r="E302" s="9" t="s">
        <v>73</v>
      </c>
      <c r="F302" s="9" t="s">
        <v>81</v>
      </c>
      <c r="G302" s="9" t="s">
        <v>24</v>
      </c>
      <c r="H302" s="9" t="s">
        <v>75</v>
      </c>
      <c r="I302" s="9">
        <v>4000011858</v>
      </c>
      <c r="J302" s="10">
        <v>16.29</v>
      </c>
      <c r="K302" s="10"/>
      <c r="L302" s="10">
        <f t="shared" si="72"/>
        <v>16.29</v>
      </c>
      <c r="M302" s="11">
        <v>0</v>
      </c>
      <c r="N302" s="10">
        <f t="shared" si="73"/>
        <v>0</v>
      </c>
      <c r="O302" s="10">
        <f t="shared" si="74"/>
        <v>16.29</v>
      </c>
      <c r="P302" s="11">
        <f t="shared" si="75"/>
        <v>3.2854002379847938E-2</v>
      </c>
      <c r="Q302" s="10">
        <f t="shared" si="76"/>
        <v>495.82999999999993</v>
      </c>
      <c r="R302" s="10">
        <f t="shared" si="77"/>
        <v>3421.1039999999998</v>
      </c>
      <c r="S302" s="10">
        <f t="shared" si="78"/>
        <v>112.3969589577073</v>
      </c>
      <c r="T302" s="9" t="s">
        <v>76</v>
      </c>
      <c r="U302" s="10">
        <v>5599</v>
      </c>
      <c r="V302" s="10">
        <f t="shared" si="79"/>
        <v>3919.2999999999997</v>
      </c>
      <c r="W302" s="166">
        <v>490110</v>
      </c>
      <c r="X302" s="12" t="s">
        <v>27</v>
      </c>
      <c r="Y302" s="12">
        <f t="shared" si="80"/>
        <v>112.3969589577073</v>
      </c>
      <c r="Z302" s="13">
        <f t="shared" si="81"/>
        <v>112.3969589577073</v>
      </c>
      <c r="AA302" s="13">
        <f t="shared" si="82"/>
        <v>112.3969589577073</v>
      </c>
      <c r="AB302" s="13">
        <f t="shared" si="83"/>
        <v>16.29</v>
      </c>
      <c r="AC302" s="13">
        <f t="shared" si="84"/>
        <v>96.106958957707292</v>
      </c>
      <c r="AD302" s="14">
        <f t="shared" si="85"/>
        <v>0.85506725314401433</v>
      </c>
      <c r="AE302" s="14">
        <f t="shared" si="86"/>
        <v>5.8997519311054205</v>
      </c>
      <c r="AF302" s="13" t="str">
        <f>IF(AD302&gt;=Assumptions!$B$3,"OK","Review")</f>
        <v>OK</v>
      </c>
      <c r="AG302" s="13">
        <f>IFERROR(IF(Assumptions!$B$13="Cost Price",AB302,AA302)*SUMIF(Assumptions!$A$6:$A$10,X302,Assumptions!$B$6:$B$10),0)</f>
        <v>8.9917567166165835</v>
      </c>
      <c r="AH302" s="13">
        <f>IFERROR(IF(Assumptions!$B$13="Cost Price",AB302,AA302)*SUMIF(Assumptions!$A$6:$A$10,X302,Assumptions!$C$6:$C$10),0)</f>
        <v>5.6198479478853649</v>
      </c>
      <c r="AI302" s="13">
        <f>IFERROR(IF(Assumptions!$B$13="Cost Price",AB302,AA302)*SUMIF(Assumptions!$A$6:$A$10,X302,Assumptions!$D$6:$D$10),0)</f>
        <v>11.23969589577073</v>
      </c>
      <c r="AJ302" s="13">
        <v>16.75818267551379</v>
      </c>
      <c r="AK302" s="13">
        <f t="shared" si="87"/>
        <v>42.60948323578647</v>
      </c>
      <c r="AL302" s="14">
        <v>0.33</v>
      </c>
      <c r="AM302" s="13">
        <f t="shared" si="88"/>
        <v>53.497475721920821</v>
      </c>
      <c r="AN302" s="14">
        <f t="shared" si="89"/>
        <v>0.47596906729523564</v>
      </c>
      <c r="AO302" t="str">
        <f>IF(AN302&gt;=Assumptions!$B$3,"OK","Review")</f>
        <v>OK</v>
      </c>
    </row>
    <row r="303" spans="1:41" ht="15" customHeight="1">
      <c r="A303" s="9" t="s">
        <v>256</v>
      </c>
      <c r="B303" s="9" t="s">
        <v>37</v>
      </c>
      <c r="C303" s="9" t="s">
        <v>113</v>
      </c>
      <c r="D303" s="9" t="s">
        <v>114</v>
      </c>
      <c r="E303" s="9" t="s">
        <v>73</v>
      </c>
      <c r="F303" s="9" t="s">
        <v>81</v>
      </c>
      <c r="G303" s="9" t="s">
        <v>24</v>
      </c>
      <c r="H303" s="9" t="s">
        <v>75</v>
      </c>
      <c r="I303" s="9">
        <v>4000011859</v>
      </c>
      <c r="J303" s="10">
        <v>54.55</v>
      </c>
      <c r="K303" s="10"/>
      <c r="L303" s="10">
        <f t="shared" si="72"/>
        <v>54.55</v>
      </c>
      <c r="M303" s="11">
        <v>0</v>
      </c>
      <c r="N303" s="10">
        <f t="shared" si="73"/>
        <v>0</v>
      </c>
      <c r="O303" s="10">
        <f t="shared" si="74"/>
        <v>54.55</v>
      </c>
      <c r="P303" s="11">
        <f t="shared" si="75"/>
        <v>0.11001754633644598</v>
      </c>
      <c r="Q303" s="10">
        <f t="shared" si="76"/>
        <v>495.82999999999993</v>
      </c>
      <c r="R303" s="10">
        <f t="shared" si="77"/>
        <v>3421.1039999999998</v>
      </c>
      <c r="S303" s="10">
        <f t="shared" si="78"/>
        <v>376.38146784180066</v>
      </c>
      <c r="T303" s="9" t="s">
        <v>76</v>
      </c>
      <c r="U303" s="10">
        <v>5599</v>
      </c>
      <c r="V303" s="10">
        <f t="shared" si="79"/>
        <v>3919.2999999999997</v>
      </c>
      <c r="W303" s="166">
        <v>490110</v>
      </c>
      <c r="X303" s="12" t="s">
        <v>27</v>
      </c>
      <c r="Y303" s="12">
        <f t="shared" si="80"/>
        <v>376.38146784180066</v>
      </c>
      <c r="Z303" s="13">
        <f t="shared" si="81"/>
        <v>376.38146784180066</v>
      </c>
      <c r="AA303" s="13">
        <f t="shared" si="82"/>
        <v>376.38146784180066</v>
      </c>
      <c r="AB303" s="13">
        <f t="shared" si="83"/>
        <v>54.55</v>
      </c>
      <c r="AC303" s="13">
        <f t="shared" si="84"/>
        <v>321.83146784180065</v>
      </c>
      <c r="AD303" s="14">
        <f t="shared" si="85"/>
        <v>0.85506725314401433</v>
      </c>
      <c r="AE303" s="14">
        <f t="shared" si="86"/>
        <v>5.8997519311054196</v>
      </c>
      <c r="AF303" s="13" t="str">
        <f>IF(AD303&gt;=Assumptions!$B$3,"OK","Review")</f>
        <v>OK</v>
      </c>
      <c r="AG303" s="13">
        <f>IFERROR(IF(Assumptions!$B$13="Cost Price",AB303,AA303)*SUMIF(Assumptions!$A$6:$A$10,X303,Assumptions!$B$6:$B$10),0)</f>
        <v>30.110517427344053</v>
      </c>
      <c r="AH303" s="13">
        <f>IFERROR(IF(Assumptions!$B$13="Cost Price",AB303,AA303)*SUMIF(Assumptions!$A$6:$A$10,X303,Assumptions!$C$6:$C$10),0)</f>
        <v>18.819073392090033</v>
      </c>
      <c r="AI303" s="13">
        <f>IFERROR(IF(Assumptions!$B$13="Cost Price",AB303,AA303)*SUMIF(Assumptions!$A$6:$A$10,X303,Assumptions!$D$6:$D$10),0)</f>
        <v>37.638146784180066</v>
      </c>
      <c r="AJ303" s="13">
        <v>56.117794042312909</v>
      </c>
      <c r="AK303" s="13">
        <f t="shared" si="87"/>
        <v>142.68553164592706</v>
      </c>
      <c r="AL303" s="14">
        <v>0.33</v>
      </c>
      <c r="AM303" s="13">
        <f t="shared" si="88"/>
        <v>179.14593619587359</v>
      </c>
      <c r="AN303" s="14">
        <f t="shared" si="89"/>
        <v>0.47596906729523564</v>
      </c>
      <c r="AO303" t="str">
        <f>IF(AN303&gt;=Assumptions!$B$3,"OK","Review")</f>
        <v>OK</v>
      </c>
    </row>
    <row r="304" spans="1:41" ht="15" customHeight="1">
      <c r="A304" s="9" t="s">
        <v>256</v>
      </c>
      <c r="B304" s="9" t="s">
        <v>37</v>
      </c>
      <c r="C304" s="9" t="s">
        <v>105</v>
      </c>
      <c r="D304" s="9" t="s">
        <v>115</v>
      </c>
      <c r="E304" s="9" t="s">
        <v>73</v>
      </c>
      <c r="F304" s="9" t="s">
        <v>74</v>
      </c>
      <c r="G304" s="9" t="s">
        <v>24</v>
      </c>
      <c r="H304" s="9" t="s">
        <v>84</v>
      </c>
      <c r="I304" s="9">
        <v>4000011780</v>
      </c>
      <c r="J304" s="10">
        <v>32.14</v>
      </c>
      <c r="K304" s="10"/>
      <c r="L304" s="10">
        <f t="shared" si="72"/>
        <v>32.14</v>
      </c>
      <c r="M304" s="11">
        <v>0</v>
      </c>
      <c r="N304" s="10">
        <f t="shared" si="73"/>
        <v>0</v>
      </c>
      <c r="O304" s="10">
        <f t="shared" si="74"/>
        <v>32.14</v>
      </c>
      <c r="P304" s="11">
        <f t="shared" si="75"/>
        <v>6.4820603835992183E-2</v>
      </c>
      <c r="Q304" s="10">
        <f t="shared" si="76"/>
        <v>495.82999999999993</v>
      </c>
      <c r="R304" s="10">
        <f t="shared" si="77"/>
        <v>3421.1039999999998</v>
      </c>
      <c r="S304" s="10">
        <f t="shared" si="78"/>
        <v>221.75802706572819</v>
      </c>
      <c r="T304" s="9" t="s">
        <v>76</v>
      </c>
      <c r="U304" s="10">
        <v>5599</v>
      </c>
      <c r="V304" s="10">
        <f t="shared" si="79"/>
        <v>3919.2999999999997</v>
      </c>
      <c r="W304" s="166">
        <v>490110</v>
      </c>
      <c r="X304" s="12" t="s">
        <v>27</v>
      </c>
      <c r="Y304" s="12">
        <f t="shared" si="80"/>
        <v>221.75802706572819</v>
      </c>
      <c r="Z304" s="13">
        <f t="shared" si="81"/>
        <v>221.75802706572819</v>
      </c>
      <c r="AA304" s="13">
        <f t="shared" si="82"/>
        <v>221.75802706572819</v>
      </c>
      <c r="AB304" s="13">
        <f t="shared" si="83"/>
        <v>32.14</v>
      </c>
      <c r="AC304" s="13">
        <f t="shared" si="84"/>
        <v>189.6180270657282</v>
      </c>
      <c r="AD304" s="14">
        <f t="shared" si="85"/>
        <v>0.85506725314401444</v>
      </c>
      <c r="AE304" s="14">
        <f t="shared" si="86"/>
        <v>5.8997519311054196</v>
      </c>
      <c r="AF304" s="13" t="str">
        <f>IF(AD304&gt;=Assumptions!$B$3,"OK","Review")</f>
        <v>OK</v>
      </c>
      <c r="AG304" s="13">
        <f>IFERROR(IF(Assumptions!$B$13="Cost Price",AB304,AA304)*SUMIF(Assumptions!$A$6:$A$10,X304,Assumptions!$B$6:$B$10),0)</f>
        <v>17.740642165258254</v>
      </c>
      <c r="AH304" s="13">
        <f>IFERROR(IF(Assumptions!$B$13="Cost Price",AB304,AA304)*SUMIF(Assumptions!$A$6:$A$10,X304,Assumptions!$C$6:$C$10),0)</f>
        <v>11.08790135328641</v>
      </c>
      <c r="AI304" s="13">
        <f>IFERROR(IF(Assumptions!$B$13="Cost Price",AB304,AA304)*SUMIF(Assumptions!$A$6:$A$10,X304,Assumptions!$D$6:$D$10),0)</f>
        <v>22.175802706572821</v>
      </c>
      <c r="AJ304" s="13">
        <v>33.063719532904429</v>
      </c>
      <c r="AK304" s="13">
        <f t="shared" si="87"/>
        <v>84.068065758021916</v>
      </c>
      <c r="AL304" s="14">
        <v>0.33</v>
      </c>
      <c r="AM304" s="13">
        <f t="shared" si="88"/>
        <v>105.54996130770628</v>
      </c>
      <c r="AN304" s="14">
        <f t="shared" si="89"/>
        <v>0.47596906729523575</v>
      </c>
      <c r="AO304" t="str">
        <f>IF(AN304&gt;=Assumptions!$B$3,"OK","Review")</f>
        <v>OK</v>
      </c>
    </row>
    <row r="305" spans="1:41" ht="15" customHeight="1">
      <c r="A305" s="9" t="s">
        <v>256</v>
      </c>
      <c r="B305" s="9" t="s">
        <v>37</v>
      </c>
      <c r="C305" s="9" t="s">
        <v>105</v>
      </c>
      <c r="D305" s="9" t="s">
        <v>116</v>
      </c>
      <c r="E305" s="9" t="s">
        <v>73</v>
      </c>
      <c r="F305" s="9" t="s">
        <v>74</v>
      </c>
      <c r="G305" s="9" t="s">
        <v>24</v>
      </c>
      <c r="H305" s="9" t="s">
        <v>84</v>
      </c>
      <c r="I305" s="9">
        <v>4000011781</v>
      </c>
      <c r="J305" s="10">
        <v>17.72</v>
      </c>
      <c r="K305" s="10"/>
      <c r="L305" s="10">
        <f t="shared" si="72"/>
        <v>17.72</v>
      </c>
      <c r="M305" s="11">
        <v>0</v>
      </c>
      <c r="N305" s="10">
        <f t="shared" si="73"/>
        <v>0</v>
      </c>
      <c r="O305" s="10">
        <f t="shared" si="74"/>
        <v>17.72</v>
      </c>
      <c r="P305" s="11">
        <f t="shared" si="75"/>
        <v>3.5738055381884924E-2</v>
      </c>
      <c r="Q305" s="10">
        <f t="shared" si="76"/>
        <v>495.82999999999993</v>
      </c>
      <c r="R305" s="10">
        <f t="shared" si="77"/>
        <v>3421.1039999999998</v>
      </c>
      <c r="S305" s="10">
        <f t="shared" si="78"/>
        <v>122.26360421918804</v>
      </c>
      <c r="T305" s="9" t="s">
        <v>76</v>
      </c>
      <c r="U305" s="10">
        <v>5599</v>
      </c>
      <c r="V305" s="10">
        <f t="shared" si="79"/>
        <v>3919.2999999999997</v>
      </c>
      <c r="W305" s="166">
        <v>490110</v>
      </c>
      <c r="X305" s="12" t="s">
        <v>27</v>
      </c>
      <c r="Y305" s="12">
        <f t="shared" si="80"/>
        <v>122.26360421918804</v>
      </c>
      <c r="Z305" s="13">
        <f t="shared" si="81"/>
        <v>122.26360421918804</v>
      </c>
      <c r="AA305" s="13">
        <f t="shared" si="82"/>
        <v>122.26360421918804</v>
      </c>
      <c r="AB305" s="13">
        <f t="shared" si="83"/>
        <v>17.72</v>
      </c>
      <c r="AC305" s="13">
        <f t="shared" si="84"/>
        <v>104.54360421918804</v>
      </c>
      <c r="AD305" s="14">
        <f t="shared" si="85"/>
        <v>0.85506725314401433</v>
      </c>
      <c r="AE305" s="14">
        <f t="shared" si="86"/>
        <v>5.8997519311054205</v>
      </c>
      <c r="AF305" s="13" t="str">
        <f>IF(AD305&gt;=Assumptions!$B$3,"OK","Review")</f>
        <v>OK</v>
      </c>
      <c r="AG305" s="13">
        <f>IFERROR(IF(Assumptions!$B$13="Cost Price",AB305,AA305)*SUMIF(Assumptions!$A$6:$A$10,X305,Assumptions!$B$6:$B$10),0)</f>
        <v>9.7810883375350439</v>
      </c>
      <c r="AH305" s="13">
        <f>IFERROR(IF(Assumptions!$B$13="Cost Price",AB305,AA305)*SUMIF(Assumptions!$A$6:$A$10,X305,Assumptions!$C$6:$C$10),0)</f>
        <v>6.1131802109594027</v>
      </c>
      <c r="AI305" s="13">
        <f>IFERROR(IF(Assumptions!$B$13="Cost Price",AB305,AA305)*SUMIF(Assumptions!$A$6:$A$10,X305,Assumptions!$D$6:$D$10),0)</f>
        <v>12.226360421918805</v>
      </c>
      <c r="AJ305" s="13">
        <v>18.229281584414018</v>
      </c>
      <c r="AK305" s="13">
        <f t="shared" si="87"/>
        <v>46.349910554827268</v>
      </c>
      <c r="AL305" s="14">
        <v>0.33</v>
      </c>
      <c r="AM305" s="13">
        <f t="shared" si="88"/>
        <v>58.193693664360772</v>
      </c>
      <c r="AN305" s="14">
        <f t="shared" si="89"/>
        <v>0.47596906729523569</v>
      </c>
      <c r="AO305" t="str">
        <f>IF(AN305&gt;=Assumptions!$B$3,"OK","Review")</f>
        <v>OK</v>
      </c>
    </row>
    <row r="306" spans="1:41" ht="15" customHeight="1">
      <c r="A306" s="9" t="s">
        <v>256</v>
      </c>
      <c r="B306" s="9" t="s">
        <v>37</v>
      </c>
      <c r="C306" s="9" t="s">
        <v>71</v>
      </c>
      <c r="D306" s="9" t="s">
        <v>117</v>
      </c>
      <c r="E306" s="9" t="s">
        <v>73</v>
      </c>
      <c r="F306" s="9" t="s">
        <v>74</v>
      </c>
      <c r="G306" s="9" t="s">
        <v>24</v>
      </c>
      <c r="H306" s="9" t="s">
        <v>84</v>
      </c>
      <c r="I306" s="9">
        <v>4000011782</v>
      </c>
      <c r="J306" s="10">
        <v>43.03</v>
      </c>
      <c r="K306" s="10"/>
      <c r="L306" s="10">
        <f t="shared" si="72"/>
        <v>43.03</v>
      </c>
      <c r="M306" s="11">
        <v>0</v>
      </c>
      <c r="N306" s="10">
        <f t="shared" si="73"/>
        <v>0</v>
      </c>
      <c r="O306" s="10">
        <f t="shared" si="74"/>
        <v>43.03</v>
      </c>
      <c r="P306" s="11">
        <f t="shared" si="75"/>
        <v>8.6783776697658493E-2</v>
      </c>
      <c r="Q306" s="10">
        <f t="shared" si="76"/>
        <v>495.82999999999993</v>
      </c>
      <c r="R306" s="10">
        <f t="shared" si="77"/>
        <v>3421.1039999999998</v>
      </c>
      <c r="S306" s="10">
        <f t="shared" si="78"/>
        <v>296.89632559546624</v>
      </c>
      <c r="T306" s="9" t="s">
        <v>76</v>
      </c>
      <c r="U306" s="10">
        <v>5599</v>
      </c>
      <c r="V306" s="10">
        <f t="shared" si="79"/>
        <v>3919.2999999999997</v>
      </c>
      <c r="W306" s="166">
        <v>490110</v>
      </c>
      <c r="X306" s="12" t="s">
        <v>27</v>
      </c>
      <c r="Y306" s="12">
        <f t="shared" si="80"/>
        <v>296.89632559546624</v>
      </c>
      <c r="Z306" s="13">
        <f t="shared" si="81"/>
        <v>296.89632559546624</v>
      </c>
      <c r="AA306" s="13">
        <f t="shared" si="82"/>
        <v>296.89632559546624</v>
      </c>
      <c r="AB306" s="13">
        <f t="shared" si="83"/>
        <v>43.03</v>
      </c>
      <c r="AC306" s="13">
        <f t="shared" si="84"/>
        <v>253.86632559546624</v>
      </c>
      <c r="AD306" s="14">
        <f t="shared" si="85"/>
        <v>0.85506725314401433</v>
      </c>
      <c r="AE306" s="14">
        <f t="shared" si="86"/>
        <v>5.8997519311054205</v>
      </c>
      <c r="AF306" s="13" t="str">
        <f>IF(AD306&gt;=Assumptions!$B$3,"OK","Review")</f>
        <v>OK</v>
      </c>
      <c r="AG306" s="13">
        <f>IFERROR(IF(Assumptions!$B$13="Cost Price",AB306,AA306)*SUMIF(Assumptions!$A$6:$A$10,X306,Assumptions!$B$6:$B$10),0)</f>
        <v>23.751706047637299</v>
      </c>
      <c r="AH306" s="13">
        <f>IFERROR(IF(Assumptions!$B$13="Cost Price",AB306,AA306)*SUMIF(Assumptions!$A$6:$A$10,X306,Assumptions!$C$6:$C$10),0)</f>
        <v>14.844816279773312</v>
      </c>
      <c r="AI306" s="13">
        <f>IFERROR(IF(Assumptions!$B$13="Cost Price",AB306,AA306)*SUMIF(Assumptions!$A$6:$A$10,X306,Assumptions!$D$6:$D$10),0)</f>
        <v>29.689632559546624</v>
      </c>
      <c r="AJ306" s="13">
        <v>44.266703531452322</v>
      </c>
      <c r="AK306" s="13">
        <f t="shared" si="87"/>
        <v>112.55285841840956</v>
      </c>
      <c r="AL306" s="14">
        <v>0.33</v>
      </c>
      <c r="AM306" s="13">
        <f t="shared" si="88"/>
        <v>141.31346717705668</v>
      </c>
      <c r="AN306" s="14">
        <f t="shared" si="89"/>
        <v>0.47596906729523569</v>
      </c>
      <c r="AO306" t="str">
        <f>IF(AN306&gt;=Assumptions!$B$3,"OK","Review")</f>
        <v>OK</v>
      </c>
    </row>
    <row r="307" spans="1:41" ht="15" customHeight="1">
      <c r="A307" s="9" t="s">
        <v>256</v>
      </c>
      <c r="B307" s="9" t="s">
        <v>37</v>
      </c>
      <c r="C307" s="9" t="s">
        <v>71</v>
      </c>
      <c r="D307" s="9" t="s">
        <v>118</v>
      </c>
      <c r="E307" s="9" t="s">
        <v>73</v>
      </c>
      <c r="F307" s="9" t="s">
        <v>74</v>
      </c>
      <c r="G307" s="9" t="s">
        <v>24</v>
      </c>
      <c r="H307" s="9" t="s">
        <v>84</v>
      </c>
      <c r="I307" s="9">
        <v>4000011784</v>
      </c>
      <c r="J307" s="10">
        <v>19.22</v>
      </c>
      <c r="K307" s="10"/>
      <c r="L307" s="10">
        <f t="shared" si="72"/>
        <v>19.22</v>
      </c>
      <c r="M307" s="11">
        <v>0</v>
      </c>
      <c r="N307" s="10">
        <f t="shared" si="73"/>
        <v>0</v>
      </c>
      <c r="O307" s="10">
        <f t="shared" si="74"/>
        <v>19.22</v>
      </c>
      <c r="P307" s="11">
        <f t="shared" si="75"/>
        <v>3.8763285803602048E-2</v>
      </c>
      <c r="Q307" s="10">
        <f t="shared" si="76"/>
        <v>495.82999999999993</v>
      </c>
      <c r="R307" s="10">
        <f t="shared" si="77"/>
        <v>3421.1039999999998</v>
      </c>
      <c r="S307" s="10">
        <f t="shared" si="78"/>
        <v>132.61323211584616</v>
      </c>
      <c r="T307" s="9" t="s">
        <v>76</v>
      </c>
      <c r="U307" s="10">
        <v>5599</v>
      </c>
      <c r="V307" s="10">
        <f t="shared" si="79"/>
        <v>3919.2999999999997</v>
      </c>
      <c r="W307" s="166">
        <v>490110</v>
      </c>
      <c r="X307" s="12" t="s">
        <v>27</v>
      </c>
      <c r="Y307" s="12">
        <f t="shared" si="80"/>
        <v>132.61323211584616</v>
      </c>
      <c r="Z307" s="13">
        <f t="shared" si="81"/>
        <v>132.61323211584616</v>
      </c>
      <c r="AA307" s="13">
        <f t="shared" si="82"/>
        <v>132.61323211584616</v>
      </c>
      <c r="AB307" s="13">
        <f t="shared" si="83"/>
        <v>19.22</v>
      </c>
      <c r="AC307" s="13">
        <f t="shared" si="84"/>
        <v>113.39323211584616</v>
      </c>
      <c r="AD307" s="14">
        <f t="shared" si="85"/>
        <v>0.85506725314401433</v>
      </c>
      <c r="AE307" s="14">
        <f t="shared" si="86"/>
        <v>5.8997519311054196</v>
      </c>
      <c r="AF307" s="13" t="str">
        <f>IF(AD307&gt;=Assumptions!$B$3,"OK","Review")</f>
        <v>OK</v>
      </c>
      <c r="AG307" s="13">
        <f>IFERROR(IF(Assumptions!$B$13="Cost Price",AB307,AA307)*SUMIF(Assumptions!$A$6:$A$10,X307,Assumptions!$B$6:$B$10),0)</f>
        <v>10.609058569267694</v>
      </c>
      <c r="AH307" s="13">
        <f>IFERROR(IF(Assumptions!$B$13="Cost Price",AB307,AA307)*SUMIF(Assumptions!$A$6:$A$10,X307,Assumptions!$C$6:$C$10),0)</f>
        <v>6.6306616057923087</v>
      </c>
      <c r="AI307" s="13">
        <f>IFERROR(IF(Assumptions!$B$13="Cost Price",AB307,AA307)*SUMIF(Assumptions!$A$6:$A$10,X307,Assumptions!$D$6:$D$10),0)</f>
        <v>13.261323211584617</v>
      </c>
      <c r="AJ307" s="13">
        <v>19.772392328015655</v>
      </c>
      <c r="AK307" s="13">
        <f t="shared" si="87"/>
        <v>50.273435714660273</v>
      </c>
      <c r="AL307" s="14">
        <v>0.33</v>
      </c>
      <c r="AM307" s="13">
        <f t="shared" si="88"/>
        <v>63.119796401185887</v>
      </c>
      <c r="AN307" s="14">
        <f t="shared" si="89"/>
        <v>0.47596906729523564</v>
      </c>
      <c r="AO307" t="str">
        <f>IF(AN307&gt;=Assumptions!$B$3,"OK","Review")</f>
        <v>OK</v>
      </c>
    </row>
    <row r="308" spans="1:41" ht="15" customHeight="1">
      <c r="A308" s="9" t="s">
        <v>256</v>
      </c>
      <c r="B308" s="9" t="s">
        <v>37</v>
      </c>
      <c r="C308" s="9" t="s">
        <v>78</v>
      </c>
      <c r="D308" s="9" t="s">
        <v>119</v>
      </c>
      <c r="E308" s="9" t="s">
        <v>73</v>
      </c>
      <c r="F308" s="9" t="s">
        <v>81</v>
      </c>
      <c r="G308" s="9" t="s">
        <v>24</v>
      </c>
      <c r="H308" s="9" t="s">
        <v>84</v>
      </c>
      <c r="I308" s="9">
        <v>4000011785</v>
      </c>
      <c r="J308" s="10">
        <v>53.56</v>
      </c>
      <c r="K308" s="10"/>
      <c r="L308" s="10">
        <f t="shared" si="72"/>
        <v>53.56</v>
      </c>
      <c r="M308" s="11">
        <v>0</v>
      </c>
      <c r="N308" s="10">
        <f t="shared" si="73"/>
        <v>0</v>
      </c>
      <c r="O308" s="10">
        <f t="shared" si="74"/>
        <v>53.56</v>
      </c>
      <c r="P308" s="11">
        <f t="shared" si="75"/>
        <v>0.10802089425811268</v>
      </c>
      <c r="Q308" s="10">
        <f t="shared" si="76"/>
        <v>495.82999999999993</v>
      </c>
      <c r="R308" s="10">
        <f t="shared" si="77"/>
        <v>3421.1039999999998</v>
      </c>
      <c r="S308" s="10">
        <f t="shared" si="78"/>
        <v>369.55071343000628</v>
      </c>
      <c r="T308" s="9" t="s">
        <v>76</v>
      </c>
      <c r="U308" s="10">
        <v>5599</v>
      </c>
      <c r="V308" s="10">
        <f t="shared" si="79"/>
        <v>3919.2999999999997</v>
      </c>
      <c r="W308" s="166">
        <v>490110</v>
      </c>
      <c r="X308" s="12" t="s">
        <v>27</v>
      </c>
      <c r="Y308" s="12">
        <f t="shared" si="80"/>
        <v>369.55071343000628</v>
      </c>
      <c r="Z308" s="13">
        <f t="shared" si="81"/>
        <v>369.55071343000628</v>
      </c>
      <c r="AA308" s="13">
        <f t="shared" si="82"/>
        <v>369.55071343000628</v>
      </c>
      <c r="AB308" s="13">
        <f t="shared" si="83"/>
        <v>53.56</v>
      </c>
      <c r="AC308" s="13">
        <f t="shared" si="84"/>
        <v>315.99071343000628</v>
      </c>
      <c r="AD308" s="14">
        <f t="shared" si="85"/>
        <v>0.85506725314401433</v>
      </c>
      <c r="AE308" s="14">
        <f t="shared" si="86"/>
        <v>5.8997519311054196</v>
      </c>
      <c r="AF308" s="13" t="str">
        <f>IF(AD308&gt;=Assumptions!$B$3,"OK","Review")</f>
        <v>OK</v>
      </c>
      <c r="AG308" s="13">
        <f>IFERROR(IF(Assumptions!$B$13="Cost Price",AB308,AA308)*SUMIF(Assumptions!$A$6:$A$10,X308,Assumptions!$B$6:$B$10),0)</f>
        <v>29.564057074400502</v>
      </c>
      <c r="AH308" s="13">
        <f>IFERROR(IF(Assumptions!$B$13="Cost Price",AB308,AA308)*SUMIF(Assumptions!$A$6:$A$10,X308,Assumptions!$C$6:$C$10),0)</f>
        <v>18.477535671500316</v>
      </c>
      <c r="AI308" s="13">
        <f>IFERROR(IF(Assumptions!$B$13="Cost Price",AB308,AA308)*SUMIF(Assumptions!$A$6:$A$10,X308,Assumptions!$D$6:$D$10),0)</f>
        <v>36.955071343000633</v>
      </c>
      <c r="AJ308" s="13">
        <v>55.099340951535822</v>
      </c>
      <c r="AK308" s="13">
        <f t="shared" si="87"/>
        <v>140.09600504043726</v>
      </c>
      <c r="AL308" s="14">
        <v>0.33</v>
      </c>
      <c r="AM308" s="13">
        <f t="shared" si="88"/>
        <v>175.89470838956902</v>
      </c>
      <c r="AN308" s="14">
        <f t="shared" si="89"/>
        <v>0.47596906729523569</v>
      </c>
      <c r="AO308" t="str">
        <f>IF(AN308&gt;=Assumptions!$B$3,"OK","Review")</f>
        <v>OK</v>
      </c>
    </row>
    <row r="309" spans="1:41" ht="15" customHeight="1">
      <c r="A309" s="9" t="s">
        <v>256</v>
      </c>
      <c r="B309" s="9" t="s">
        <v>37</v>
      </c>
      <c r="C309" s="9" t="s">
        <v>78</v>
      </c>
      <c r="D309" s="9" t="s">
        <v>120</v>
      </c>
      <c r="E309" s="9" t="s">
        <v>73</v>
      </c>
      <c r="F309" s="9" t="s">
        <v>81</v>
      </c>
      <c r="G309" s="9" t="s">
        <v>24</v>
      </c>
      <c r="H309" s="9" t="s">
        <v>84</v>
      </c>
      <c r="I309" s="9">
        <v>4000011786</v>
      </c>
      <c r="J309" s="10">
        <v>17.5</v>
      </c>
      <c r="K309" s="10"/>
      <c r="L309" s="10">
        <f t="shared" si="72"/>
        <v>17.5</v>
      </c>
      <c r="M309" s="11">
        <v>0</v>
      </c>
      <c r="N309" s="10">
        <f t="shared" si="73"/>
        <v>0</v>
      </c>
      <c r="O309" s="10">
        <f t="shared" si="74"/>
        <v>17.5</v>
      </c>
      <c r="P309" s="11">
        <f t="shared" si="75"/>
        <v>3.5294354920033084E-2</v>
      </c>
      <c r="Q309" s="10">
        <f t="shared" si="76"/>
        <v>495.82999999999993</v>
      </c>
      <c r="R309" s="10">
        <f t="shared" si="77"/>
        <v>3421.1039999999998</v>
      </c>
      <c r="S309" s="10">
        <f t="shared" si="78"/>
        <v>120.74565879434486</v>
      </c>
      <c r="T309" s="9" t="s">
        <v>76</v>
      </c>
      <c r="U309" s="10">
        <v>5599</v>
      </c>
      <c r="V309" s="10">
        <f t="shared" si="79"/>
        <v>3919.2999999999997</v>
      </c>
      <c r="W309" s="166">
        <v>490110</v>
      </c>
      <c r="X309" s="12" t="s">
        <v>27</v>
      </c>
      <c r="Y309" s="12">
        <f t="shared" si="80"/>
        <v>120.74565879434486</v>
      </c>
      <c r="Z309" s="13">
        <f t="shared" si="81"/>
        <v>120.74565879434486</v>
      </c>
      <c r="AA309" s="13">
        <f t="shared" si="82"/>
        <v>120.74565879434486</v>
      </c>
      <c r="AB309" s="13">
        <f t="shared" si="83"/>
        <v>17.5</v>
      </c>
      <c r="AC309" s="13">
        <f t="shared" si="84"/>
        <v>103.24565879434486</v>
      </c>
      <c r="AD309" s="14">
        <f t="shared" si="85"/>
        <v>0.85506725314401433</v>
      </c>
      <c r="AE309" s="14">
        <f t="shared" si="86"/>
        <v>5.8997519311054205</v>
      </c>
      <c r="AF309" s="13" t="str">
        <f>IF(AD309&gt;=Assumptions!$B$3,"OK","Review")</f>
        <v>OK</v>
      </c>
      <c r="AG309" s="13">
        <f>IFERROR(IF(Assumptions!$B$13="Cost Price",AB309,AA309)*SUMIF(Assumptions!$A$6:$A$10,X309,Assumptions!$B$6:$B$10),0)</f>
        <v>9.6596527035475894</v>
      </c>
      <c r="AH309" s="13">
        <f>IFERROR(IF(Assumptions!$B$13="Cost Price",AB309,AA309)*SUMIF(Assumptions!$A$6:$A$10,X309,Assumptions!$C$6:$C$10),0)</f>
        <v>6.0372829397172438</v>
      </c>
      <c r="AI309" s="13">
        <f>IFERROR(IF(Assumptions!$B$13="Cost Price",AB309,AA309)*SUMIF(Assumptions!$A$6:$A$10,X309,Assumptions!$D$6:$D$10),0)</f>
        <v>12.074565879434488</v>
      </c>
      <c r="AJ309" s="13">
        <v>18.002958675352442</v>
      </c>
      <c r="AK309" s="13">
        <f t="shared" si="87"/>
        <v>45.774460198051763</v>
      </c>
      <c r="AL309" s="14">
        <v>0.33</v>
      </c>
      <c r="AM309" s="13">
        <f t="shared" si="88"/>
        <v>57.4711985962931</v>
      </c>
      <c r="AN309" s="14">
        <f t="shared" si="89"/>
        <v>0.47596906729523569</v>
      </c>
      <c r="AO309" t="str">
        <f>IF(AN309&gt;=Assumptions!$B$3,"OK","Review")</f>
        <v>OK</v>
      </c>
    </row>
    <row r="310" spans="1:41" ht="15" customHeight="1">
      <c r="A310" s="9" t="s">
        <v>256</v>
      </c>
      <c r="B310" s="9" t="s">
        <v>37</v>
      </c>
      <c r="C310" s="9" t="s">
        <v>113</v>
      </c>
      <c r="D310" s="9" t="s">
        <v>121</v>
      </c>
      <c r="E310" s="9" t="s">
        <v>73</v>
      </c>
      <c r="F310" s="9" t="s">
        <v>81</v>
      </c>
      <c r="G310" s="9" t="s">
        <v>24</v>
      </c>
      <c r="H310" s="9" t="s">
        <v>84</v>
      </c>
      <c r="I310" s="9">
        <v>4000011787</v>
      </c>
      <c r="J310" s="10">
        <v>37.659999999999997</v>
      </c>
      <c r="K310" s="10"/>
      <c r="L310" s="10">
        <f t="shared" si="72"/>
        <v>37.659999999999997</v>
      </c>
      <c r="M310" s="11">
        <v>0</v>
      </c>
      <c r="N310" s="10">
        <f t="shared" si="73"/>
        <v>0</v>
      </c>
      <c r="O310" s="10">
        <f t="shared" si="74"/>
        <v>37.659999999999997</v>
      </c>
      <c r="P310" s="11">
        <f t="shared" si="75"/>
        <v>7.5953451787911186E-2</v>
      </c>
      <c r="Q310" s="10">
        <f t="shared" si="76"/>
        <v>495.82999999999993</v>
      </c>
      <c r="R310" s="10">
        <f t="shared" si="77"/>
        <v>3421.1039999999998</v>
      </c>
      <c r="S310" s="10">
        <f t="shared" si="78"/>
        <v>259.84465772543007</v>
      </c>
      <c r="T310" s="9" t="s">
        <v>76</v>
      </c>
      <c r="U310" s="10">
        <v>5599</v>
      </c>
      <c r="V310" s="10">
        <f t="shared" si="79"/>
        <v>3919.2999999999997</v>
      </c>
      <c r="W310" s="166">
        <v>490110</v>
      </c>
      <c r="X310" s="12" t="s">
        <v>27</v>
      </c>
      <c r="Y310" s="12">
        <f t="shared" si="80"/>
        <v>259.84465772543007</v>
      </c>
      <c r="Z310" s="13">
        <f t="shared" si="81"/>
        <v>259.84465772543007</v>
      </c>
      <c r="AA310" s="13">
        <f t="shared" si="82"/>
        <v>259.84465772543007</v>
      </c>
      <c r="AB310" s="13">
        <f t="shared" si="83"/>
        <v>37.659999999999997</v>
      </c>
      <c r="AC310" s="13">
        <f t="shared" si="84"/>
        <v>222.18465772543007</v>
      </c>
      <c r="AD310" s="14">
        <f t="shared" si="85"/>
        <v>0.85506725314401433</v>
      </c>
      <c r="AE310" s="14">
        <f t="shared" si="86"/>
        <v>5.8997519311054196</v>
      </c>
      <c r="AF310" s="13" t="str">
        <f>IF(AD310&gt;=Assumptions!$B$3,"OK","Review")</f>
        <v>OK</v>
      </c>
      <c r="AG310" s="13">
        <f>IFERROR(IF(Assumptions!$B$13="Cost Price",AB310,AA310)*SUMIF(Assumptions!$A$6:$A$10,X310,Assumptions!$B$6:$B$10),0)</f>
        <v>20.787572618034407</v>
      </c>
      <c r="AH310" s="13">
        <f>IFERROR(IF(Assumptions!$B$13="Cost Price",AB310,AA310)*SUMIF(Assumptions!$A$6:$A$10,X310,Assumptions!$C$6:$C$10),0)</f>
        <v>12.992232886271504</v>
      </c>
      <c r="AI310" s="13">
        <f>IFERROR(IF(Assumptions!$B$13="Cost Price",AB310,AA310)*SUMIF(Assumptions!$A$6:$A$10,X310,Assumptions!$D$6:$D$10),0)</f>
        <v>25.984465772543007</v>
      </c>
      <c r="AJ310" s="13">
        <v>38.742367069358458</v>
      </c>
      <c r="AK310" s="13">
        <f t="shared" si="87"/>
        <v>98.506638346207382</v>
      </c>
      <c r="AL310" s="14">
        <v>0.33</v>
      </c>
      <c r="AM310" s="13">
        <f t="shared" si="88"/>
        <v>123.67801937922269</v>
      </c>
      <c r="AN310" s="14">
        <f t="shared" si="89"/>
        <v>0.47596906729523564</v>
      </c>
      <c r="AO310" t="str">
        <f>IF(AN310&gt;=Assumptions!$B$3,"OK","Review")</f>
        <v>OK</v>
      </c>
    </row>
    <row r="311" spans="1:41" ht="15" customHeight="1">
      <c r="A311" s="9" t="s">
        <v>256</v>
      </c>
      <c r="B311" s="9" t="s">
        <v>37</v>
      </c>
      <c r="C311" s="9" t="s">
        <v>243</v>
      </c>
      <c r="D311" s="9" t="s">
        <v>246</v>
      </c>
      <c r="E311" s="9" t="s">
        <v>73</v>
      </c>
      <c r="F311" s="9" t="s">
        <v>90</v>
      </c>
      <c r="G311" s="9" t="s">
        <v>24</v>
      </c>
      <c r="H311" s="9" t="s">
        <v>75</v>
      </c>
      <c r="I311" s="9">
        <v>7000001003</v>
      </c>
      <c r="J311" s="10">
        <v>105.1</v>
      </c>
      <c r="K311" s="10">
        <v>10</v>
      </c>
      <c r="L311" s="10">
        <f t="shared" si="72"/>
        <v>115.1</v>
      </c>
      <c r="M311" s="11">
        <v>0.18</v>
      </c>
      <c r="N311" s="10">
        <f t="shared" si="73"/>
        <v>20.718</v>
      </c>
      <c r="O311" s="10">
        <f t="shared" si="74"/>
        <v>135.81799999999998</v>
      </c>
      <c r="P311" s="11">
        <f t="shared" si="75"/>
        <v>0.54523922311700612</v>
      </c>
      <c r="Q311" s="10">
        <f t="shared" si="76"/>
        <v>249.09799999999998</v>
      </c>
      <c r="R311" s="10">
        <f t="shared" si="77"/>
        <v>3421.1039999999998</v>
      </c>
      <c r="S311" s="10">
        <f t="shared" si="78"/>
        <v>135.81799999999998</v>
      </c>
      <c r="T311" s="9" t="s">
        <v>91</v>
      </c>
      <c r="U311" s="10">
        <v>5599</v>
      </c>
      <c r="V311" s="10">
        <f t="shared" si="79"/>
        <v>3919.2999999999997</v>
      </c>
      <c r="W311" s="166">
        <v>49119990</v>
      </c>
      <c r="X311" s="12" t="s">
        <v>27</v>
      </c>
      <c r="Y311" s="12">
        <f t="shared" si="80"/>
        <v>135.81799999999998</v>
      </c>
      <c r="Z311" s="13">
        <f t="shared" si="81"/>
        <v>135.81799999999998</v>
      </c>
      <c r="AA311" s="13">
        <f t="shared" si="82"/>
        <v>115.1</v>
      </c>
      <c r="AB311" s="13">
        <f t="shared" si="83"/>
        <v>105.1</v>
      </c>
      <c r="AC311" s="13">
        <f t="shared" si="84"/>
        <v>10</v>
      </c>
      <c r="AD311" s="14">
        <f t="shared" si="85"/>
        <v>8.6880973066898348E-2</v>
      </c>
      <c r="AE311" s="14">
        <f t="shared" si="86"/>
        <v>9.5147478591817325E-2</v>
      </c>
      <c r="AF311" s="13" t="str">
        <f>IF(AD311&gt;=Assumptions!$B$3,"OK","Review")</f>
        <v>Review</v>
      </c>
      <c r="AG311" s="13">
        <f>IFERROR(IF(Assumptions!$B$13="Cost Price",AB311,AA311)*SUMIF(Assumptions!$A$6:$A$10,X311,Assumptions!$B$6:$B$10),0)</f>
        <v>9.2080000000000002</v>
      </c>
      <c r="AH311" s="13">
        <f>IFERROR(IF(Assumptions!$B$13="Cost Price",AB311,AA311)*SUMIF(Assumptions!$A$6:$A$10,X311,Assumptions!$C$6:$C$10),0)</f>
        <v>5.7549999999999999</v>
      </c>
      <c r="AI311" s="13">
        <f>IFERROR(IF(Assumptions!$B$13="Cost Price",AB311,AA311)*SUMIF(Assumptions!$A$6:$A$10,X311,Assumptions!$D$6:$D$10),0)</f>
        <v>11.51</v>
      </c>
      <c r="AJ311" s="13">
        <v>11.51</v>
      </c>
      <c r="AK311" s="13">
        <f t="shared" si="87"/>
        <v>37.982999999999997</v>
      </c>
      <c r="AL311" s="14">
        <v>0.33</v>
      </c>
      <c r="AM311" s="13">
        <f t="shared" si="88"/>
        <v>-27.982999999999997</v>
      </c>
      <c r="AN311" s="14">
        <f t="shared" si="89"/>
        <v>-0.24311902693310164</v>
      </c>
      <c r="AO311" t="str">
        <f>IF(AN311&gt;=Assumptions!$B$3,"OK","Review")</f>
        <v>Review</v>
      </c>
    </row>
    <row r="312" spans="1:41" ht="15" customHeight="1">
      <c r="A312" s="9" t="s">
        <v>256</v>
      </c>
      <c r="B312" s="9" t="s">
        <v>37</v>
      </c>
      <c r="C312" s="9" t="s">
        <v>92</v>
      </c>
      <c r="D312" s="9" t="s">
        <v>93</v>
      </c>
      <c r="E312" s="9" t="s">
        <v>73</v>
      </c>
      <c r="F312" s="9" t="s">
        <v>94</v>
      </c>
      <c r="G312" s="9" t="s">
        <v>24</v>
      </c>
      <c r="H312" s="9" t="s">
        <v>75</v>
      </c>
      <c r="I312" s="9">
        <v>8400007</v>
      </c>
      <c r="J312" s="10">
        <v>96</v>
      </c>
      <c r="K312" s="10"/>
      <c r="L312" s="10">
        <f t="shared" si="72"/>
        <v>96</v>
      </c>
      <c r="M312" s="11">
        <v>0.18</v>
      </c>
      <c r="N312" s="10">
        <f t="shared" si="73"/>
        <v>17.28</v>
      </c>
      <c r="O312" s="10">
        <f t="shared" si="74"/>
        <v>113.28</v>
      </c>
      <c r="P312" s="11">
        <f t="shared" si="75"/>
        <v>0.45476077688299388</v>
      </c>
      <c r="Q312" s="10">
        <f t="shared" si="76"/>
        <v>249.09799999999998</v>
      </c>
      <c r="R312" s="10">
        <f t="shared" si="77"/>
        <v>3421.1039999999998</v>
      </c>
      <c r="S312" s="10">
        <f t="shared" si="78"/>
        <v>113.28</v>
      </c>
      <c r="T312" s="9" t="s">
        <v>91</v>
      </c>
      <c r="U312" s="10">
        <v>5599</v>
      </c>
      <c r="V312" s="10">
        <f t="shared" si="79"/>
        <v>3919.2999999999997</v>
      </c>
      <c r="W312" s="166">
        <v>999299</v>
      </c>
      <c r="X312" s="12" t="s">
        <v>27</v>
      </c>
      <c r="Y312" s="12">
        <f t="shared" si="80"/>
        <v>113.28</v>
      </c>
      <c r="Z312" s="13">
        <f t="shared" si="81"/>
        <v>113.28</v>
      </c>
      <c r="AA312" s="13">
        <f t="shared" si="82"/>
        <v>96</v>
      </c>
      <c r="AB312" s="13">
        <f t="shared" si="83"/>
        <v>96</v>
      </c>
      <c r="AC312" s="13">
        <f t="shared" si="84"/>
        <v>0</v>
      </c>
      <c r="AD312" s="14">
        <f t="shared" si="85"/>
        <v>0</v>
      </c>
      <c r="AE312" s="14">
        <f t="shared" si="86"/>
        <v>0</v>
      </c>
      <c r="AF312" s="13" t="str">
        <f>IF(AD312&gt;=Assumptions!$B$3,"OK","Review")</f>
        <v>Review</v>
      </c>
      <c r="AG312" s="13">
        <f>IFERROR(IF(Assumptions!$B$13="Cost Price",AB312,AA312)*SUMIF(Assumptions!$A$6:$A$10,X312,Assumptions!$B$6:$B$10),0)</f>
        <v>7.68</v>
      </c>
      <c r="AH312" s="13">
        <f>IFERROR(IF(Assumptions!$B$13="Cost Price",AB312,AA312)*SUMIF(Assumptions!$A$6:$A$10,X312,Assumptions!$C$6:$C$10),0)</f>
        <v>4.8000000000000007</v>
      </c>
      <c r="AI312" s="13">
        <f>IFERROR(IF(Assumptions!$B$13="Cost Price",AB312,AA312)*SUMIF(Assumptions!$A$6:$A$10,X312,Assumptions!$D$6:$D$10),0)</f>
        <v>9.6000000000000014</v>
      </c>
      <c r="AJ312" s="13">
        <v>9.6000000000000014</v>
      </c>
      <c r="AK312" s="13">
        <f t="shared" si="87"/>
        <v>31.680000000000003</v>
      </c>
      <c r="AL312" s="14">
        <v>0.33</v>
      </c>
      <c r="AM312" s="13">
        <f t="shared" si="88"/>
        <v>-31.680000000000003</v>
      </c>
      <c r="AN312" s="14">
        <f t="shared" si="89"/>
        <v>-0.33</v>
      </c>
      <c r="AO312" t="str">
        <f>IF(AN312&gt;=Assumptions!$B$3,"OK","Review")</f>
        <v>Review</v>
      </c>
    </row>
    <row r="313" spans="1:41" ht="15" customHeight="1">
      <c r="A313" s="9" t="s">
        <v>256</v>
      </c>
      <c r="B313" s="9" t="s">
        <v>38</v>
      </c>
      <c r="C313" s="9" t="s">
        <v>105</v>
      </c>
      <c r="D313" s="9" t="s">
        <v>123</v>
      </c>
      <c r="E313" s="9" t="s">
        <v>73</v>
      </c>
      <c r="F313" s="9" t="s">
        <v>74</v>
      </c>
      <c r="G313" s="9" t="s">
        <v>24</v>
      </c>
      <c r="H313" s="9" t="s">
        <v>75</v>
      </c>
      <c r="I313" s="9">
        <v>4000011788</v>
      </c>
      <c r="J313" s="10">
        <v>34.78</v>
      </c>
      <c r="K313" s="10"/>
      <c r="L313" s="10">
        <f t="shared" si="72"/>
        <v>34.78</v>
      </c>
      <c r="M313" s="11">
        <v>0</v>
      </c>
      <c r="N313" s="10">
        <f t="shared" si="73"/>
        <v>0</v>
      </c>
      <c r="O313" s="10">
        <f t="shared" si="74"/>
        <v>34.78</v>
      </c>
      <c r="P313" s="11">
        <f t="shared" si="75"/>
        <v>6.3885674399808967E-2</v>
      </c>
      <c r="Q313" s="10">
        <f t="shared" si="76"/>
        <v>544.41</v>
      </c>
      <c r="R313" s="10">
        <f t="shared" si="77"/>
        <v>3369.4199999999996</v>
      </c>
      <c r="S313" s="10">
        <f t="shared" si="78"/>
        <v>215.25766903620431</v>
      </c>
      <c r="T313" s="9" t="s">
        <v>76</v>
      </c>
      <c r="U313" s="10">
        <v>5599</v>
      </c>
      <c r="V313" s="10">
        <f t="shared" si="79"/>
        <v>3919.2999999999997</v>
      </c>
      <c r="W313" s="166">
        <v>490110</v>
      </c>
      <c r="X313" s="12" t="s">
        <v>27</v>
      </c>
      <c r="Y313" s="12">
        <f t="shared" si="80"/>
        <v>215.25766903620431</v>
      </c>
      <c r="Z313" s="13">
        <f t="shared" si="81"/>
        <v>215.25766903620431</v>
      </c>
      <c r="AA313" s="13">
        <f t="shared" si="82"/>
        <v>215.25766903620431</v>
      </c>
      <c r="AB313" s="13">
        <f t="shared" si="83"/>
        <v>34.78</v>
      </c>
      <c r="AC313" s="13">
        <f t="shared" si="84"/>
        <v>180.4776690362043</v>
      </c>
      <c r="AD313" s="14">
        <f t="shared" si="85"/>
        <v>0.83842619798066131</v>
      </c>
      <c r="AE313" s="14">
        <f t="shared" si="86"/>
        <v>5.1891221689535447</v>
      </c>
      <c r="AF313" s="13" t="str">
        <f>IF(AD313&gt;=Assumptions!$B$3,"OK","Review")</f>
        <v>OK</v>
      </c>
      <c r="AG313" s="13">
        <f>IFERROR(IF(Assumptions!$B$13="Cost Price",AB313,AA313)*SUMIF(Assumptions!$A$6:$A$10,X313,Assumptions!$B$6:$B$10),0)</f>
        <v>17.220613522896343</v>
      </c>
      <c r="AH313" s="13">
        <f>IFERROR(IF(Assumptions!$B$13="Cost Price",AB313,AA313)*SUMIF(Assumptions!$A$6:$A$10,X313,Assumptions!$C$6:$C$10),0)</f>
        <v>10.762883451810216</v>
      </c>
      <c r="AI313" s="13">
        <f>IFERROR(IF(Assumptions!$B$13="Cost Price",AB313,AA313)*SUMIF(Assumptions!$A$6:$A$10,X313,Assumptions!$D$6:$D$10),0)</f>
        <v>21.525766903620433</v>
      </c>
      <c r="AJ313" s="13">
        <v>32.256643632556347</v>
      </c>
      <c r="AK313" s="13">
        <f t="shared" si="87"/>
        <v>81.765907510883338</v>
      </c>
      <c r="AL313" s="14">
        <v>0.33</v>
      </c>
      <c r="AM313" s="13">
        <f t="shared" si="88"/>
        <v>98.711761525320966</v>
      </c>
      <c r="AN313" s="14">
        <f t="shared" si="89"/>
        <v>0.45857488825970044</v>
      </c>
      <c r="AO313" t="str">
        <f>IF(AN313&gt;=Assumptions!$B$3,"OK","Review")</f>
        <v>OK</v>
      </c>
    </row>
    <row r="314" spans="1:41" ht="15" customHeight="1">
      <c r="A314" s="9" t="s">
        <v>256</v>
      </c>
      <c r="B314" s="9" t="s">
        <v>38</v>
      </c>
      <c r="C314" s="9" t="s">
        <v>105</v>
      </c>
      <c r="D314" s="9" t="s">
        <v>124</v>
      </c>
      <c r="E314" s="9" t="s">
        <v>73</v>
      </c>
      <c r="F314" s="9" t="s">
        <v>74</v>
      </c>
      <c r="G314" s="9" t="s">
        <v>24</v>
      </c>
      <c r="H314" s="9" t="s">
        <v>75</v>
      </c>
      <c r="I314" s="9">
        <v>4000011789</v>
      </c>
      <c r="J314" s="10">
        <v>19.34</v>
      </c>
      <c r="K314" s="10"/>
      <c r="L314" s="10">
        <f t="shared" si="72"/>
        <v>19.34</v>
      </c>
      <c r="M314" s="11">
        <v>0</v>
      </c>
      <c r="N314" s="10">
        <f t="shared" si="73"/>
        <v>0</v>
      </c>
      <c r="O314" s="10">
        <f t="shared" si="74"/>
        <v>19.34</v>
      </c>
      <c r="P314" s="11">
        <f t="shared" si="75"/>
        <v>3.5524696460388312E-2</v>
      </c>
      <c r="Q314" s="10">
        <f t="shared" si="76"/>
        <v>544.41</v>
      </c>
      <c r="R314" s="10">
        <f t="shared" si="77"/>
        <v>3369.4199999999996</v>
      </c>
      <c r="S314" s="10">
        <f t="shared" si="78"/>
        <v>119.69762274756157</v>
      </c>
      <c r="T314" s="9" t="s">
        <v>76</v>
      </c>
      <c r="U314" s="10">
        <v>5599</v>
      </c>
      <c r="V314" s="10">
        <f t="shared" si="79"/>
        <v>3919.2999999999997</v>
      </c>
      <c r="W314" s="166">
        <v>490110</v>
      </c>
      <c r="X314" s="12" t="s">
        <v>27</v>
      </c>
      <c r="Y314" s="12">
        <f t="shared" si="80"/>
        <v>119.69762274756157</v>
      </c>
      <c r="Z314" s="13">
        <f t="shared" si="81"/>
        <v>119.69762274756157</v>
      </c>
      <c r="AA314" s="13">
        <f t="shared" si="82"/>
        <v>119.69762274756157</v>
      </c>
      <c r="AB314" s="13">
        <f t="shared" si="83"/>
        <v>19.34</v>
      </c>
      <c r="AC314" s="13">
        <f t="shared" si="84"/>
        <v>100.35762274756156</v>
      </c>
      <c r="AD314" s="14">
        <f t="shared" si="85"/>
        <v>0.83842619798066131</v>
      </c>
      <c r="AE314" s="14">
        <f t="shared" si="86"/>
        <v>5.1891221689535456</v>
      </c>
      <c r="AF314" s="13" t="str">
        <f>IF(AD314&gt;=Assumptions!$B$3,"OK","Review")</f>
        <v>OK</v>
      </c>
      <c r="AG314" s="13">
        <f>IFERROR(IF(Assumptions!$B$13="Cost Price",AB314,AA314)*SUMIF(Assumptions!$A$6:$A$10,X314,Assumptions!$B$6:$B$10),0)</f>
        <v>9.5758098198049257</v>
      </c>
      <c r="AH314" s="13">
        <f>IFERROR(IF(Assumptions!$B$13="Cost Price",AB314,AA314)*SUMIF(Assumptions!$A$6:$A$10,X314,Assumptions!$C$6:$C$10),0)</f>
        <v>5.9848811373780784</v>
      </c>
      <c r="AI314" s="13">
        <f>IFERROR(IF(Assumptions!$B$13="Cost Price",AB314,AA314)*SUMIF(Assumptions!$A$6:$A$10,X314,Assumptions!$D$6:$D$10),0)</f>
        <v>11.969762274756157</v>
      </c>
      <c r="AJ314" s="13">
        <v>17.936845539207585</v>
      </c>
      <c r="AK314" s="13">
        <f t="shared" si="87"/>
        <v>45.467298771146744</v>
      </c>
      <c r="AL314" s="14">
        <v>0.33</v>
      </c>
      <c r="AM314" s="13">
        <f t="shared" si="88"/>
        <v>54.89032397641482</v>
      </c>
      <c r="AN314" s="14">
        <f t="shared" si="89"/>
        <v>0.45857488825970039</v>
      </c>
      <c r="AO314" t="str">
        <f>IF(AN314&gt;=Assumptions!$B$3,"OK","Review")</f>
        <v>OK</v>
      </c>
    </row>
    <row r="315" spans="1:41" ht="15" customHeight="1">
      <c r="A315" s="9" t="s">
        <v>256</v>
      </c>
      <c r="B315" s="9" t="s">
        <v>38</v>
      </c>
      <c r="C315" s="9" t="s">
        <v>71</v>
      </c>
      <c r="D315" s="9" t="s">
        <v>125</v>
      </c>
      <c r="E315" s="9" t="s">
        <v>73</v>
      </c>
      <c r="F315" s="9" t="s">
        <v>74</v>
      </c>
      <c r="G315" s="9" t="s">
        <v>24</v>
      </c>
      <c r="H315" s="9" t="s">
        <v>75</v>
      </c>
      <c r="I315" s="9">
        <v>4000011790</v>
      </c>
      <c r="J315" s="10">
        <v>45.67</v>
      </c>
      <c r="K315" s="10"/>
      <c r="L315" s="10">
        <f t="shared" si="72"/>
        <v>45.67</v>
      </c>
      <c r="M315" s="11">
        <v>0</v>
      </c>
      <c r="N315" s="10">
        <f t="shared" si="73"/>
        <v>0</v>
      </c>
      <c r="O315" s="10">
        <f t="shared" si="74"/>
        <v>45.67</v>
      </c>
      <c r="P315" s="11">
        <f t="shared" si="75"/>
        <v>8.388898073143404E-2</v>
      </c>
      <c r="Q315" s="10">
        <f t="shared" si="76"/>
        <v>544.41</v>
      </c>
      <c r="R315" s="10">
        <f t="shared" si="77"/>
        <v>3369.4199999999996</v>
      </c>
      <c r="S315" s="10">
        <f t="shared" si="78"/>
        <v>282.65720945610843</v>
      </c>
      <c r="T315" s="9" t="s">
        <v>76</v>
      </c>
      <c r="U315" s="10">
        <v>5599</v>
      </c>
      <c r="V315" s="10">
        <f t="shared" si="79"/>
        <v>3919.2999999999997</v>
      </c>
      <c r="W315" s="166">
        <v>490110</v>
      </c>
      <c r="X315" s="12" t="s">
        <v>27</v>
      </c>
      <c r="Y315" s="12">
        <f t="shared" si="80"/>
        <v>282.65720945610843</v>
      </c>
      <c r="Z315" s="13">
        <f t="shared" si="81"/>
        <v>282.65720945610843</v>
      </c>
      <c r="AA315" s="13">
        <f t="shared" si="82"/>
        <v>282.65720945610843</v>
      </c>
      <c r="AB315" s="13">
        <f t="shared" si="83"/>
        <v>45.67</v>
      </c>
      <c r="AC315" s="13">
        <f t="shared" si="84"/>
        <v>236.98720945610842</v>
      </c>
      <c r="AD315" s="14">
        <f t="shared" si="85"/>
        <v>0.83842619798066131</v>
      </c>
      <c r="AE315" s="14">
        <f t="shared" si="86"/>
        <v>5.1891221689535456</v>
      </c>
      <c r="AF315" s="13" t="str">
        <f>IF(AD315&gt;=Assumptions!$B$3,"OK","Review")</f>
        <v>OK</v>
      </c>
      <c r="AG315" s="13">
        <f>IFERROR(IF(Assumptions!$B$13="Cost Price",AB315,AA315)*SUMIF(Assumptions!$A$6:$A$10,X315,Assumptions!$B$6:$B$10),0)</f>
        <v>22.612576756488675</v>
      </c>
      <c r="AH315" s="13">
        <f>IFERROR(IF(Assumptions!$B$13="Cost Price",AB315,AA315)*SUMIF(Assumptions!$A$6:$A$10,X315,Assumptions!$C$6:$C$10),0)</f>
        <v>14.132860472805422</v>
      </c>
      <c r="AI315" s="13">
        <f>IFERROR(IF(Assumptions!$B$13="Cost Price",AB315,AA315)*SUMIF(Assumptions!$A$6:$A$10,X315,Assumptions!$D$6:$D$10),0)</f>
        <v>28.265720945610845</v>
      </c>
      <c r="AJ315" s="13">
        <v>42.35655303906983</v>
      </c>
      <c r="AK315" s="13">
        <f t="shared" si="87"/>
        <v>107.36771121397479</v>
      </c>
      <c r="AL315" s="14">
        <v>0.33</v>
      </c>
      <c r="AM315" s="13">
        <f t="shared" si="88"/>
        <v>129.61949824213363</v>
      </c>
      <c r="AN315" s="14">
        <f t="shared" si="89"/>
        <v>0.45857488825970033</v>
      </c>
      <c r="AO315" t="str">
        <f>IF(AN315&gt;=Assumptions!$B$3,"OK","Review")</f>
        <v>OK</v>
      </c>
    </row>
    <row r="316" spans="1:41" ht="15" customHeight="1">
      <c r="A316" s="9" t="s">
        <v>256</v>
      </c>
      <c r="B316" s="9" t="s">
        <v>38</v>
      </c>
      <c r="C316" s="9" t="s">
        <v>71</v>
      </c>
      <c r="D316" s="9" t="s">
        <v>126</v>
      </c>
      <c r="E316" s="9" t="s">
        <v>73</v>
      </c>
      <c r="F316" s="9" t="s">
        <v>74</v>
      </c>
      <c r="G316" s="9" t="s">
        <v>24</v>
      </c>
      <c r="H316" s="9" t="s">
        <v>75</v>
      </c>
      <c r="I316" s="9">
        <v>4000011791</v>
      </c>
      <c r="J316" s="10">
        <v>20.8</v>
      </c>
      <c r="K316" s="10"/>
      <c r="L316" s="10">
        <f t="shared" si="72"/>
        <v>20.8</v>
      </c>
      <c r="M316" s="11">
        <v>0</v>
      </c>
      <c r="N316" s="10">
        <f t="shared" si="73"/>
        <v>0</v>
      </c>
      <c r="O316" s="10">
        <f t="shared" si="74"/>
        <v>20.8</v>
      </c>
      <c r="P316" s="11">
        <f t="shared" si="75"/>
        <v>3.8206498778494156E-2</v>
      </c>
      <c r="Q316" s="10">
        <f t="shared" si="76"/>
        <v>544.41</v>
      </c>
      <c r="R316" s="10">
        <f t="shared" si="77"/>
        <v>3369.4199999999996</v>
      </c>
      <c r="S316" s="10">
        <f t="shared" si="78"/>
        <v>128.73374111423377</v>
      </c>
      <c r="T316" s="9" t="s">
        <v>76</v>
      </c>
      <c r="U316" s="10">
        <v>5599</v>
      </c>
      <c r="V316" s="10">
        <f t="shared" si="79"/>
        <v>3919.2999999999997</v>
      </c>
      <c r="W316" s="166">
        <v>490110</v>
      </c>
      <c r="X316" s="12" t="s">
        <v>27</v>
      </c>
      <c r="Y316" s="12">
        <f t="shared" si="80"/>
        <v>128.73374111423377</v>
      </c>
      <c r="Z316" s="13">
        <f t="shared" si="81"/>
        <v>128.73374111423377</v>
      </c>
      <c r="AA316" s="13">
        <f t="shared" si="82"/>
        <v>128.73374111423377</v>
      </c>
      <c r="AB316" s="13">
        <f t="shared" si="83"/>
        <v>20.8</v>
      </c>
      <c r="AC316" s="13">
        <f t="shared" si="84"/>
        <v>107.93374111423377</v>
      </c>
      <c r="AD316" s="14">
        <f t="shared" si="85"/>
        <v>0.83842619798066143</v>
      </c>
      <c r="AE316" s="14">
        <f t="shared" si="86"/>
        <v>5.1891221689535465</v>
      </c>
      <c r="AF316" s="13" t="str">
        <f>IF(AD316&gt;=Assumptions!$B$3,"OK","Review")</f>
        <v>OK</v>
      </c>
      <c r="AG316" s="13">
        <f>IFERROR(IF(Assumptions!$B$13="Cost Price",AB316,AA316)*SUMIF(Assumptions!$A$6:$A$10,X316,Assumptions!$B$6:$B$10),0)</f>
        <v>10.298699289138701</v>
      </c>
      <c r="AH316" s="13">
        <f>IFERROR(IF(Assumptions!$B$13="Cost Price",AB316,AA316)*SUMIF(Assumptions!$A$6:$A$10,X316,Assumptions!$C$6:$C$10),0)</f>
        <v>6.4366870557116886</v>
      </c>
      <c r="AI316" s="13">
        <f>IFERROR(IF(Assumptions!$B$13="Cost Price",AB316,AA316)*SUMIF(Assumptions!$A$6:$A$10,X316,Assumptions!$D$6:$D$10),0)</f>
        <v>12.873374111423377</v>
      </c>
      <c r="AJ316" s="13">
        <v>19.290919711247042</v>
      </c>
      <c r="AK316" s="13">
        <f t="shared" si="87"/>
        <v>48.899680167520813</v>
      </c>
      <c r="AL316" s="14">
        <v>0.33</v>
      </c>
      <c r="AM316" s="13">
        <f t="shared" si="88"/>
        <v>59.034060946712955</v>
      </c>
      <c r="AN316" s="14">
        <f t="shared" si="89"/>
        <v>0.45857488825970044</v>
      </c>
      <c r="AO316" t="str">
        <f>IF(AN316&gt;=Assumptions!$B$3,"OK","Review")</f>
        <v>OK</v>
      </c>
    </row>
    <row r="317" spans="1:41" ht="15" customHeight="1">
      <c r="A317" s="9" t="s">
        <v>256</v>
      </c>
      <c r="B317" s="9" t="s">
        <v>38</v>
      </c>
      <c r="C317" s="9" t="s">
        <v>78</v>
      </c>
      <c r="D317" s="9" t="s">
        <v>127</v>
      </c>
      <c r="E317" s="9" t="s">
        <v>73</v>
      </c>
      <c r="F317" s="9" t="s">
        <v>74</v>
      </c>
      <c r="G317" s="9" t="s">
        <v>24</v>
      </c>
      <c r="H317" s="9" t="s">
        <v>75</v>
      </c>
      <c r="I317" s="9">
        <v>4000011793</v>
      </c>
      <c r="J317" s="10">
        <v>30.65</v>
      </c>
      <c r="K317" s="10"/>
      <c r="L317" s="10">
        <f t="shared" si="72"/>
        <v>30.65</v>
      </c>
      <c r="M317" s="11">
        <v>0</v>
      </c>
      <c r="N317" s="10">
        <f t="shared" si="73"/>
        <v>0</v>
      </c>
      <c r="O317" s="10">
        <f t="shared" si="74"/>
        <v>30.65</v>
      </c>
      <c r="P317" s="11">
        <f t="shared" si="75"/>
        <v>5.6299480171194502E-2</v>
      </c>
      <c r="Q317" s="10">
        <f t="shared" si="76"/>
        <v>544.41</v>
      </c>
      <c r="R317" s="10">
        <f t="shared" si="77"/>
        <v>3369.4199999999996</v>
      </c>
      <c r="S317" s="10">
        <f t="shared" si="78"/>
        <v>189.69659447842616</v>
      </c>
      <c r="T317" s="9" t="s">
        <v>76</v>
      </c>
      <c r="U317" s="10">
        <v>5599</v>
      </c>
      <c r="V317" s="10">
        <f t="shared" si="79"/>
        <v>3919.2999999999997</v>
      </c>
      <c r="W317" s="166">
        <v>490110</v>
      </c>
      <c r="X317" s="12" t="s">
        <v>27</v>
      </c>
      <c r="Y317" s="12">
        <f t="shared" si="80"/>
        <v>189.69659447842616</v>
      </c>
      <c r="Z317" s="13">
        <f t="shared" si="81"/>
        <v>189.69659447842616</v>
      </c>
      <c r="AA317" s="13">
        <f t="shared" si="82"/>
        <v>189.69659447842616</v>
      </c>
      <c r="AB317" s="13">
        <f t="shared" si="83"/>
        <v>30.65</v>
      </c>
      <c r="AC317" s="13">
        <f t="shared" si="84"/>
        <v>159.04659447842616</v>
      </c>
      <c r="AD317" s="14">
        <f t="shared" si="85"/>
        <v>0.83842619798066131</v>
      </c>
      <c r="AE317" s="14">
        <f t="shared" si="86"/>
        <v>5.1891221689535456</v>
      </c>
      <c r="AF317" s="13" t="str">
        <f>IF(AD317&gt;=Assumptions!$B$3,"OK","Review")</f>
        <v>OK</v>
      </c>
      <c r="AG317" s="13">
        <f>IFERROR(IF(Assumptions!$B$13="Cost Price",AB317,AA317)*SUMIF(Assumptions!$A$6:$A$10,X317,Assumptions!$B$6:$B$10),0)</f>
        <v>15.175727558274094</v>
      </c>
      <c r="AH317" s="13">
        <f>IFERROR(IF(Assumptions!$B$13="Cost Price",AB317,AA317)*SUMIF(Assumptions!$A$6:$A$10,X317,Assumptions!$C$6:$C$10),0)</f>
        <v>9.4848297239213082</v>
      </c>
      <c r="AI317" s="13">
        <f>IFERROR(IF(Assumptions!$B$13="Cost Price",AB317,AA317)*SUMIF(Assumptions!$A$6:$A$10,X317,Assumptions!$D$6:$D$10),0)</f>
        <v>18.969659447842616</v>
      </c>
      <c r="AJ317" s="13">
        <v>28.426283132198161</v>
      </c>
      <c r="AK317" s="13">
        <f t="shared" si="87"/>
        <v>72.05649986223618</v>
      </c>
      <c r="AL317" s="14">
        <v>0.33</v>
      </c>
      <c r="AM317" s="13">
        <f t="shared" si="88"/>
        <v>86.990094616189978</v>
      </c>
      <c r="AN317" s="14">
        <f t="shared" si="89"/>
        <v>0.45857488825970039</v>
      </c>
      <c r="AO317" t="str">
        <f>IF(AN317&gt;=Assumptions!$B$3,"OK","Review")</f>
        <v>OK</v>
      </c>
    </row>
    <row r="318" spans="1:41" ht="15" customHeight="1">
      <c r="A318" s="9" t="s">
        <v>256</v>
      </c>
      <c r="B318" s="9" t="s">
        <v>38</v>
      </c>
      <c r="C318" s="9" t="s">
        <v>78</v>
      </c>
      <c r="D318" s="9" t="s">
        <v>128</v>
      </c>
      <c r="E318" s="9" t="s">
        <v>73</v>
      </c>
      <c r="F318" s="9" t="s">
        <v>81</v>
      </c>
      <c r="G318" s="9" t="s">
        <v>24</v>
      </c>
      <c r="H318" s="9" t="s">
        <v>75</v>
      </c>
      <c r="I318" s="9">
        <v>4000011792</v>
      </c>
      <c r="J318" s="10">
        <v>60.27</v>
      </c>
      <c r="K318" s="10"/>
      <c r="L318" s="10">
        <f t="shared" si="72"/>
        <v>60.27</v>
      </c>
      <c r="M318" s="11">
        <v>0</v>
      </c>
      <c r="N318" s="10">
        <f t="shared" si="73"/>
        <v>0</v>
      </c>
      <c r="O318" s="10">
        <f t="shared" si="74"/>
        <v>60.27</v>
      </c>
      <c r="P318" s="11">
        <f t="shared" si="75"/>
        <v>0.11070700391249244</v>
      </c>
      <c r="Q318" s="10">
        <f t="shared" si="76"/>
        <v>544.41</v>
      </c>
      <c r="R318" s="10">
        <f t="shared" si="77"/>
        <v>3369.4199999999996</v>
      </c>
      <c r="S318" s="10">
        <f t="shared" si="78"/>
        <v>373.01839312283022</v>
      </c>
      <c r="T318" s="9" t="s">
        <v>76</v>
      </c>
      <c r="U318" s="10">
        <v>5599</v>
      </c>
      <c r="V318" s="10">
        <f t="shared" si="79"/>
        <v>3919.2999999999997</v>
      </c>
      <c r="W318" s="166">
        <v>490110</v>
      </c>
      <c r="X318" s="12" t="s">
        <v>27</v>
      </c>
      <c r="Y318" s="12">
        <f t="shared" si="80"/>
        <v>373.01839312283022</v>
      </c>
      <c r="Z318" s="13">
        <f t="shared" si="81"/>
        <v>373.01839312283022</v>
      </c>
      <c r="AA318" s="13">
        <f t="shared" si="82"/>
        <v>373.01839312283022</v>
      </c>
      <c r="AB318" s="13">
        <f t="shared" si="83"/>
        <v>60.27</v>
      </c>
      <c r="AC318" s="13">
        <f t="shared" si="84"/>
        <v>312.74839312283024</v>
      </c>
      <c r="AD318" s="14">
        <f t="shared" si="85"/>
        <v>0.83842619798066143</v>
      </c>
      <c r="AE318" s="14">
        <f t="shared" si="86"/>
        <v>5.1891221689535456</v>
      </c>
      <c r="AF318" s="13" t="str">
        <f>IF(AD318&gt;=Assumptions!$B$3,"OK","Review")</f>
        <v>OK</v>
      </c>
      <c r="AG318" s="13">
        <f>IFERROR(IF(Assumptions!$B$13="Cost Price",AB318,AA318)*SUMIF(Assumptions!$A$6:$A$10,X318,Assumptions!$B$6:$B$10),0)</f>
        <v>29.841471449826418</v>
      </c>
      <c r="AH318" s="13">
        <f>IFERROR(IF(Assumptions!$B$13="Cost Price",AB318,AA318)*SUMIF(Assumptions!$A$6:$A$10,X318,Assumptions!$C$6:$C$10),0)</f>
        <v>18.650919656141511</v>
      </c>
      <c r="AI318" s="13">
        <f>IFERROR(IF(Assumptions!$B$13="Cost Price",AB318,AA318)*SUMIF(Assumptions!$A$6:$A$10,X318,Assumptions!$D$6:$D$10),0)</f>
        <v>37.301839312283022</v>
      </c>
      <c r="AJ318" s="13">
        <v>55.897294759464387</v>
      </c>
      <c r="AK318" s="13">
        <f t="shared" si="87"/>
        <v>141.69152517771533</v>
      </c>
      <c r="AL318" s="14">
        <v>0.33</v>
      </c>
      <c r="AM318" s="13">
        <f t="shared" si="88"/>
        <v>171.0568679451149</v>
      </c>
      <c r="AN318" s="14">
        <f t="shared" si="89"/>
        <v>0.4585748882597005</v>
      </c>
      <c r="AO318" t="str">
        <f>IF(AN318&gt;=Assumptions!$B$3,"OK","Review")</f>
        <v>OK</v>
      </c>
    </row>
    <row r="319" spans="1:41" ht="15" customHeight="1">
      <c r="A319" s="9" t="s">
        <v>256</v>
      </c>
      <c r="B319" s="9" t="s">
        <v>38</v>
      </c>
      <c r="C319" s="9" t="s">
        <v>78</v>
      </c>
      <c r="D319" s="9" t="s">
        <v>129</v>
      </c>
      <c r="E319" s="9" t="s">
        <v>73</v>
      </c>
      <c r="F319" s="9" t="s">
        <v>81</v>
      </c>
      <c r="G319" s="9" t="s">
        <v>24</v>
      </c>
      <c r="H319" s="9" t="s">
        <v>75</v>
      </c>
      <c r="I319" s="9">
        <v>4000011795</v>
      </c>
      <c r="J319" s="10">
        <v>17.84</v>
      </c>
      <c r="K319" s="10"/>
      <c r="L319" s="10">
        <f t="shared" si="72"/>
        <v>17.84</v>
      </c>
      <c r="M319" s="11">
        <v>0</v>
      </c>
      <c r="N319" s="10">
        <f t="shared" si="73"/>
        <v>0</v>
      </c>
      <c r="O319" s="10">
        <f t="shared" si="74"/>
        <v>17.84</v>
      </c>
      <c r="P319" s="11">
        <f t="shared" si="75"/>
        <v>3.2769420106169983E-2</v>
      </c>
      <c r="Q319" s="10">
        <f t="shared" si="76"/>
        <v>544.41</v>
      </c>
      <c r="R319" s="10">
        <f t="shared" si="77"/>
        <v>3369.4199999999996</v>
      </c>
      <c r="S319" s="10">
        <f t="shared" si="78"/>
        <v>110.41393949413126</v>
      </c>
      <c r="T319" s="9" t="s">
        <v>76</v>
      </c>
      <c r="U319" s="10">
        <v>5599</v>
      </c>
      <c r="V319" s="10">
        <f t="shared" si="79"/>
        <v>3919.2999999999997</v>
      </c>
      <c r="W319" s="166">
        <v>490110</v>
      </c>
      <c r="X319" s="12" t="s">
        <v>27</v>
      </c>
      <c r="Y319" s="12">
        <f t="shared" si="80"/>
        <v>110.41393949413126</v>
      </c>
      <c r="Z319" s="13">
        <f t="shared" si="81"/>
        <v>110.41393949413126</v>
      </c>
      <c r="AA319" s="13">
        <f t="shared" si="82"/>
        <v>110.41393949413126</v>
      </c>
      <c r="AB319" s="13">
        <f t="shared" si="83"/>
        <v>17.84</v>
      </c>
      <c r="AC319" s="13">
        <f t="shared" si="84"/>
        <v>92.573939494131253</v>
      </c>
      <c r="AD319" s="14">
        <f t="shared" si="85"/>
        <v>0.83842619798066131</v>
      </c>
      <c r="AE319" s="14">
        <f t="shared" si="86"/>
        <v>5.1891221689535456</v>
      </c>
      <c r="AF319" s="13" t="str">
        <f>IF(AD319&gt;=Assumptions!$B$3,"OK","Review")</f>
        <v>OK</v>
      </c>
      <c r="AG319" s="13">
        <f>IFERROR(IF(Assumptions!$B$13="Cost Price",AB319,AA319)*SUMIF(Assumptions!$A$6:$A$10,X319,Assumptions!$B$6:$B$10),0)</f>
        <v>8.8331151595305002</v>
      </c>
      <c r="AH319" s="13">
        <f>IFERROR(IF(Assumptions!$B$13="Cost Price",AB319,AA319)*SUMIF(Assumptions!$A$6:$A$10,X319,Assumptions!$C$6:$C$10),0)</f>
        <v>5.5206969747065635</v>
      </c>
      <c r="AI319" s="13">
        <f>IFERROR(IF(Assumptions!$B$13="Cost Price",AB319,AA319)*SUMIF(Assumptions!$A$6:$A$10,X319,Assumptions!$D$6:$D$10),0)</f>
        <v>11.041393949413127</v>
      </c>
      <c r="AJ319" s="13">
        <v>16.5456734446465</v>
      </c>
      <c r="AK319" s="13">
        <f t="shared" si="87"/>
        <v>41.940879528296691</v>
      </c>
      <c r="AL319" s="14">
        <v>0.33</v>
      </c>
      <c r="AM319" s="13">
        <f t="shared" si="88"/>
        <v>50.633059965834562</v>
      </c>
      <c r="AN319" s="14">
        <f t="shared" si="89"/>
        <v>0.45857488825970039</v>
      </c>
      <c r="AO319" t="str">
        <f>IF(AN319&gt;=Assumptions!$B$3,"OK","Review")</f>
        <v>OK</v>
      </c>
    </row>
    <row r="320" spans="1:41" ht="15" customHeight="1">
      <c r="A320" s="9" t="s">
        <v>256</v>
      </c>
      <c r="B320" s="9" t="s">
        <v>38</v>
      </c>
      <c r="C320" s="9" t="s">
        <v>113</v>
      </c>
      <c r="D320" s="9" t="s">
        <v>130</v>
      </c>
      <c r="E320" s="9" t="s">
        <v>73</v>
      </c>
      <c r="F320" s="9" t="s">
        <v>81</v>
      </c>
      <c r="G320" s="9" t="s">
        <v>24</v>
      </c>
      <c r="H320" s="9" t="s">
        <v>75</v>
      </c>
      <c r="I320" s="9">
        <v>4000011796</v>
      </c>
      <c r="J320" s="10">
        <v>57.61</v>
      </c>
      <c r="K320" s="10"/>
      <c r="L320" s="10">
        <f t="shared" si="72"/>
        <v>57.61</v>
      </c>
      <c r="M320" s="11">
        <v>0</v>
      </c>
      <c r="N320" s="10">
        <f t="shared" si="73"/>
        <v>0</v>
      </c>
      <c r="O320" s="10">
        <f t="shared" si="74"/>
        <v>57.61</v>
      </c>
      <c r="P320" s="11">
        <f t="shared" si="75"/>
        <v>0.10582098051101192</v>
      </c>
      <c r="Q320" s="10">
        <f t="shared" si="76"/>
        <v>544.41</v>
      </c>
      <c r="R320" s="10">
        <f t="shared" si="77"/>
        <v>3369.4199999999996</v>
      </c>
      <c r="S320" s="10">
        <f t="shared" si="78"/>
        <v>356.55532815341377</v>
      </c>
      <c r="T320" s="9" t="s">
        <v>76</v>
      </c>
      <c r="U320" s="10">
        <v>5599</v>
      </c>
      <c r="V320" s="10">
        <f t="shared" si="79"/>
        <v>3919.2999999999997</v>
      </c>
      <c r="W320" s="166">
        <v>490110</v>
      </c>
      <c r="X320" s="12" t="s">
        <v>27</v>
      </c>
      <c r="Y320" s="12">
        <f t="shared" si="80"/>
        <v>356.55532815341377</v>
      </c>
      <c r="Z320" s="13">
        <f t="shared" si="81"/>
        <v>356.55532815341377</v>
      </c>
      <c r="AA320" s="13">
        <f t="shared" si="82"/>
        <v>356.55532815341377</v>
      </c>
      <c r="AB320" s="13">
        <f t="shared" si="83"/>
        <v>57.61</v>
      </c>
      <c r="AC320" s="13">
        <f t="shared" si="84"/>
        <v>298.94532815341375</v>
      </c>
      <c r="AD320" s="14">
        <f t="shared" si="85"/>
        <v>0.83842619798066131</v>
      </c>
      <c r="AE320" s="14">
        <f t="shared" si="86"/>
        <v>5.1891221689535456</v>
      </c>
      <c r="AF320" s="13" t="str">
        <f>IF(AD320&gt;=Assumptions!$B$3,"OK","Review")</f>
        <v>OK</v>
      </c>
      <c r="AG320" s="13">
        <f>IFERROR(IF(Assumptions!$B$13="Cost Price",AB320,AA320)*SUMIF(Assumptions!$A$6:$A$10,X320,Assumptions!$B$6:$B$10),0)</f>
        <v>28.524426252273102</v>
      </c>
      <c r="AH320" s="13">
        <f>IFERROR(IF(Assumptions!$B$13="Cost Price",AB320,AA320)*SUMIF(Assumptions!$A$6:$A$10,X320,Assumptions!$C$6:$C$10),0)</f>
        <v>17.827766407670691</v>
      </c>
      <c r="AI320" s="13">
        <f>IFERROR(IF(Assumptions!$B$13="Cost Price",AB320,AA320)*SUMIF(Assumptions!$A$6:$A$10,X320,Assumptions!$D$6:$D$10),0)</f>
        <v>35.655532815341381</v>
      </c>
      <c r="AJ320" s="13">
        <v>53.430282911776061</v>
      </c>
      <c r="AK320" s="13">
        <f t="shared" si="87"/>
        <v>135.43800838706125</v>
      </c>
      <c r="AL320" s="14">
        <v>0.33</v>
      </c>
      <c r="AM320" s="13">
        <f t="shared" si="88"/>
        <v>163.50731976635251</v>
      </c>
      <c r="AN320" s="14">
        <f t="shared" si="89"/>
        <v>0.45857488825970033</v>
      </c>
      <c r="AO320" t="str">
        <f>IF(AN320&gt;=Assumptions!$B$3,"OK","Review")</f>
        <v>OK</v>
      </c>
    </row>
    <row r="321" spans="1:41" ht="15" customHeight="1">
      <c r="A321" s="9" t="s">
        <v>256</v>
      </c>
      <c r="B321" s="9" t="s">
        <v>38</v>
      </c>
      <c r="C321" s="9" t="s">
        <v>105</v>
      </c>
      <c r="D321" s="9" t="s">
        <v>131</v>
      </c>
      <c r="E321" s="9" t="s">
        <v>73</v>
      </c>
      <c r="F321" s="9" t="s">
        <v>74</v>
      </c>
      <c r="G321" s="9" t="s">
        <v>24</v>
      </c>
      <c r="H321" s="9" t="s">
        <v>84</v>
      </c>
      <c r="I321" s="9">
        <v>4000011797</v>
      </c>
      <c r="J321" s="10">
        <v>39.18</v>
      </c>
      <c r="K321" s="10"/>
      <c r="L321" s="10">
        <f t="shared" si="72"/>
        <v>39.18</v>
      </c>
      <c r="M321" s="11">
        <v>0</v>
      </c>
      <c r="N321" s="10">
        <f t="shared" si="73"/>
        <v>0</v>
      </c>
      <c r="O321" s="10">
        <f t="shared" si="74"/>
        <v>39.18</v>
      </c>
      <c r="P321" s="11">
        <f t="shared" si="75"/>
        <v>7.1967818372182732E-2</v>
      </c>
      <c r="Q321" s="10">
        <f t="shared" si="76"/>
        <v>544.41</v>
      </c>
      <c r="R321" s="10">
        <f t="shared" si="77"/>
        <v>3369.4199999999996</v>
      </c>
      <c r="S321" s="10">
        <f t="shared" si="78"/>
        <v>242.4898065795999</v>
      </c>
      <c r="T321" s="9" t="s">
        <v>76</v>
      </c>
      <c r="U321" s="10">
        <v>5599</v>
      </c>
      <c r="V321" s="10">
        <f t="shared" si="79"/>
        <v>3919.2999999999997</v>
      </c>
      <c r="W321" s="166">
        <v>490110</v>
      </c>
      <c r="X321" s="12" t="s">
        <v>27</v>
      </c>
      <c r="Y321" s="12">
        <f t="shared" si="80"/>
        <v>242.4898065795999</v>
      </c>
      <c r="Z321" s="13">
        <f t="shared" si="81"/>
        <v>242.4898065795999</v>
      </c>
      <c r="AA321" s="13">
        <f t="shared" si="82"/>
        <v>242.4898065795999</v>
      </c>
      <c r="AB321" s="13">
        <f t="shared" si="83"/>
        <v>39.18</v>
      </c>
      <c r="AC321" s="13">
        <f t="shared" si="84"/>
        <v>203.30980657959989</v>
      </c>
      <c r="AD321" s="14">
        <f t="shared" si="85"/>
        <v>0.83842619798066131</v>
      </c>
      <c r="AE321" s="14">
        <f t="shared" si="86"/>
        <v>5.1891221689535447</v>
      </c>
      <c r="AF321" s="13" t="str">
        <f>IF(AD321&gt;=Assumptions!$B$3,"OK","Review")</f>
        <v>OK</v>
      </c>
      <c r="AG321" s="13">
        <f>IFERROR(IF(Assumptions!$B$13="Cost Price",AB321,AA321)*SUMIF(Assumptions!$A$6:$A$10,X321,Assumptions!$B$6:$B$10),0)</f>
        <v>19.399184526367993</v>
      </c>
      <c r="AH321" s="13">
        <f>IFERROR(IF(Assumptions!$B$13="Cost Price",AB321,AA321)*SUMIF(Assumptions!$A$6:$A$10,X321,Assumptions!$C$6:$C$10),0)</f>
        <v>12.124490328979995</v>
      </c>
      <c r="AI321" s="13">
        <f>IFERROR(IF(Assumptions!$B$13="Cost Price",AB321,AA321)*SUMIF(Assumptions!$A$6:$A$10,X321,Assumptions!$D$6:$D$10),0)</f>
        <v>24.24898065795999</v>
      </c>
      <c r="AJ321" s="13">
        <v>36.337415109935527</v>
      </c>
      <c r="AK321" s="13">
        <f t="shared" si="87"/>
        <v>92.110070623243502</v>
      </c>
      <c r="AL321" s="14">
        <v>0.33</v>
      </c>
      <c r="AM321" s="13">
        <f t="shared" si="88"/>
        <v>111.19973595635639</v>
      </c>
      <c r="AN321" s="14">
        <f t="shared" si="89"/>
        <v>0.45857488825970044</v>
      </c>
      <c r="AO321" t="str">
        <f>IF(AN321&gt;=Assumptions!$B$3,"OK","Review")</f>
        <v>OK</v>
      </c>
    </row>
    <row r="322" spans="1:41" ht="15" customHeight="1">
      <c r="A322" s="9" t="s">
        <v>256</v>
      </c>
      <c r="B322" s="9" t="s">
        <v>38</v>
      </c>
      <c r="C322" s="9" t="s">
        <v>105</v>
      </c>
      <c r="D322" s="9" t="s">
        <v>132</v>
      </c>
      <c r="E322" s="9" t="s">
        <v>73</v>
      </c>
      <c r="F322" s="9" t="s">
        <v>74</v>
      </c>
      <c r="G322" s="9" t="s">
        <v>24</v>
      </c>
      <c r="H322" s="9" t="s">
        <v>84</v>
      </c>
      <c r="I322" s="9">
        <v>4000011798</v>
      </c>
      <c r="J322" s="10">
        <v>19.34</v>
      </c>
      <c r="K322" s="10"/>
      <c r="L322" s="10">
        <f t="shared" ref="L322:L385" si="90">J322+K322</f>
        <v>19.34</v>
      </c>
      <c r="M322" s="11">
        <v>0</v>
      </c>
      <c r="N322" s="10">
        <f t="shared" ref="N322:N385" si="91">M322*L322</f>
        <v>0</v>
      </c>
      <c r="O322" s="10">
        <f t="shared" ref="O322:O385" si="92">L322+N322</f>
        <v>19.34</v>
      </c>
      <c r="P322" s="11">
        <f t="shared" ref="P322:P385" si="93">IFERROR(O322/Q322,"")</f>
        <v>3.5524696460388312E-2</v>
      </c>
      <c r="Q322" s="10">
        <f t="shared" ref="Q322:Q385" si="94">SUMIFS(O:O,T:T,T322,B:B,B322,A:A,A322,G:G,G322,E:E,E322)</f>
        <v>544.41</v>
      </c>
      <c r="R322" s="10">
        <f t="shared" ref="R322:R385" si="95">V322-SUMIFS(Q:Q,A:A,A322,B:B,B322,G:G,G322,E:E,E322,T:T,"Fixed Price ( Base Price with GST)")</f>
        <v>3369.4199999999996</v>
      </c>
      <c r="S322" s="10">
        <f t="shared" ref="S322:S385" si="96">IF(T322="Fixed Price ( Base Price with GST)",O322,P322*R322)</f>
        <v>119.69762274756157</v>
      </c>
      <c r="T322" s="9" t="s">
        <v>76</v>
      </c>
      <c r="U322" s="10">
        <v>5599</v>
      </c>
      <c r="V322" s="10">
        <f t="shared" ref="V322:V385" si="97">IFERROR(U322*(1-30%),0)</f>
        <v>3919.2999999999997</v>
      </c>
      <c r="W322" s="166">
        <v>490110</v>
      </c>
      <c r="X322" s="12" t="s">
        <v>27</v>
      </c>
      <c r="Y322" s="12">
        <f t="shared" ref="Y322:Y385" si="98">IFERROR(S322,0)</f>
        <v>119.69762274756157</v>
      </c>
      <c r="Z322" s="13">
        <f t="shared" ref="Z322:Z385" si="99">IF(ISNUMBER(S322),S322,0)</f>
        <v>119.69762274756157</v>
      </c>
      <c r="AA322" s="13">
        <f t="shared" ref="AA322:AA385" si="100">IFERROR(Z322/(1+M322),Z322)</f>
        <v>119.69762274756157</v>
      </c>
      <c r="AB322" s="13">
        <f t="shared" ref="AB322:AB385" si="101">IF(ISNUMBER(J322),J322,0)</f>
        <v>19.34</v>
      </c>
      <c r="AC322" s="13">
        <f t="shared" ref="AC322:AC385" si="102">AA322-AB322</f>
        <v>100.35762274756156</v>
      </c>
      <c r="AD322" s="14">
        <f t="shared" ref="AD322:AD385" si="103">IFERROR(AC322/AA322,0)</f>
        <v>0.83842619798066131</v>
      </c>
      <c r="AE322" s="14">
        <f t="shared" ref="AE322:AE385" si="104">IFERROR(AC322/AB322,0)</f>
        <v>5.1891221689535456</v>
      </c>
      <c r="AF322" s="13" t="str">
        <f>IF(AD322&gt;=Assumptions!$B$3,"OK","Review")</f>
        <v>OK</v>
      </c>
      <c r="AG322" s="13">
        <f>IFERROR(IF(Assumptions!$B$13="Cost Price",AB322,AA322)*SUMIF(Assumptions!$A$6:$A$10,X322,Assumptions!$B$6:$B$10),0)</f>
        <v>9.5758098198049257</v>
      </c>
      <c r="AH322" s="13">
        <f>IFERROR(IF(Assumptions!$B$13="Cost Price",AB322,AA322)*SUMIF(Assumptions!$A$6:$A$10,X322,Assumptions!$C$6:$C$10),0)</f>
        <v>5.9848811373780784</v>
      </c>
      <c r="AI322" s="13">
        <f>IFERROR(IF(Assumptions!$B$13="Cost Price",AB322,AA322)*SUMIF(Assumptions!$A$6:$A$10,X322,Assumptions!$D$6:$D$10),0)</f>
        <v>11.969762274756157</v>
      </c>
      <c r="AJ322" s="13">
        <v>11.969762274756157</v>
      </c>
      <c r="AK322" s="13">
        <f t="shared" ref="AK322:AK385" si="105">SUM(AG322:AJ322)</f>
        <v>39.500215506695319</v>
      </c>
      <c r="AL322" s="14">
        <v>0.33</v>
      </c>
      <c r="AM322" s="13">
        <f t="shared" ref="AM322:AM385" si="106">AC322-AK322</f>
        <v>60.857407240866245</v>
      </c>
      <c r="AN322" s="14">
        <f t="shared" ref="AN322:AN385" si="107">IFERROR(AM322/AA322,0)</f>
        <v>0.50842619798066124</v>
      </c>
      <c r="AO322" t="str">
        <f>IF(AN322&gt;=Assumptions!$B$3,"OK","Review")</f>
        <v>OK</v>
      </c>
    </row>
    <row r="323" spans="1:41" ht="15" customHeight="1">
      <c r="A323" s="9" t="s">
        <v>256</v>
      </c>
      <c r="B323" s="9" t="s">
        <v>38</v>
      </c>
      <c r="C323" s="9" t="s">
        <v>71</v>
      </c>
      <c r="D323" s="9" t="s">
        <v>133</v>
      </c>
      <c r="E323" s="9" t="s">
        <v>73</v>
      </c>
      <c r="F323" s="9" t="s">
        <v>74</v>
      </c>
      <c r="G323" s="9" t="s">
        <v>24</v>
      </c>
      <c r="H323" s="9" t="s">
        <v>84</v>
      </c>
      <c r="I323" s="9">
        <v>4000011799</v>
      </c>
      <c r="J323" s="10">
        <v>50.05</v>
      </c>
      <c r="K323" s="10"/>
      <c r="L323" s="10">
        <f t="shared" si="90"/>
        <v>50.05</v>
      </c>
      <c r="M323" s="11">
        <v>0</v>
      </c>
      <c r="N323" s="10">
        <f t="shared" si="91"/>
        <v>0</v>
      </c>
      <c r="O323" s="10">
        <f t="shared" si="92"/>
        <v>50.05</v>
      </c>
      <c r="P323" s="11">
        <f t="shared" si="93"/>
        <v>9.1934387685751545E-2</v>
      </c>
      <c r="Q323" s="10">
        <f t="shared" si="94"/>
        <v>544.41</v>
      </c>
      <c r="R323" s="10">
        <f t="shared" si="95"/>
        <v>3369.4199999999996</v>
      </c>
      <c r="S323" s="10">
        <f t="shared" si="96"/>
        <v>309.76556455612496</v>
      </c>
      <c r="T323" s="9" t="s">
        <v>76</v>
      </c>
      <c r="U323" s="10">
        <v>5599</v>
      </c>
      <c r="V323" s="10">
        <f t="shared" si="97"/>
        <v>3919.2999999999997</v>
      </c>
      <c r="W323" s="166">
        <v>490110</v>
      </c>
      <c r="X323" s="12" t="s">
        <v>27</v>
      </c>
      <c r="Y323" s="12">
        <f t="shared" si="98"/>
        <v>309.76556455612496</v>
      </c>
      <c r="Z323" s="13">
        <f t="shared" si="99"/>
        <v>309.76556455612496</v>
      </c>
      <c r="AA323" s="13">
        <f t="shared" si="100"/>
        <v>309.76556455612496</v>
      </c>
      <c r="AB323" s="13">
        <f t="shared" si="101"/>
        <v>50.05</v>
      </c>
      <c r="AC323" s="13">
        <f t="shared" si="102"/>
        <v>259.71556455612495</v>
      </c>
      <c r="AD323" s="14">
        <f t="shared" si="103"/>
        <v>0.83842619798066131</v>
      </c>
      <c r="AE323" s="14">
        <f t="shared" si="104"/>
        <v>5.1891221689535456</v>
      </c>
      <c r="AF323" s="13" t="str">
        <f>IF(AD323&gt;=Assumptions!$B$3,"OK","Review")</f>
        <v>OK</v>
      </c>
      <c r="AG323" s="13">
        <f>IFERROR(IF(Assumptions!$B$13="Cost Price",AB323,AA323)*SUMIF(Assumptions!$A$6:$A$10,X323,Assumptions!$B$6:$B$10),0)</f>
        <v>24.781245164489999</v>
      </c>
      <c r="AH323" s="13">
        <f>IFERROR(IF(Assumptions!$B$13="Cost Price",AB323,AA323)*SUMIF(Assumptions!$A$6:$A$10,X323,Assumptions!$C$6:$C$10),0)</f>
        <v>15.488278227806248</v>
      </c>
      <c r="AI323" s="13">
        <f>IFERROR(IF(Assumptions!$B$13="Cost Price",AB323,AA323)*SUMIF(Assumptions!$A$6:$A$10,X323,Assumptions!$D$6:$D$10),0)</f>
        <v>30.976556455612496</v>
      </c>
      <c r="AJ323" s="13">
        <v>46.418775555188184</v>
      </c>
      <c r="AK323" s="13">
        <f t="shared" si="105"/>
        <v>117.66485540309694</v>
      </c>
      <c r="AL323" s="14">
        <v>0.33</v>
      </c>
      <c r="AM323" s="13">
        <f t="shared" si="106"/>
        <v>142.05070915302801</v>
      </c>
      <c r="AN323" s="14">
        <f t="shared" si="107"/>
        <v>0.45857488825970039</v>
      </c>
      <c r="AO323" t="str">
        <f>IF(AN323&gt;=Assumptions!$B$3,"OK","Review")</f>
        <v>OK</v>
      </c>
    </row>
    <row r="324" spans="1:41" ht="15" customHeight="1">
      <c r="A324" s="9" t="s">
        <v>256</v>
      </c>
      <c r="B324" s="9" t="s">
        <v>38</v>
      </c>
      <c r="C324" s="9" t="s">
        <v>71</v>
      </c>
      <c r="D324" s="9" t="s">
        <v>134</v>
      </c>
      <c r="E324" s="9" t="s">
        <v>73</v>
      </c>
      <c r="F324" s="9" t="s">
        <v>74</v>
      </c>
      <c r="G324" s="9" t="s">
        <v>24</v>
      </c>
      <c r="H324" s="9" t="s">
        <v>84</v>
      </c>
      <c r="I324" s="9">
        <v>4000011800</v>
      </c>
      <c r="J324" s="10">
        <v>19.34</v>
      </c>
      <c r="K324" s="10"/>
      <c r="L324" s="10">
        <f t="shared" si="90"/>
        <v>19.34</v>
      </c>
      <c r="M324" s="11">
        <v>0</v>
      </c>
      <c r="N324" s="10">
        <f t="shared" si="91"/>
        <v>0</v>
      </c>
      <c r="O324" s="10">
        <f t="shared" si="92"/>
        <v>19.34</v>
      </c>
      <c r="P324" s="11">
        <f t="shared" si="93"/>
        <v>3.5524696460388312E-2</v>
      </c>
      <c r="Q324" s="10">
        <f t="shared" si="94"/>
        <v>544.41</v>
      </c>
      <c r="R324" s="10">
        <f t="shared" si="95"/>
        <v>3369.4199999999996</v>
      </c>
      <c r="S324" s="10">
        <f t="shared" si="96"/>
        <v>119.69762274756157</v>
      </c>
      <c r="T324" s="9" t="s">
        <v>76</v>
      </c>
      <c r="U324" s="10">
        <v>5599</v>
      </c>
      <c r="V324" s="10">
        <f t="shared" si="97"/>
        <v>3919.2999999999997</v>
      </c>
      <c r="W324" s="166">
        <v>490110</v>
      </c>
      <c r="X324" s="12" t="s">
        <v>27</v>
      </c>
      <c r="Y324" s="12">
        <f t="shared" si="98"/>
        <v>119.69762274756157</v>
      </c>
      <c r="Z324" s="13">
        <f t="shared" si="99"/>
        <v>119.69762274756157</v>
      </c>
      <c r="AA324" s="13">
        <f t="shared" si="100"/>
        <v>119.69762274756157</v>
      </c>
      <c r="AB324" s="13">
        <f t="shared" si="101"/>
        <v>19.34</v>
      </c>
      <c r="AC324" s="13">
        <f t="shared" si="102"/>
        <v>100.35762274756156</v>
      </c>
      <c r="AD324" s="14">
        <f t="shared" si="103"/>
        <v>0.83842619798066131</v>
      </c>
      <c r="AE324" s="14">
        <f t="shared" si="104"/>
        <v>5.1891221689535456</v>
      </c>
      <c r="AF324" s="13" t="str">
        <f>IF(AD324&gt;=Assumptions!$B$3,"OK","Review")</f>
        <v>OK</v>
      </c>
      <c r="AG324" s="13">
        <f>IFERROR(IF(Assumptions!$B$13="Cost Price",AB324,AA324)*SUMIF(Assumptions!$A$6:$A$10,X324,Assumptions!$B$6:$B$10),0)</f>
        <v>9.5758098198049257</v>
      </c>
      <c r="AH324" s="13">
        <f>IFERROR(IF(Assumptions!$B$13="Cost Price",AB324,AA324)*SUMIF(Assumptions!$A$6:$A$10,X324,Assumptions!$C$6:$C$10),0)</f>
        <v>5.9848811373780784</v>
      </c>
      <c r="AI324" s="13">
        <f>IFERROR(IF(Assumptions!$B$13="Cost Price",AB324,AA324)*SUMIF(Assumptions!$A$6:$A$10,X324,Assumptions!$D$6:$D$10),0)</f>
        <v>11.969762274756157</v>
      </c>
      <c r="AJ324" s="13">
        <v>17.936845539207585</v>
      </c>
      <c r="AK324" s="13">
        <f t="shared" si="105"/>
        <v>45.467298771146744</v>
      </c>
      <c r="AL324" s="14">
        <v>0.33</v>
      </c>
      <c r="AM324" s="13">
        <f t="shared" si="106"/>
        <v>54.89032397641482</v>
      </c>
      <c r="AN324" s="14">
        <f t="shared" si="107"/>
        <v>0.45857488825970039</v>
      </c>
      <c r="AO324" t="str">
        <f>IF(AN324&gt;=Assumptions!$B$3,"OK","Review")</f>
        <v>OK</v>
      </c>
    </row>
    <row r="325" spans="1:41" ht="15" customHeight="1">
      <c r="A325" s="9" t="s">
        <v>256</v>
      </c>
      <c r="B325" s="9" t="s">
        <v>38</v>
      </c>
      <c r="C325" s="9" t="s">
        <v>78</v>
      </c>
      <c r="D325" s="9" t="s">
        <v>135</v>
      </c>
      <c r="E325" s="9" t="s">
        <v>73</v>
      </c>
      <c r="F325" s="9" t="s">
        <v>81</v>
      </c>
      <c r="G325" s="9" t="s">
        <v>24</v>
      </c>
      <c r="H325" s="9" t="s">
        <v>84</v>
      </c>
      <c r="I325" s="9">
        <v>4000011801</v>
      </c>
      <c r="J325" s="10">
        <v>65.510000000000005</v>
      </c>
      <c r="K325" s="10"/>
      <c r="L325" s="10">
        <f t="shared" si="90"/>
        <v>65.510000000000005</v>
      </c>
      <c r="M325" s="11">
        <v>0</v>
      </c>
      <c r="N325" s="10">
        <f t="shared" si="91"/>
        <v>0</v>
      </c>
      <c r="O325" s="10">
        <f t="shared" si="92"/>
        <v>65.510000000000005</v>
      </c>
      <c r="P325" s="11">
        <f t="shared" si="93"/>
        <v>0.12033210264322847</v>
      </c>
      <c r="Q325" s="10">
        <f t="shared" si="94"/>
        <v>544.41</v>
      </c>
      <c r="R325" s="10">
        <f t="shared" si="95"/>
        <v>3369.4199999999996</v>
      </c>
      <c r="S325" s="10">
        <f t="shared" si="96"/>
        <v>405.44939328814684</v>
      </c>
      <c r="T325" s="9" t="s">
        <v>76</v>
      </c>
      <c r="U325" s="10">
        <v>5599</v>
      </c>
      <c r="V325" s="10">
        <f t="shared" si="97"/>
        <v>3919.2999999999997</v>
      </c>
      <c r="W325" s="166">
        <v>490110</v>
      </c>
      <c r="X325" s="12" t="s">
        <v>27</v>
      </c>
      <c r="Y325" s="12">
        <f t="shared" si="98"/>
        <v>405.44939328814684</v>
      </c>
      <c r="Z325" s="13">
        <f t="shared" si="99"/>
        <v>405.44939328814684</v>
      </c>
      <c r="AA325" s="13">
        <f t="shared" si="100"/>
        <v>405.44939328814684</v>
      </c>
      <c r="AB325" s="13">
        <f t="shared" si="101"/>
        <v>65.510000000000005</v>
      </c>
      <c r="AC325" s="13">
        <f t="shared" si="102"/>
        <v>339.93939328814685</v>
      </c>
      <c r="AD325" s="14">
        <f t="shared" si="103"/>
        <v>0.83842619798066143</v>
      </c>
      <c r="AE325" s="14">
        <f t="shared" si="104"/>
        <v>5.1891221689535465</v>
      </c>
      <c r="AF325" s="13" t="str">
        <f>IF(AD325&gt;=Assumptions!$B$3,"OK","Review")</f>
        <v>OK</v>
      </c>
      <c r="AG325" s="13">
        <f>IFERROR(IF(Assumptions!$B$13="Cost Price",AB325,AA325)*SUMIF(Assumptions!$A$6:$A$10,X325,Assumptions!$B$6:$B$10),0)</f>
        <v>32.435951463051751</v>
      </c>
      <c r="AH325" s="13">
        <f>IFERROR(IF(Assumptions!$B$13="Cost Price",AB325,AA325)*SUMIF(Assumptions!$A$6:$A$10,X325,Assumptions!$C$6:$C$10),0)</f>
        <v>20.272469664407343</v>
      </c>
      <c r="AI325" s="13">
        <f>IFERROR(IF(Assumptions!$B$13="Cost Price",AB325,AA325)*SUMIF(Assumptions!$A$6:$A$10,X325,Assumptions!$D$6:$D$10),0)</f>
        <v>40.544939328814685</v>
      </c>
      <c r="AJ325" s="13">
        <v>60.757122609797776</v>
      </c>
      <c r="AK325" s="13">
        <f t="shared" si="105"/>
        <v>154.01048306607157</v>
      </c>
      <c r="AL325" s="14">
        <v>0.33</v>
      </c>
      <c r="AM325" s="13">
        <f t="shared" si="106"/>
        <v>185.92891022207527</v>
      </c>
      <c r="AN325" s="14">
        <f t="shared" si="107"/>
        <v>0.45857488825970044</v>
      </c>
      <c r="AO325" t="str">
        <f>IF(AN325&gt;=Assumptions!$B$3,"OK","Review")</f>
        <v>OK</v>
      </c>
    </row>
    <row r="326" spans="1:41" ht="15" customHeight="1">
      <c r="A326" s="9" t="s">
        <v>256</v>
      </c>
      <c r="B326" s="9" t="s">
        <v>38</v>
      </c>
      <c r="C326" s="9" t="s">
        <v>78</v>
      </c>
      <c r="D326" s="9" t="s">
        <v>136</v>
      </c>
      <c r="E326" s="9" t="s">
        <v>73</v>
      </c>
      <c r="F326" s="9" t="s">
        <v>81</v>
      </c>
      <c r="G326" s="9" t="s">
        <v>24</v>
      </c>
      <c r="H326" s="9" t="s">
        <v>84</v>
      </c>
      <c r="I326" s="9">
        <v>4000011802</v>
      </c>
      <c r="J326" s="10">
        <v>19.05</v>
      </c>
      <c r="K326" s="10"/>
      <c r="L326" s="10">
        <f t="shared" si="90"/>
        <v>19.05</v>
      </c>
      <c r="M326" s="11">
        <v>0</v>
      </c>
      <c r="N326" s="10">
        <f t="shared" si="91"/>
        <v>0</v>
      </c>
      <c r="O326" s="10">
        <f t="shared" si="92"/>
        <v>19.05</v>
      </c>
      <c r="P326" s="11">
        <f t="shared" si="93"/>
        <v>3.4992009698572774E-2</v>
      </c>
      <c r="Q326" s="10">
        <f t="shared" si="94"/>
        <v>544.41</v>
      </c>
      <c r="R326" s="10">
        <f t="shared" si="95"/>
        <v>3369.4199999999996</v>
      </c>
      <c r="S326" s="10">
        <f t="shared" si="96"/>
        <v>117.90277731856506</v>
      </c>
      <c r="T326" s="9" t="s">
        <v>76</v>
      </c>
      <c r="U326" s="10">
        <v>5599</v>
      </c>
      <c r="V326" s="10">
        <f t="shared" si="97"/>
        <v>3919.2999999999997</v>
      </c>
      <c r="W326" s="166">
        <v>490110</v>
      </c>
      <c r="X326" s="12" t="s">
        <v>27</v>
      </c>
      <c r="Y326" s="12">
        <f t="shared" si="98"/>
        <v>117.90277731856506</v>
      </c>
      <c r="Z326" s="13">
        <f t="shared" si="99"/>
        <v>117.90277731856506</v>
      </c>
      <c r="AA326" s="13">
        <f t="shared" si="100"/>
        <v>117.90277731856506</v>
      </c>
      <c r="AB326" s="13">
        <f t="shared" si="101"/>
        <v>19.05</v>
      </c>
      <c r="AC326" s="13">
        <f t="shared" si="102"/>
        <v>98.85277731856506</v>
      </c>
      <c r="AD326" s="14">
        <f t="shared" si="103"/>
        <v>0.83842619798066143</v>
      </c>
      <c r="AE326" s="14">
        <f t="shared" si="104"/>
        <v>5.1891221689535465</v>
      </c>
      <c r="AF326" s="13" t="str">
        <f>IF(AD326&gt;=Assumptions!$B$3,"OK","Review")</f>
        <v>OK</v>
      </c>
      <c r="AG326" s="13">
        <f>IFERROR(IF(Assumptions!$B$13="Cost Price",AB326,AA326)*SUMIF(Assumptions!$A$6:$A$10,X326,Assumptions!$B$6:$B$10),0)</f>
        <v>9.4322221854852053</v>
      </c>
      <c r="AH326" s="13">
        <f>IFERROR(IF(Assumptions!$B$13="Cost Price",AB326,AA326)*SUMIF(Assumptions!$A$6:$A$10,X326,Assumptions!$C$6:$C$10),0)</f>
        <v>5.8951388659282529</v>
      </c>
      <c r="AI326" s="13">
        <f>IFERROR(IF(Assumptions!$B$13="Cost Price",AB326,AA326)*SUMIF(Assumptions!$A$6:$A$10,X326,Assumptions!$D$6:$D$10),0)</f>
        <v>11.790277731856506</v>
      </c>
      <c r="AJ326" s="13">
        <v>17.667885600925779</v>
      </c>
      <c r="AK326" s="13">
        <f t="shared" si="105"/>
        <v>44.785524384195739</v>
      </c>
      <c r="AL326" s="14">
        <v>0.33</v>
      </c>
      <c r="AM326" s="13">
        <f t="shared" si="106"/>
        <v>54.067252934369321</v>
      </c>
      <c r="AN326" s="14">
        <f t="shared" si="107"/>
        <v>0.4585748882597005</v>
      </c>
      <c r="AO326" t="str">
        <f>IF(AN326&gt;=Assumptions!$B$3,"OK","Review")</f>
        <v>OK</v>
      </c>
    </row>
    <row r="327" spans="1:41" ht="15" customHeight="1">
      <c r="A327" s="9" t="s">
        <v>256</v>
      </c>
      <c r="B327" s="9" t="s">
        <v>38</v>
      </c>
      <c r="C327" s="9" t="s">
        <v>113</v>
      </c>
      <c r="D327" s="9" t="s">
        <v>137</v>
      </c>
      <c r="E327" s="9" t="s">
        <v>73</v>
      </c>
      <c r="F327" s="9" t="s">
        <v>81</v>
      </c>
      <c r="G327" s="9" t="s">
        <v>24</v>
      </c>
      <c r="H327" s="9" t="s">
        <v>84</v>
      </c>
      <c r="I327" s="9">
        <v>4000011803</v>
      </c>
      <c r="J327" s="10">
        <v>44.98</v>
      </c>
      <c r="K327" s="10"/>
      <c r="L327" s="10">
        <f t="shared" si="90"/>
        <v>44.98</v>
      </c>
      <c r="M327" s="11">
        <v>0</v>
      </c>
      <c r="N327" s="10">
        <f t="shared" si="91"/>
        <v>0</v>
      </c>
      <c r="O327" s="10">
        <f t="shared" si="92"/>
        <v>44.98</v>
      </c>
      <c r="P327" s="11">
        <f t="shared" si="93"/>
        <v>8.2621553608493603E-2</v>
      </c>
      <c r="Q327" s="10">
        <f t="shared" si="94"/>
        <v>544.41</v>
      </c>
      <c r="R327" s="10">
        <f t="shared" si="95"/>
        <v>3369.4199999999996</v>
      </c>
      <c r="S327" s="10">
        <f t="shared" si="96"/>
        <v>278.38671515953047</v>
      </c>
      <c r="T327" s="9" t="s">
        <v>76</v>
      </c>
      <c r="U327" s="10">
        <v>5599</v>
      </c>
      <c r="V327" s="10">
        <f t="shared" si="97"/>
        <v>3919.2999999999997</v>
      </c>
      <c r="W327" s="166">
        <v>490110</v>
      </c>
      <c r="X327" s="12" t="s">
        <v>27</v>
      </c>
      <c r="Y327" s="12">
        <f t="shared" si="98"/>
        <v>278.38671515953047</v>
      </c>
      <c r="Z327" s="13">
        <f t="shared" si="99"/>
        <v>278.38671515953047</v>
      </c>
      <c r="AA327" s="13">
        <f t="shared" si="100"/>
        <v>278.38671515953047</v>
      </c>
      <c r="AB327" s="13">
        <f t="shared" si="101"/>
        <v>44.98</v>
      </c>
      <c r="AC327" s="13">
        <f t="shared" si="102"/>
        <v>233.40671515953048</v>
      </c>
      <c r="AD327" s="14">
        <f t="shared" si="103"/>
        <v>0.83842619798066143</v>
      </c>
      <c r="AE327" s="14">
        <f t="shared" si="104"/>
        <v>5.1891221689535456</v>
      </c>
      <c r="AF327" s="13" t="str">
        <f>IF(AD327&gt;=Assumptions!$B$3,"OK","Review")</f>
        <v>OK</v>
      </c>
      <c r="AG327" s="13">
        <f>IFERROR(IF(Assumptions!$B$13="Cost Price",AB327,AA327)*SUMIF(Assumptions!$A$6:$A$10,X327,Assumptions!$B$6:$B$10),0)</f>
        <v>22.270937212762437</v>
      </c>
      <c r="AH327" s="13">
        <f>IFERROR(IF(Assumptions!$B$13="Cost Price",AB327,AA327)*SUMIF(Assumptions!$A$6:$A$10,X327,Assumptions!$C$6:$C$10),0)</f>
        <v>13.919335757976524</v>
      </c>
      <c r="AI327" s="13">
        <f>IFERROR(IF(Assumptions!$B$13="Cost Price",AB327,AA327)*SUMIF(Assumptions!$A$6:$A$10,X327,Assumptions!$D$6:$D$10),0)</f>
        <v>27.838671515953049</v>
      </c>
      <c r="AJ327" s="13">
        <v>41.716613875571724</v>
      </c>
      <c r="AK327" s="13">
        <f t="shared" si="105"/>
        <v>105.74555836226374</v>
      </c>
      <c r="AL327" s="14">
        <v>0.33</v>
      </c>
      <c r="AM327" s="13">
        <f t="shared" si="106"/>
        <v>127.66115679726674</v>
      </c>
      <c r="AN327" s="14">
        <f t="shared" si="107"/>
        <v>0.45857488825970044</v>
      </c>
      <c r="AO327" t="str">
        <f>IF(AN327&gt;=Assumptions!$B$3,"OK","Review")</f>
        <v>OK</v>
      </c>
    </row>
    <row r="328" spans="1:41" ht="15" customHeight="1">
      <c r="A328" s="9" t="s">
        <v>256</v>
      </c>
      <c r="B328" s="9" t="s">
        <v>38</v>
      </c>
      <c r="C328" s="9" t="s">
        <v>243</v>
      </c>
      <c r="D328" s="9" t="s">
        <v>247</v>
      </c>
      <c r="E328" s="9" t="s">
        <v>73</v>
      </c>
      <c r="F328" s="9" t="s">
        <v>90</v>
      </c>
      <c r="G328" s="9" t="s">
        <v>24</v>
      </c>
      <c r="H328" s="9" t="s">
        <v>75</v>
      </c>
      <c r="I328" s="9">
        <v>7000001004</v>
      </c>
      <c r="J328" s="10">
        <v>127</v>
      </c>
      <c r="K328" s="10">
        <v>10</v>
      </c>
      <c r="L328" s="10">
        <f t="shared" si="90"/>
        <v>137</v>
      </c>
      <c r="M328" s="11">
        <v>0.18</v>
      </c>
      <c r="N328" s="10">
        <f t="shared" si="91"/>
        <v>24.66</v>
      </c>
      <c r="O328" s="10">
        <f t="shared" si="92"/>
        <v>161.66</v>
      </c>
      <c r="P328" s="11">
        <f t="shared" si="93"/>
        <v>0.58798283261802575</v>
      </c>
      <c r="Q328" s="10">
        <f t="shared" si="94"/>
        <v>274.94</v>
      </c>
      <c r="R328" s="10">
        <f t="shared" si="95"/>
        <v>3369.4199999999996</v>
      </c>
      <c r="S328" s="10">
        <f t="shared" si="96"/>
        <v>161.66</v>
      </c>
      <c r="T328" s="9" t="s">
        <v>91</v>
      </c>
      <c r="U328" s="10">
        <v>5599</v>
      </c>
      <c r="V328" s="10">
        <f t="shared" si="97"/>
        <v>3919.2999999999997</v>
      </c>
      <c r="W328" s="166">
        <v>49119990</v>
      </c>
      <c r="X328" s="12" t="s">
        <v>27</v>
      </c>
      <c r="Y328" s="12">
        <f t="shared" si="98"/>
        <v>161.66</v>
      </c>
      <c r="Z328" s="13">
        <f t="shared" si="99"/>
        <v>161.66</v>
      </c>
      <c r="AA328" s="13">
        <f t="shared" si="100"/>
        <v>137</v>
      </c>
      <c r="AB328" s="13">
        <f t="shared" si="101"/>
        <v>127</v>
      </c>
      <c r="AC328" s="13">
        <f t="shared" si="102"/>
        <v>10</v>
      </c>
      <c r="AD328" s="14">
        <f t="shared" si="103"/>
        <v>7.2992700729927001E-2</v>
      </c>
      <c r="AE328" s="14">
        <f t="shared" si="104"/>
        <v>7.874015748031496E-2</v>
      </c>
      <c r="AF328" s="13" t="str">
        <f>IF(AD328&gt;=Assumptions!$B$3,"OK","Review")</f>
        <v>Review</v>
      </c>
      <c r="AG328" s="13">
        <f>IFERROR(IF(Assumptions!$B$13="Cost Price",AB328,AA328)*SUMIF(Assumptions!$A$6:$A$10,X328,Assumptions!$B$6:$B$10),0)</f>
        <v>10.96</v>
      </c>
      <c r="AH328" s="13">
        <f>IFERROR(IF(Assumptions!$B$13="Cost Price",AB328,AA328)*SUMIF(Assumptions!$A$6:$A$10,X328,Assumptions!$C$6:$C$10),0)</f>
        <v>6.8500000000000005</v>
      </c>
      <c r="AI328" s="13">
        <f>IFERROR(IF(Assumptions!$B$13="Cost Price",AB328,AA328)*SUMIF(Assumptions!$A$6:$A$10,X328,Assumptions!$D$6:$D$10),0)</f>
        <v>13.700000000000001</v>
      </c>
      <c r="AJ328" s="13">
        <v>13.700000000000001</v>
      </c>
      <c r="AK328" s="13">
        <f t="shared" si="105"/>
        <v>45.210000000000008</v>
      </c>
      <c r="AL328" s="14">
        <v>0.33</v>
      </c>
      <c r="AM328" s="13">
        <f t="shared" si="106"/>
        <v>-35.210000000000008</v>
      </c>
      <c r="AN328" s="14">
        <f t="shared" si="107"/>
        <v>-0.25700729927007304</v>
      </c>
      <c r="AO328" t="str">
        <f>IF(AN328&gt;=Assumptions!$B$3,"OK","Review")</f>
        <v>Review</v>
      </c>
    </row>
    <row r="329" spans="1:41" ht="15" customHeight="1">
      <c r="A329" s="9" t="s">
        <v>256</v>
      </c>
      <c r="B329" s="9" t="s">
        <v>38</v>
      </c>
      <c r="C329" s="9" t="s">
        <v>92</v>
      </c>
      <c r="D329" s="9" t="s">
        <v>93</v>
      </c>
      <c r="E329" s="9" t="s">
        <v>73</v>
      </c>
      <c r="F329" s="9" t="s">
        <v>94</v>
      </c>
      <c r="G329" s="9" t="s">
        <v>24</v>
      </c>
      <c r="H329" s="9" t="s">
        <v>75</v>
      </c>
      <c r="I329" s="9">
        <v>8400007</v>
      </c>
      <c r="J329" s="10">
        <v>96</v>
      </c>
      <c r="K329" s="10"/>
      <c r="L329" s="10">
        <f t="shared" si="90"/>
        <v>96</v>
      </c>
      <c r="M329" s="11">
        <v>0.18</v>
      </c>
      <c r="N329" s="10">
        <f t="shared" si="91"/>
        <v>17.28</v>
      </c>
      <c r="O329" s="10">
        <f t="shared" si="92"/>
        <v>113.28</v>
      </c>
      <c r="P329" s="11">
        <f t="shared" si="93"/>
        <v>0.41201716738197425</v>
      </c>
      <c r="Q329" s="10">
        <f t="shared" si="94"/>
        <v>274.94</v>
      </c>
      <c r="R329" s="10">
        <f t="shared" si="95"/>
        <v>3369.4199999999996</v>
      </c>
      <c r="S329" s="10">
        <f t="shared" si="96"/>
        <v>113.28</v>
      </c>
      <c r="T329" s="9" t="s">
        <v>91</v>
      </c>
      <c r="U329" s="10">
        <v>5599</v>
      </c>
      <c r="V329" s="10">
        <f t="shared" si="97"/>
        <v>3919.2999999999997</v>
      </c>
      <c r="W329" s="166">
        <v>999299</v>
      </c>
      <c r="X329" s="12" t="s">
        <v>27</v>
      </c>
      <c r="Y329" s="12">
        <f t="shared" si="98"/>
        <v>113.28</v>
      </c>
      <c r="Z329" s="13">
        <f t="shared" si="99"/>
        <v>113.28</v>
      </c>
      <c r="AA329" s="13">
        <f t="shared" si="100"/>
        <v>96</v>
      </c>
      <c r="AB329" s="13">
        <f t="shared" si="101"/>
        <v>96</v>
      </c>
      <c r="AC329" s="13">
        <f t="shared" si="102"/>
        <v>0</v>
      </c>
      <c r="AD329" s="14">
        <f t="shared" si="103"/>
        <v>0</v>
      </c>
      <c r="AE329" s="14">
        <f t="shared" si="104"/>
        <v>0</v>
      </c>
      <c r="AF329" s="13" t="str">
        <f>IF(AD329&gt;=Assumptions!$B$3,"OK","Review")</f>
        <v>Review</v>
      </c>
      <c r="AG329" s="13">
        <f>IFERROR(IF(Assumptions!$B$13="Cost Price",AB329,AA329)*SUMIF(Assumptions!$A$6:$A$10,X329,Assumptions!$B$6:$B$10),0)</f>
        <v>7.68</v>
      </c>
      <c r="AH329" s="13">
        <f>IFERROR(IF(Assumptions!$B$13="Cost Price",AB329,AA329)*SUMIF(Assumptions!$A$6:$A$10,X329,Assumptions!$C$6:$C$10),0)</f>
        <v>4.8000000000000007</v>
      </c>
      <c r="AI329" s="13">
        <f>IFERROR(IF(Assumptions!$B$13="Cost Price",AB329,AA329)*SUMIF(Assumptions!$A$6:$A$10,X329,Assumptions!$D$6:$D$10),0)</f>
        <v>9.6000000000000014</v>
      </c>
      <c r="AJ329" s="13">
        <v>9.6000000000000014</v>
      </c>
      <c r="AK329" s="13">
        <f t="shared" si="105"/>
        <v>31.680000000000003</v>
      </c>
      <c r="AL329" s="14">
        <v>0.33</v>
      </c>
      <c r="AM329" s="13">
        <f t="shared" si="106"/>
        <v>-31.680000000000003</v>
      </c>
      <c r="AN329" s="14">
        <f t="shared" si="107"/>
        <v>-0.33</v>
      </c>
      <c r="AO329" t="str">
        <f>IF(AN329&gt;=Assumptions!$B$3,"OK","Review")</f>
        <v>Review</v>
      </c>
    </row>
    <row r="330" spans="1:41" ht="15" customHeight="1">
      <c r="A330" s="9" t="s">
        <v>256</v>
      </c>
      <c r="B330" s="9" t="s">
        <v>39</v>
      </c>
      <c r="C330" s="9" t="s">
        <v>105</v>
      </c>
      <c r="D330" s="9" t="s">
        <v>139</v>
      </c>
      <c r="E330" s="9" t="s">
        <v>73</v>
      </c>
      <c r="F330" s="9" t="s">
        <v>74</v>
      </c>
      <c r="G330" s="9" t="s">
        <v>24</v>
      </c>
      <c r="H330" s="9" t="s">
        <v>75</v>
      </c>
      <c r="I330" s="9">
        <v>4000011804</v>
      </c>
      <c r="J330" s="10">
        <v>39.65</v>
      </c>
      <c r="K330" s="10"/>
      <c r="L330" s="10">
        <f t="shared" si="90"/>
        <v>39.65</v>
      </c>
      <c r="M330" s="11">
        <v>0</v>
      </c>
      <c r="N330" s="10">
        <f t="shared" si="91"/>
        <v>0</v>
      </c>
      <c r="O330" s="10">
        <f t="shared" si="92"/>
        <v>39.65</v>
      </c>
      <c r="P330" s="11">
        <f t="shared" si="93"/>
        <v>7.1625991292880747E-2</v>
      </c>
      <c r="Q330" s="10">
        <f t="shared" si="94"/>
        <v>553.57000000000005</v>
      </c>
      <c r="R330" s="10">
        <f t="shared" si="95"/>
        <v>3403.6399999999994</v>
      </c>
      <c r="S330" s="10">
        <f t="shared" si="96"/>
        <v>243.78908900410059</v>
      </c>
      <c r="T330" s="9" t="s">
        <v>76</v>
      </c>
      <c r="U330" s="10">
        <v>5599</v>
      </c>
      <c r="V330" s="10">
        <f t="shared" si="97"/>
        <v>3919.2999999999997</v>
      </c>
      <c r="W330" s="166">
        <v>490110</v>
      </c>
      <c r="X330" s="12" t="s">
        <v>27</v>
      </c>
      <c r="Y330" s="12">
        <f t="shared" si="98"/>
        <v>243.78908900410059</v>
      </c>
      <c r="Z330" s="13">
        <f t="shared" si="99"/>
        <v>243.78908900410059</v>
      </c>
      <c r="AA330" s="13">
        <f t="shared" si="100"/>
        <v>243.78908900410059</v>
      </c>
      <c r="AB330" s="13">
        <f t="shared" si="101"/>
        <v>39.65</v>
      </c>
      <c r="AC330" s="13">
        <f t="shared" si="102"/>
        <v>204.13908900410058</v>
      </c>
      <c r="AD330" s="14">
        <f t="shared" si="103"/>
        <v>0.83735941521429991</v>
      </c>
      <c r="AE330" s="14">
        <f t="shared" si="104"/>
        <v>5.1485268349079591</v>
      </c>
      <c r="AF330" s="13" t="str">
        <f>IF(AD330&gt;=Assumptions!$B$3,"OK","Review")</f>
        <v>OK</v>
      </c>
      <c r="AG330" s="13">
        <f>IFERROR(IF(Assumptions!$B$13="Cost Price",AB330,AA330)*SUMIF(Assumptions!$A$6:$A$10,X330,Assumptions!$B$6:$B$10),0)</f>
        <v>19.503127120328049</v>
      </c>
      <c r="AH330" s="13">
        <f>IFERROR(IF(Assumptions!$B$13="Cost Price",AB330,AA330)*SUMIF(Assumptions!$A$6:$A$10,X330,Assumptions!$C$6:$C$10),0)</f>
        <v>12.18945445020503</v>
      </c>
      <c r="AI330" s="13">
        <f>IFERROR(IF(Assumptions!$B$13="Cost Price",AB330,AA330)*SUMIF(Assumptions!$A$6:$A$10,X330,Assumptions!$D$6:$D$10),0)</f>
        <v>24.37890890041006</v>
      </c>
      <c r="AJ330" s="13">
        <v>36.409926657875239</v>
      </c>
      <c r="AK330" s="13">
        <f t="shared" si="105"/>
        <v>92.481417128818379</v>
      </c>
      <c r="AL330" s="14">
        <v>0.33</v>
      </c>
      <c r="AM330" s="13">
        <f t="shared" si="106"/>
        <v>111.6576718752822</v>
      </c>
      <c r="AN330" s="14">
        <f t="shared" si="107"/>
        <v>0.45800930768236348</v>
      </c>
      <c r="AO330" t="str">
        <f>IF(AN330&gt;=Assumptions!$B$3,"OK","Review")</f>
        <v>OK</v>
      </c>
    </row>
    <row r="331" spans="1:41" ht="15" customHeight="1">
      <c r="A331" s="9" t="s">
        <v>256</v>
      </c>
      <c r="B331" s="9" t="s">
        <v>39</v>
      </c>
      <c r="C331" s="9" t="s">
        <v>105</v>
      </c>
      <c r="D331" s="9" t="s">
        <v>140</v>
      </c>
      <c r="E331" s="9" t="s">
        <v>73</v>
      </c>
      <c r="F331" s="9" t="s">
        <v>74</v>
      </c>
      <c r="G331" s="9" t="s">
        <v>24</v>
      </c>
      <c r="H331" s="9" t="s">
        <v>75</v>
      </c>
      <c r="I331" s="9">
        <v>4000011806</v>
      </c>
      <c r="J331" s="10">
        <v>19.510000000000002</v>
      </c>
      <c r="K331" s="10"/>
      <c r="L331" s="10">
        <f t="shared" si="90"/>
        <v>19.510000000000002</v>
      </c>
      <c r="M331" s="11">
        <v>0</v>
      </c>
      <c r="N331" s="10">
        <f t="shared" si="91"/>
        <v>0</v>
      </c>
      <c r="O331" s="10">
        <f t="shared" si="92"/>
        <v>19.510000000000002</v>
      </c>
      <c r="P331" s="11">
        <f t="shared" si="93"/>
        <v>3.5243961919901728E-2</v>
      </c>
      <c r="Q331" s="10">
        <f t="shared" si="94"/>
        <v>553.57000000000005</v>
      </c>
      <c r="R331" s="10">
        <f t="shared" si="95"/>
        <v>3403.6399999999994</v>
      </c>
      <c r="S331" s="10">
        <f t="shared" si="96"/>
        <v>119.9577585490543</v>
      </c>
      <c r="T331" s="9" t="s">
        <v>76</v>
      </c>
      <c r="U331" s="10">
        <v>5599</v>
      </c>
      <c r="V331" s="10">
        <f t="shared" si="97"/>
        <v>3919.2999999999997</v>
      </c>
      <c r="W331" s="166">
        <v>490110</v>
      </c>
      <c r="X331" s="12" t="s">
        <v>27</v>
      </c>
      <c r="Y331" s="12">
        <f t="shared" si="98"/>
        <v>119.9577585490543</v>
      </c>
      <c r="Z331" s="13">
        <f t="shared" si="99"/>
        <v>119.9577585490543</v>
      </c>
      <c r="AA331" s="13">
        <f t="shared" si="100"/>
        <v>119.9577585490543</v>
      </c>
      <c r="AB331" s="13">
        <f t="shared" si="101"/>
        <v>19.510000000000002</v>
      </c>
      <c r="AC331" s="13">
        <f t="shared" si="102"/>
        <v>100.4477585490543</v>
      </c>
      <c r="AD331" s="14">
        <f t="shared" si="103"/>
        <v>0.83735941521429991</v>
      </c>
      <c r="AE331" s="14">
        <f t="shared" si="104"/>
        <v>5.1485268349079591</v>
      </c>
      <c r="AF331" s="13" t="str">
        <f>IF(AD331&gt;=Assumptions!$B$3,"OK","Review")</f>
        <v>OK</v>
      </c>
      <c r="AG331" s="13">
        <f>IFERROR(IF(Assumptions!$B$13="Cost Price",AB331,AA331)*SUMIF(Assumptions!$A$6:$A$10,X331,Assumptions!$B$6:$B$10),0)</f>
        <v>9.5966206839243444</v>
      </c>
      <c r="AH331" s="13">
        <f>IFERROR(IF(Assumptions!$B$13="Cost Price",AB331,AA331)*SUMIF(Assumptions!$A$6:$A$10,X331,Assumptions!$C$6:$C$10),0)</f>
        <v>5.9978879274527159</v>
      </c>
      <c r="AI331" s="13">
        <f>IFERROR(IF(Assumptions!$B$13="Cost Price",AB331,AA331)*SUMIF(Assumptions!$A$6:$A$10,X331,Assumptions!$D$6:$D$10),0)</f>
        <v>11.995775854905432</v>
      </c>
      <c r="AJ331" s="13">
        <v>17.915704138591327</v>
      </c>
      <c r="AK331" s="13">
        <f t="shared" si="105"/>
        <v>45.505988604873821</v>
      </c>
      <c r="AL331" s="14">
        <v>0.33</v>
      </c>
      <c r="AM331" s="13">
        <f t="shared" si="106"/>
        <v>54.941769944180479</v>
      </c>
      <c r="AN331" s="14">
        <f t="shared" si="107"/>
        <v>0.45800930768236348</v>
      </c>
      <c r="AO331" t="str">
        <f>IF(AN331&gt;=Assumptions!$B$3,"OK","Review")</f>
        <v>OK</v>
      </c>
    </row>
    <row r="332" spans="1:41" ht="15" customHeight="1">
      <c r="A332" s="9" t="s">
        <v>256</v>
      </c>
      <c r="B332" s="9" t="s">
        <v>39</v>
      </c>
      <c r="C332" s="9" t="s">
        <v>71</v>
      </c>
      <c r="D332" s="9" t="s">
        <v>141</v>
      </c>
      <c r="E332" s="9" t="s">
        <v>73</v>
      </c>
      <c r="F332" s="9" t="s">
        <v>74</v>
      </c>
      <c r="G332" s="9" t="s">
        <v>24</v>
      </c>
      <c r="H332" s="9" t="s">
        <v>75</v>
      </c>
      <c r="I332" s="9">
        <v>4000011807</v>
      </c>
      <c r="J332" s="10">
        <v>48.5</v>
      </c>
      <c r="K332" s="10"/>
      <c r="L332" s="10">
        <f t="shared" si="90"/>
        <v>48.5</v>
      </c>
      <c r="M332" s="11">
        <v>0</v>
      </c>
      <c r="N332" s="10">
        <f t="shared" si="91"/>
        <v>0</v>
      </c>
      <c r="O332" s="10">
        <f t="shared" si="92"/>
        <v>48.5</v>
      </c>
      <c r="P332" s="11">
        <f t="shared" si="93"/>
        <v>8.7613129324204703E-2</v>
      </c>
      <c r="Q332" s="10">
        <f t="shared" si="94"/>
        <v>553.57000000000005</v>
      </c>
      <c r="R332" s="10">
        <f t="shared" si="95"/>
        <v>3403.6399999999994</v>
      </c>
      <c r="S332" s="10">
        <f t="shared" si="96"/>
        <v>298.20355149303606</v>
      </c>
      <c r="T332" s="9" t="s">
        <v>76</v>
      </c>
      <c r="U332" s="10">
        <v>5599</v>
      </c>
      <c r="V332" s="10">
        <f t="shared" si="97"/>
        <v>3919.2999999999997</v>
      </c>
      <c r="W332" s="166">
        <v>490110</v>
      </c>
      <c r="X332" s="12" t="s">
        <v>27</v>
      </c>
      <c r="Y332" s="12">
        <f t="shared" si="98"/>
        <v>298.20355149303606</v>
      </c>
      <c r="Z332" s="13">
        <f t="shared" si="99"/>
        <v>298.20355149303606</v>
      </c>
      <c r="AA332" s="13">
        <f t="shared" si="100"/>
        <v>298.20355149303606</v>
      </c>
      <c r="AB332" s="13">
        <f t="shared" si="101"/>
        <v>48.5</v>
      </c>
      <c r="AC332" s="13">
        <f t="shared" si="102"/>
        <v>249.70355149303606</v>
      </c>
      <c r="AD332" s="14">
        <f t="shared" si="103"/>
        <v>0.83735941521429991</v>
      </c>
      <c r="AE332" s="14">
        <f t="shared" si="104"/>
        <v>5.14852683490796</v>
      </c>
      <c r="AF332" s="13" t="str">
        <f>IF(AD332&gt;=Assumptions!$B$3,"OK","Review")</f>
        <v>OK</v>
      </c>
      <c r="AG332" s="13">
        <f>IFERROR(IF(Assumptions!$B$13="Cost Price",AB332,AA332)*SUMIF(Assumptions!$A$6:$A$10,X332,Assumptions!$B$6:$B$10),0)</f>
        <v>23.856284119442886</v>
      </c>
      <c r="AH332" s="13">
        <f>IFERROR(IF(Assumptions!$B$13="Cost Price",AB332,AA332)*SUMIF(Assumptions!$A$6:$A$10,X332,Assumptions!$C$6:$C$10),0)</f>
        <v>14.910177574651804</v>
      </c>
      <c r="AI332" s="13">
        <f>IFERROR(IF(Assumptions!$B$13="Cost Price",AB332,AA332)*SUMIF(Assumptions!$A$6:$A$10,X332,Assumptions!$D$6:$D$10),0)</f>
        <v>29.820355149303609</v>
      </c>
      <c r="AJ332" s="13">
        <v>44.536732481890283</v>
      </c>
      <c r="AK332" s="13">
        <f t="shared" si="105"/>
        <v>113.12354932528858</v>
      </c>
      <c r="AL332" s="14">
        <v>0.33</v>
      </c>
      <c r="AM332" s="13">
        <f t="shared" si="106"/>
        <v>136.58000216774747</v>
      </c>
      <c r="AN332" s="14">
        <f t="shared" si="107"/>
        <v>0.45800930768236348</v>
      </c>
      <c r="AO332" t="str">
        <f>IF(AN332&gt;=Assumptions!$B$3,"OK","Review")</f>
        <v>OK</v>
      </c>
    </row>
    <row r="333" spans="1:41" ht="15" customHeight="1">
      <c r="A333" s="9" t="s">
        <v>256</v>
      </c>
      <c r="B333" s="9" t="s">
        <v>39</v>
      </c>
      <c r="C333" s="9" t="s">
        <v>71</v>
      </c>
      <c r="D333" s="9" t="s">
        <v>142</v>
      </c>
      <c r="E333" s="9" t="s">
        <v>73</v>
      </c>
      <c r="F333" s="9" t="s">
        <v>74</v>
      </c>
      <c r="G333" s="9" t="s">
        <v>24</v>
      </c>
      <c r="H333" s="9" t="s">
        <v>75</v>
      </c>
      <c r="I333" s="9">
        <v>4000011808</v>
      </c>
      <c r="J333" s="10">
        <v>23.91</v>
      </c>
      <c r="K333" s="10"/>
      <c r="L333" s="10">
        <f t="shared" si="90"/>
        <v>23.91</v>
      </c>
      <c r="M333" s="11">
        <v>0</v>
      </c>
      <c r="N333" s="10">
        <f t="shared" si="91"/>
        <v>0</v>
      </c>
      <c r="O333" s="10">
        <f t="shared" si="92"/>
        <v>23.91</v>
      </c>
      <c r="P333" s="11">
        <f t="shared" si="93"/>
        <v>4.3192369528695554E-2</v>
      </c>
      <c r="Q333" s="10">
        <f t="shared" si="94"/>
        <v>553.57000000000005</v>
      </c>
      <c r="R333" s="10">
        <f t="shared" si="95"/>
        <v>3403.6399999999994</v>
      </c>
      <c r="S333" s="10">
        <f t="shared" si="96"/>
        <v>147.01127662264932</v>
      </c>
      <c r="T333" s="9" t="s">
        <v>76</v>
      </c>
      <c r="U333" s="10">
        <v>5599</v>
      </c>
      <c r="V333" s="10">
        <f t="shared" si="97"/>
        <v>3919.2999999999997</v>
      </c>
      <c r="W333" s="166">
        <v>490110</v>
      </c>
      <c r="X333" s="12" t="s">
        <v>27</v>
      </c>
      <c r="Y333" s="12">
        <f t="shared" si="98"/>
        <v>147.01127662264932</v>
      </c>
      <c r="Z333" s="13">
        <f t="shared" si="99"/>
        <v>147.01127662264932</v>
      </c>
      <c r="AA333" s="13">
        <f t="shared" si="100"/>
        <v>147.01127662264932</v>
      </c>
      <c r="AB333" s="13">
        <f t="shared" si="101"/>
        <v>23.91</v>
      </c>
      <c r="AC333" s="13">
        <f t="shared" si="102"/>
        <v>123.10127662264932</v>
      </c>
      <c r="AD333" s="14">
        <f t="shared" si="103"/>
        <v>0.83735941521430002</v>
      </c>
      <c r="AE333" s="14">
        <f t="shared" si="104"/>
        <v>5.14852683490796</v>
      </c>
      <c r="AF333" s="13" t="str">
        <f>IF(AD333&gt;=Assumptions!$B$3,"OK","Review")</f>
        <v>OK</v>
      </c>
      <c r="AG333" s="13">
        <f>IFERROR(IF(Assumptions!$B$13="Cost Price",AB333,AA333)*SUMIF(Assumptions!$A$6:$A$10,X333,Assumptions!$B$6:$B$10),0)</f>
        <v>11.760902129811946</v>
      </c>
      <c r="AH333" s="13">
        <f>IFERROR(IF(Assumptions!$B$13="Cost Price",AB333,AA333)*SUMIF(Assumptions!$A$6:$A$10,X333,Assumptions!$C$6:$C$10),0)</f>
        <v>7.3505638311324661</v>
      </c>
      <c r="AI333" s="13">
        <f>IFERROR(IF(Assumptions!$B$13="Cost Price",AB333,AA333)*SUMIF(Assumptions!$A$6:$A$10,X333,Assumptions!$D$6:$D$10),0)</f>
        <v>14.701127662264932</v>
      </c>
      <c r="AJ333" s="13">
        <v>21.956149971999928</v>
      </c>
      <c r="AK333" s="13">
        <f t="shared" si="105"/>
        <v>55.768743595209273</v>
      </c>
      <c r="AL333" s="14">
        <v>0.33</v>
      </c>
      <c r="AM333" s="13">
        <f t="shared" si="106"/>
        <v>67.33253302744005</v>
      </c>
      <c r="AN333" s="14">
        <f t="shared" si="107"/>
        <v>0.45800930768236353</v>
      </c>
      <c r="AO333" t="str">
        <f>IF(AN333&gt;=Assumptions!$B$3,"OK","Review")</f>
        <v>OK</v>
      </c>
    </row>
    <row r="334" spans="1:41" ht="15" customHeight="1">
      <c r="A334" s="9" t="s">
        <v>256</v>
      </c>
      <c r="B334" s="9" t="s">
        <v>39</v>
      </c>
      <c r="C334" s="9" t="s">
        <v>78</v>
      </c>
      <c r="D334" s="9" t="s">
        <v>143</v>
      </c>
      <c r="E334" s="9" t="s">
        <v>73</v>
      </c>
      <c r="F334" s="9" t="s">
        <v>74</v>
      </c>
      <c r="G334" s="9" t="s">
        <v>24</v>
      </c>
      <c r="H334" s="9" t="s">
        <v>75</v>
      </c>
      <c r="I334" s="9">
        <v>4000011810</v>
      </c>
      <c r="J334" s="10">
        <v>40.619999999999997</v>
      </c>
      <c r="K334" s="10"/>
      <c r="L334" s="10">
        <f t="shared" si="90"/>
        <v>40.619999999999997</v>
      </c>
      <c r="M334" s="11">
        <v>0</v>
      </c>
      <c r="N334" s="10">
        <f t="shared" si="91"/>
        <v>0</v>
      </c>
      <c r="O334" s="10">
        <f t="shared" si="92"/>
        <v>40.619999999999997</v>
      </c>
      <c r="P334" s="11">
        <f t="shared" si="93"/>
        <v>7.3378253879364835E-2</v>
      </c>
      <c r="Q334" s="10">
        <f t="shared" si="94"/>
        <v>553.57000000000005</v>
      </c>
      <c r="R334" s="10">
        <f t="shared" si="95"/>
        <v>3403.6399999999994</v>
      </c>
      <c r="S334" s="10">
        <f t="shared" si="96"/>
        <v>249.75316003396128</v>
      </c>
      <c r="T334" s="9" t="s">
        <v>76</v>
      </c>
      <c r="U334" s="10">
        <v>5599</v>
      </c>
      <c r="V334" s="10">
        <f t="shared" si="97"/>
        <v>3919.2999999999997</v>
      </c>
      <c r="W334" s="166">
        <v>490110</v>
      </c>
      <c r="X334" s="12" t="s">
        <v>27</v>
      </c>
      <c r="Y334" s="12">
        <f t="shared" si="98"/>
        <v>249.75316003396128</v>
      </c>
      <c r="Z334" s="13">
        <f t="shared" si="99"/>
        <v>249.75316003396128</v>
      </c>
      <c r="AA334" s="13">
        <f t="shared" si="100"/>
        <v>249.75316003396128</v>
      </c>
      <c r="AB334" s="13">
        <f t="shared" si="101"/>
        <v>40.619999999999997</v>
      </c>
      <c r="AC334" s="13">
        <f t="shared" si="102"/>
        <v>209.13316003396127</v>
      </c>
      <c r="AD334" s="14">
        <f t="shared" si="103"/>
        <v>0.83735941521429991</v>
      </c>
      <c r="AE334" s="14">
        <f t="shared" si="104"/>
        <v>5.1485268349079591</v>
      </c>
      <c r="AF334" s="13" t="str">
        <f>IF(AD334&gt;=Assumptions!$B$3,"OK","Review")</f>
        <v>OK</v>
      </c>
      <c r="AG334" s="13">
        <f>IFERROR(IF(Assumptions!$B$13="Cost Price",AB334,AA334)*SUMIF(Assumptions!$A$6:$A$10,X334,Assumptions!$B$6:$B$10),0)</f>
        <v>19.980252802716901</v>
      </c>
      <c r="AH334" s="13">
        <f>IFERROR(IF(Assumptions!$B$13="Cost Price",AB334,AA334)*SUMIF(Assumptions!$A$6:$A$10,X334,Assumptions!$C$6:$C$10),0)</f>
        <v>12.487658001698065</v>
      </c>
      <c r="AI334" s="13">
        <f>IFERROR(IF(Assumptions!$B$13="Cost Price",AB334,AA334)*SUMIF(Assumptions!$A$6:$A$10,X334,Assumptions!$D$6:$D$10),0)</f>
        <v>24.975316003396131</v>
      </c>
      <c r="AJ334" s="13">
        <v>37.300661307513046</v>
      </c>
      <c r="AK334" s="13">
        <f t="shared" si="105"/>
        <v>94.743888115324154</v>
      </c>
      <c r="AL334" s="14">
        <v>0.33</v>
      </c>
      <c r="AM334" s="13">
        <f t="shared" si="106"/>
        <v>114.38927191863712</v>
      </c>
      <c r="AN334" s="14">
        <f t="shared" si="107"/>
        <v>0.45800930768236342</v>
      </c>
      <c r="AO334" t="str">
        <f>IF(AN334&gt;=Assumptions!$B$3,"OK","Review")</f>
        <v>OK</v>
      </c>
    </row>
    <row r="335" spans="1:41" ht="15" customHeight="1">
      <c r="A335" s="9" t="s">
        <v>256</v>
      </c>
      <c r="B335" s="9" t="s">
        <v>39</v>
      </c>
      <c r="C335" s="9" t="s">
        <v>78</v>
      </c>
      <c r="D335" s="9" t="s">
        <v>144</v>
      </c>
      <c r="E335" s="9" t="s">
        <v>73</v>
      </c>
      <c r="F335" s="9" t="s">
        <v>81</v>
      </c>
      <c r="G335" s="9" t="s">
        <v>24</v>
      </c>
      <c r="H335" s="9" t="s">
        <v>75</v>
      </c>
      <c r="I335" s="9">
        <v>4000011809</v>
      </c>
      <c r="J335" s="10">
        <v>55.07</v>
      </c>
      <c r="K335" s="10"/>
      <c r="L335" s="10">
        <f t="shared" si="90"/>
        <v>55.07</v>
      </c>
      <c r="M335" s="11">
        <v>0</v>
      </c>
      <c r="N335" s="10">
        <f t="shared" si="91"/>
        <v>0</v>
      </c>
      <c r="O335" s="10">
        <f t="shared" si="92"/>
        <v>55.07</v>
      </c>
      <c r="P335" s="11">
        <f t="shared" si="93"/>
        <v>9.9481547049153671E-2</v>
      </c>
      <c r="Q335" s="10">
        <f t="shared" si="94"/>
        <v>553.57000000000005</v>
      </c>
      <c r="R335" s="10">
        <f t="shared" si="95"/>
        <v>3403.6399999999994</v>
      </c>
      <c r="S335" s="10">
        <f t="shared" si="96"/>
        <v>338.59937279838135</v>
      </c>
      <c r="T335" s="9" t="s">
        <v>76</v>
      </c>
      <c r="U335" s="10">
        <v>5599</v>
      </c>
      <c r="V335" s="10">
        <f t="shared" si="97"/>
        <v>3919.2999999999997</v>
      </c>
      <c r="W335" s="166">
        <v>490110</v>
      </c>
      <c r="X335" s="12" t="s">
        <v>27</v>
      </c>
      <c r="Y335" s="12">
        <f t="shared" si="98"/>
        <v>338.59937279838135</v>
      </c>
      <c r="Z335" s="13">
        <f t="shared" si="99"/>
        <v>338.59937279838135</v>
      </c>
      <c r="AA335" s="13">
        <f t="shared" si="100"/>
        <v>338.59937279838135</v>
      </c>
      <c r="AB335" s="13">
        <f t="shared" si="101"/>
        <v>55.07</v>
      </c>
      <c r="AC335" s="13">
        <f t="shared" si="102"/>
        <v>283.52937279838136</v>
      </c>
      <c r="AD335" s="14">
        <f t="shared" si="103"/>
        <v>0.83735941521430002</v>
      </c>
      <c r="AE335" s="14">
        <f t="shared" si="104"/>
        <v>5.14852683490796</v>
      </c>
      <c r="AF335" s="13" t="str">
        <f>IF(AD335&gt;=Assumptions!$B$3,"OK","Review")</f>
        <v>OK</v>
      </c>
      <c r="AG335" s="13">
        <f>IFERROR(IF(Assumptions!$B$13="Cost Price",AB335,AA335)*SUMIF(Assumptions!$A$6:$A$10,X335,Assumptions!$B$6:$B$10),0)</f>
        <v>27.08794982387051</v>
      </c>
      <c r="AH335" s="13">
        <f>IFERROR(IF(Assumptions!$B$13="Cost Price",AB335,AA335)*SUMIF(Assumptions!$A$6:$A$10,X335,Assumptions!$C$6:$C$10),0)</f>
        <v>16.929968639919068</v>
      </c>
      <c r="AI335" s="13">
        <f>IFERROR(IF(Assumptions!$B$13="Cost Price",AB335,AA335)*SUMIF(Assumptions!$A$6:$A$10,X335,Assumptions!$D$6:$D$10),0)</f>
        <v>33.859937279838135</v>
      </c>
      <c r="AJ335" s="13">
        <v>50.569852737684485</v>
      </c>
      <c r="AK335" s="13">
        <f t="shared" si="105"/>
        <v>128.44770848131219</v>
      </c>
      <c r="AL335" s="14">
        <v>0.33</v>
      </c>
      <c r="AM335" s="13">
        <f t="shared" si="106"/>
        <v>155.08166431706917</v>
      </c>
      <c r="AN335" s="14">
        <f t="shared" si="107"/>
        <v>0.45800930768236359</v>
      </c>
      <c r="AO335" t="str">
        <f>IF(AN335&gt;=Assumptions!$B$3,"OK","Review")</f>
        <v>OK</v>
      </c>
    </row>
    <row r="336" spans="1:41" ht="15" customHeight="1">
      <c r="A336" s="9" t="s">
        <v>256</v>
      </c>
      <c r="B336" s="9" t="s">
        <v>39</v>
      </c>
      <c r="C336" s="9" t="s">
        <v>78</v>
      </c>
      <c r="D336" s="9" t="s">
        <v>145</v>
      </c>
      <c r="E336" s="9" t="s">
        <v>73</v>
      </c>
      <c r="F336" s="9" t="s">
        <v>81</v>
      </c>
      <c r="G336" s="9" t="s">
        <v>24</v>
      </c>
      <c r="H336" s="9" t="s">
        <v>75</v>
      </c>
      <c r="I336" s="9">
        <v>4000011811</v>
      </c>
      <c r="J336" s="10">
        <v>19.510000000000002</v>
      </c>
      <c r="K336" s="10"/>
      <c r="L336" s="10">
        <f t="shared" si="90"/>
        <v>19.510000000000002</v>
      </c>
      <c r="M336" s="11">
        <v>0</v>
      </c>
      <c r="N336" s="10">
        <f t="shared" si="91"/>
        <v>0</v>
      </c>
      <c r="O336" s="10">
        <f t="shared" si="92"/>
        <v>19.510000000000002</v>
      </c>
      <c r="P336" s="11">
        <f t="shared" si="93"/>
        <v>3.5243961919901728E-2</v>
      </c>
      <c r="Q336" s="10">
        <f t="shared" si="94"/>
        <v>553.57000000000005</v>
      </c>
      <c r="R336" s="10">
        <f t="shared" si="95"/>
        <v>3403.6399999999994</v>
      </c>
      <c r="S336" s="10">
        <f t="shared" si="96"/>
        <v>119.9577585490543</v>
      </c>
      <c r="T336" s="9" t="s">
        <v>76</v>
      </c>
      <c r="U336" s="10">
        <v>5599</v>
      </c>
      <c r="V336" s="10">
        <f t="shared" si="97"/>
        <v>3919.2999999999997</v>
      </c>
      <c r="W336" s="166">
        <v>490110</v>
      </c>
      <c r="X336" s="12" t="s">
        <v>27</v>
      </c>
      <c r="Y336" s="12">
        <f t="shared" si="98"/>
        <v>119.9577585490543</v>
      </c>
      <c r="Z336" s="13">
        <f t="shared" si="99"/>
        <v>119.9577585490543</v>
      </c>
      <c r="AA336" s="13">
        <f t="shared" si="100"/>
        <v>119.9577585490543</v>
      </c>
      <c r="AB336" s="13">
        <f t="shared" si="101"/>
        <v>19.510000000000002</v>
      </c>
      <c r="AC336" s="13">
        <f t="shared" si="102"/>
        <v>100.4477585490543</v>
      </c>
      <c r="AD336" s="14">
        <f t="shared" si="103"/>
        <v>0.83735941521429991</v>
      </c>
      <c r="AE336" s="14">
        <f t="shared" si="104"/>
        <v>5.1485268349079591</v>
      </c>
      <c r="AF336" s="13" t="str">
        <f>IF(AD336&gt;=Assumptions!$B$3,"OK","Review")</f>
        <v>OK</v>
      </c>
      <c r="AG336" s="13">
        <f>IFERROR(IF(Assumptions!$B$13="Cost Price",AB336,AA336)*SUMIF(Assumptions!$A$6:$A$10,X336,Assumptions!$B$6:$B$10),0)</f>
        <v>9.5966206839243444</v>
      </c>
      <c r="AH336" s="13">
        <f>IFERROR(IF(Assumptions!$B$13="Cost Price",AB336,AA336)*SUMIF(Assumptions!$A$6:$A$10,X336,Assumptions!$C$6:$C$10),0)</f>
        <v>5.9978879274527159</v>
      </c>
      <c r="AI336" s="13">
        <f>IFERROR(IF(Assumptions!$B$13="Cost Price",AB336,AA336)*SUMIF(Assumptions!$A$6:$A$10,X336,Assumptions!$D$6:$D$10),0)</f>
        <v>11.995775854905432</v>
      </c>
      <c r="AJ336" s="13">
        <v>17.915704138591327</v>
      </c>
      <c r="AK336" s="13">
        <f t="shared" si="105"/>
        <v>45.505988604873821</v>
      </c>
      <c r="AL336" s="14">
        <v>0.33</v>
      </c>
      <c r="AM336" s="13">
        <f t="shared" si="106"/>
        <v>54.941769944180479</v>
      </c>
      <c r="AN336" s="14">
        <f t="shared" si="107"/>
        <v>0.45800930768236348</v>
      </c>
      <c r="AO336" t="str">
        <f>IF(AN336&gt;=Assumptions!$B$3,"OK","Review")</f>
        <v>OK</v>
      </c>
    </row>
    <row r="337" spans="1:41" ht="15" customHeight="1">
      <c r="A337" s="9" t="s">
        <v>256</v>
      </c>
      <c r="B337" s="9" t="s">
        <v>39</v>
      </c>
      <c r="C337" s="9" t="s">
        <v>113</v>
      </c>
      <c r="D337" s="9" t="s">
        <v>146</v>
      </c>
      <c r="E337" s="9" t="s">
        <v>73</v>
      </c>
      <c r="F337" s="9" t="s">
        <v>81</v>
      </c>
      <c r="G337" s="9" t="s">
        <v>24</v>
      </c>
      <c r="H337" s="9" t="s">
        <v>75</v>
      </c>
      <c r="I337" s="9">
        <v>4000011812</v>
      </c>
      <c r="J337" s="10">
        <v>39.94</v>
      </c>
      <c r="K337" s="10"/>
      <c r="L337" s="10">
        <f t="shared" si="90"/>
        <v>39.94</v>
      </c>
      <c r="M337" s="11">
        <v>0</v>
      </c>
      <c r="N337" s="10">
        <f t="shared" si="91"/>
        <v>0</v>
      </c>
      <c r="O337" s="10">
        <f t="shared" si="92"/>
        <v>39.94</v>
      </c>
      <c r="P337" s="11">
        <f t="shared" si="93"/>
        <v>7.2149863612551254E-2</v>
      </c>
      <c r="Q337" s="10">
        <f t="shared" si="94"/>
        <v>553.57000000000005</v>
      </c>
      <c r="R337" s="10">
        <f t="shared" si="95"/>
        <v>3403.6399999999994</v>
      </c>
      <c r="S337" s="10">
        <f t="shared" si="96"/>
        <v>245.57216178622392</v>
      </c>
      <c r="T337" s="9" t="s">
        <v>76</v>
      </c>
      <c r="U337" s="10">
        <v>5599</v>
      </c>
      <c r="V337" s="10">
        <f t="shared" si="97"/>
        <v>3919.2999999999997</v>
      </c>
      <c r="W337" s="166">
        <v>490110</v>
      </c>
      <c r="X337" s="12" t="s">
        <v>27</v>
      </c>
      <c r="Y337" s="12">
        <f t="shared" si="98"/>
        <v>245.57216178622392</v>
      </c>
      <c r="Z337" s="13">
        <f t="shared" si="99"/>
        <v>245.57216178622392</v>
      </c>
      <c r="AA337" s="13">
        <f t="shared" si="100"/>
        <v>245.57216178622392</v>
      </c>
      <c r="AB337" s="13">
        <f t="shared" si="101"/>
        <v>39.94</v>
      </c>
      <c r="AC337" s="13">
        <f t="shared" si="102"/>
        <v>205.63216178622392</v>
      </c>
      <c r="AD337" s="14">
        <f t="shared" si="103"/>
        <v>0.83735941521429991</v>
      </c>
      <c r="AE337" s="14">
        <f t="shared" si="104"/>
        <v>5.14852683490796</v>
      </c>
      <c r="AF337" s="13" t="str">
        <f>IF(AD337&gt;=Assumptions!$B$3,"OK","Review")</f>
        <v>OK</v>
      </c>
      <c r="AG337" s="13">
        <f>IFERROR(IF(Assumptions!$B$13="Cost Price",AB337,AA337)*SUMIF(Assumptions!$A$6:$A$10,X337,Assumptions!$B$6:$B$10),0)</f>
        <v>19.645772942897914</v>
      </c>
      <c r="AH337" s="13">
        <f>IFERROR(IF(Assumptions!$B$13="Cost Price",AB337,AA337)*SUMIF(Assumptions!$A$6:$A$10,X337,Assumptions!$C$6:$C$10),0)</f>
        <v>12.278608089311197</v>
      </c>
      <c r="AI337" s="13">
        <f>IFERROR(IF(Assumptions!$B$13="Cost Price",AB337,AA337)*SUMIF(Assumptions!$A$6:$A$10,X337,Assumptions!$D$6:$D$10),0)</f>
        <v>24.557216178622394</v>
      </c>
      <c r="AJ337" s="13">
        <v>36.676228769622632</v>
      </c>
      <c r="AK337" s="13">
        <f t="shared" si="105"/>
        <v>93.157825980454135</v>
      </c>
      <c r="AL337" s="14">
        <v>0.33</v>
      </c>
      <c r="AM337" s="13">
        <f t="shared" si="106"/>
        <v>112.47433580576978</v>
      </c>
      <c r="AN337" s="14">
        <f t="shared" si="107"/>
        <v>0.45800930768236353</v>
      </c>
      <c r="AO337" t="str">
        <f>IF(AN337&gt;=Assumptions!$B$3,"OK","Review")</f>
        <v>OK</v>
      </c>
    </row>
    <row r="338" spans="1:41" ht="15" customHeight="1">
      <c r="A338" s="9" t="s">
        <v>256</v>
      </c>
      <c r="B338" s="9" t="s">
        <v>39</v>
      </c>
      <c r="C338" s="9" t="s">
        <v>105</v>
      </c>
      <c r="D338" s="9" t="s">
        <v>147</v>
      </c>
      <c r="E338" s="9" t="s">
        <v>73</v>
      </c>
      <c r="F338" s="9" t="s">
        <v>74</v>
      </c>
      <c r="G338" s="9" t="s">
        <v>24</v>
      </c>
      <c r="H338" s="9" t="s">
        <v>84</v>
      </c>
      <c r="I338" s="9">
        <v>4000011813</v>
      </c>
      <c r="J338" s="10">
        <v>41.81</v>
      </c>
      <c r="K338" s="10"/>
      <c r="L338" s="10">
        <f t="shared" si="90"/>
        <v>41.81</v>
      </c>
      <c r="M338" s="11">
        <v>0</v>
      </c>
      <c r="N338" s="10">
        <f t="shared" si="91"/>
        <v>0</v>
      </c>
      <c r="O338" s="10">
        <f t="shared" si="92"/>
        <v>41.81</v>
      </c>
      <c r="P338" s="11">
        <f t="shared" si="93"/>
        <v>7.5527936846288626E-2</v>
      </c>
      <c r="Q338" s="10">
        <f t="shared" si="94"/>
        <v>553.57000000000005</v>
      </c>
      <c r="R338" s="10">
        <f t="shared" si="95"/>
        <v>3403.6399999999994</v>
      </c>
      <c r="S338" s="10">
        <f t="shared" si="96"/>
        <v>257.06990696750177</v>
      </c>
      <c r="T338" s="9" t="s">
        <v>76</v>
      </c>
      <c r="U338" s="10">
        <v>5599</v>
      </c>
      <c r="V338" s="10">
        <f t="shared" si="97"/>
        <v>3919.2999999999997</v>
      </c>
      <c r="W338" s="166">
        <v>490110</v>
      </c>
      <c r="X338" s="12" t="s">
        <v>27</v>
      </c>
      <c r="Y338" s="12">
        <f t="shared" si="98"/>
        <v>257.06990696750177</v>
      </c>
      <c r="Z338" s="13">
        <f t="shared" si="99"/>
        <v>257.06990696750177</v>
      </c>
      <c r="AA338" s="13">
        <f t="shared" si="100"/>
        <v>257.06990696750177</v>
      </c>
      <c r="AB338" s="13">
        <f t="shared" si="101"/>
        <v>41.81</v>
      </c>
      <c r="AC338" s="13">
        <f t="shared" si="102"/>
        <v>215.25990696750176</v>
      </c>
      <c r="AD338" s="14">
        <f t="shared" si="103"/>
        <v>0.83735941521429991</v>
      </c>
      <c r="AE338" s="14">
        <f t="shared" si="104"/>
        <v>5.1485268349079583</v>
      </c>
      <c r="AF338" s="13" t="str">
        <f>IF(AD338&gt;=Assumptions!$B$3,"OK","Review")</f>
        <v>OK</v>
      </c>
      <c r="AG338" s="13">
        <f>IFERROR(IF(Assumptions!$B$13="Cost Price",AB338,AA338)*SUMIF(Assumptions!$A$6:$A$10,X338,Assumptions!$B$6:$B$10),0)</f>
        <v>20.565592557400141</v>
      </c>
      <c r="AH338" s="13">
        <f>IFERROR(IF(Assumptions!$B$13="Cost Price",AB338,AA338)*SUMIF(Assumptions!$A$6:$A$10,X338,Assumptions!$C$6:$C$10),0)</f>
        <v>12.853495348375089</v>
      </c>
      <c r="AI338" s="13">
        <f>IFERROR(IF(Assumptions!$B$13="Cost Price",AB338,AA338)*SUMIF(Assumptions!$A$6:$A$10,X338,Assumptions!$D$6:$D$10),0)</f>
        <v>25.706990696750179</v>
      </c>
      <c r="AJ338" s="13">
        <v>38.393418248821284</v>
      </c>
      <c r="AK338" s="13">
        <f t="shared" si="105"/>
        <v>97.519496851346702</v>
      </c>
      <c r="AL338" s="14">
        <v>0.33</v>
      </c>
      <c r="AM338" s="13">
        <f t="shared" si="106"/>
        <v>117.74041011615506</v>
      </c>
      <c r="AN338" s="14">
        <f t="shared" si="107"/>
        <v>0.45800930768236342</v>
      </c>
      <c r="AO338" t="str">
        <f>IF(AN338&gt;=Assumptions!$B$3,"OK","Review")</f>
        <v>OK</v>
      </c>
    </row>
    <row r="339" spans="1:41" ht="15" customHeight="1">
      <c r="A339" s="9" t="s">
        <v>256</v>
      </c>
      <c r="B339" s="9" t="s">
        <v>39</v>
      </c>
      <c r="C339" s="9" t="s">
        <v>105</v>
      </c>
      <c r="D339" s="9" t="s">
        <v>148</v>
      </c>
      <c r="E339" s="9" t="s">
        <v>73</v>
      </c>
      <c r="F339" s="9" t="s">
        <v>74</v>
      </c>
      <c r="G339" s="9" t="s">
        <v>24</v>
      </c>
      <c r="H339" s="9" t="s">
        <v>84</v>
      </c>
      <c r="I339" s="9">
        <v>4000011814</v>
      </c>
      <c r="J339" s="10">
        <v>17.95</v>
      </c>
      <c r="K339" s="10"/>
      <c r="L339" s="10">
        <f t="shared" si="90"/>
        <v>17.95</v>
      </c>
      <c r="M339" s="11">
        <v>0</v>
      </c>
      <c r="N339" s="10">
        <f t="shared" si="91"/>
        <v>0</v>
      </c>
      <c r="O339" s="10">
        <f t="shared" si="92"/>
        <v>17.95</v>
      </c>
      <c r="P339" s="11">
        <f t="shared" si="93"/>
        <v>3.242589013132937E-2</v>
      </c>
      <c r="Q339" s="10">
        <f t="shared" si="94"/>
        <v>553.57000000000005</v>
      </c>
      <c r="R339" s="10">
        <f t="shared" si="95"/>
        <v>3403.6399999999994</v>
      </c>
      <c r="S339" s="10">
        <f t="shared" si="96"/>
        <v>110.36605668659787</v>
      </c>
      <c r="T339" s="9" t="s">
        <v>76</v>
      </c>
      <c r="U339" s="10">
        <v>5599</v>
      </c>
      <c r="V339" s="10">
        <f t="shared" si="97"/>
        <v>3919.2999999999997</v>
      </c>
      <c r="W339" s="166">
        <v>490110</v>
      </c>
      <c r="X339" s="12" t="s">
        <v>27</v>
      </c>
      <c r="Y339" s="12">
        <f t="shared" si="98"/>
        <v>110.36605668659787</v>
      </c>
      <c r="Z339" s="13">
        <f t="shared" si="99"/>
        <v>110.36605668659787</v>
      </c>
      <c r="AA339" s="13">
        <f t="shared" si="100"/>
        <v>110.36605668659787</v>
      </c>
      <c r="AB339" s="13">
        <f t="shared" si="101"/>
        <v>17.95</v>
      </c>
      <c r="AC339" s="13">
        <f t="shared" si="102"/>
        <v>92.416056686597869</v>
      </c>
      <c r="AD339" s="14">
        <f t="shared" si="103"/>
        <v>0.83735941521429991</v>
      </c>
      <c r="AE339" s="14">
        <f t="shared" si="104"/>
        <v>5.1485268349079591</v>
      </c>
      <c r="AF339" s="13" t="str">
        <f>IF(AD339&gt;=Assumptions!$B$3,"OK","Review")</f>
        <v>OK</v>
      </c>
      <c r="AG339" s="13">
        <f>IFERROR(IF(Assumptions!$B$13="Cost Price",AB339,AA339)*SUMIF(Assumptions!$A$6:$A$10,X339,Assumptions!$B$6:$B$10),0)</f>
        <v>8.8292845349278295</v>
      </c>
      <c r="AH339" s="13">
        <f>IFERROR(IF(Assumptions!$B$13="Cost Price",AB339,AA339)*SUMIF(Assumptions!$A$6:$A$10,X339,Assumptions!$C$6:$C$10),0)</f>
        <v>5.5183028343298943</v>
      </c>
      <c r="AI339" s="13">
        <f>IFERROR(IF(Assumptions!$B$13="Cost Price",AB339,AA339)*SUMIF(Assumptions!$A$6:$A$10,X339,Assumptions!$D$6:$D$10),0)</f>
        <v>11.036605668659789</v>
      </c>
      <c r="AJ339" s="13">
        <v>16.483182434019184</v>
      </c>
      <c r="AK339" s="13">
        <f t="shared" si="105"/>
        <v>41.867375471936697</v>
      </c>
      <c r="AL339" s="14">
        <v>0.33</v>
      </c>
      <c r="AM339" s="13">
        <f t="shared" si="106"/>
        <v>50.548681214661173</v>
      </c>
      <c r="AN339" s="14">
        <f t="shared" si="107"/>
        <v>0.45800930768236348</v>
      </c>
      <c r="AO339" t="str">
        <f>IF(AN339&gt;=Assumptions!$B$3,"OK","Review")</f>
        <v>OK</v>
      </c>
    </row>
    <row r="340" spans="1:41" ht="15" customHeight="1">
      <c r="A340" s="9" t="s">
        <v>256</v>
      </c>
      <c r="B340" s="9" t="s">
        <v>39</v>
      </c>
      <c r="C340" s="9" t="s">
        <v>71</v>
      </c>
      <c r="D340" s="9" t="s">
        <v>149</v>
      </c>
      <c r="E340" s="9" t="s">
        <v>73</v>
      </c>
      <c r="F340" s="9" t="s">
        <v>74</v>
      </c>
      <c r="G340" s="9" t="s">
        <v>24</v>
      </c>
      <c r="H340" s="9" t="s">
        <v>84</v>
      </c>
      <c r="I340" s="9">
        <v>4000011815</v>
      </c>
      <c r="J340" s="10">
        <v>46.24</v>
      </c>
      <c r="K340" s="10"/>
      <c r="L340" s="10">
        <f t="shared" si="90"/>
        <v>46.24</v>
      </c>
      <c r="M340" s="11">
        <v>0</v>
      </c>
      <c r="N340" s="10">
        <f t="shared" si="91"/>
        <v>0</v>
      </c>
      <c r="O340" s="10">
        <f t="shared" si="92"/>
        <v>46.24</v>
      </c>
      <c r="P340" s="11">
        <f t="shared" si="93"/>
        <v>8.3530538143324243E-2</v>
      </c>
      <c r="Q340" s="10">
        <f t="shared" si="94"/>
        <v>553.57000000000005</v>
      </c>
      <c r="R340" s="10">
        <f t="shared" si="95"/>
        <v>3403.6399999999994</v>
      </c>
      <c r="S340" s="10">
        <f t="shared" si="96"/>
        <v>284.30788084614409</v>
      </c>
      <c r="T340" s="9" t="s">
        <v>76</v>
      </c>
      <c r="U340" s="10">
        <v>5599</v>
      </c>
      <c r="V340" s="10">
        <f t="shared" si="97"/>
        <v>3919.2999999999997</v>
      </c>
      <c r="W340" s="166">
        <v>490110</v>
      </c>
      <c r="X340" s="12" t="s">
        <v>27</v>
      </c>
      <c r="Y340" s="12">
        <f t="shared" si="98"/>
        <v>284.30788084614409</v>
      </c>
      <c r="Z340" s="13">
        <f t="shared" si="99"/>
        <v>284.30788084614409</v>
      </c>
      <c r="AA340" s="13">
        <f t="shared" si="100"/>
        <v>284.30788084614409</v>
      </c>
      <c r="AB340" s="13">
        <f t="shared" si="101"/>
        <v>46.24</v>
      </c>
      <c r="AC340" s="13">
        <f t="shared" si="102"/>
        <v>238.06788084614408</v>
      </c>
      <c r="AD340" s="14">
        <f t="shared" si="103"/>
        <v>0.83735941521429991</v>
      </c>
      <c r="AE340" s="14">
        <f t="shared" si="104"/>
        <v>5.14852683490796</v>
      </c>
      <c r="AF340" s="13" t="str">
        <f>IF(AD340&gt;=Assumptions!$B$3,"OK","Review")</f>
        <v>OK</v>
      </c>
      <c r="AG340" s="13">
        <f>IFERROR(IF(Assumptions!$B$13="Cost Price",AB340,AA340)*SUMIF(Assumptions!$A$6:$A$10,X340,Assumptions!$B$6:$B$10),0)</f>
        <v>22.744630467691529</v>
      </c>
      <c r="AH340" s="13">
        <f>IFERROR(IF(Assumptions!$B$13="Cost Price",AB340,AA340)*SUMIF(Assumptions!$A$6:$A$10,X340,Assumptions!$C$6:$C$10),0)</f>
        <v>14.215394042307205</v>
      </c>
      <c r="AI340" s="13">
        <f>IFERROR(IF(Assumptions!$B$13="Cost Price",AB340,AA340)*SUMIF(Assumptions!$A$6:$A$10,X340,Assumptions!$D$6:$D$10),0)</f>
        <v>28.430788084614409</v>
      </c>
      <c r="AJ340" s="13">
        <v>42.461412576548589</v>
      </c>
      <c r="AK340" s="13">
        <f t="shared" si="105"/>
        <v>107.85222517116173</v>
      </c>
      <c r="AL340" s="14">
        <v>0.33</v>
      </c>
      <c r="AM340" s="13">
        <f t="shared" si="106"/>
        <v>130.21565567498234</v>
      </c>
      <c r="AN340" s="14">
        <f t="shared" si="107"/>
        <v>0.45800930768236348</v>
      </c>
      <c r="AO340" t="str">
        <f>IF(AN340&gt;=Assumptions!$B$3,"OK","Review")</f>
        <v>OK</v>
      </c>
    </row>
    <row r="341" spans="1:41" ht="15" customHeight="1">
      <c r="A341" s="9" t="s">
        <v>256</v>
      </c>
      <c r="B341" s="9" t="s">
        <v>39</v>
      </c>
      <c r="C341" s="9" t="s">
        <v>71</v>
      </c>
      <c r="D341" s="9" t="s">
        <v>150</v>
      </c>
      <c r="E341" s="9" t="s">
        <v>73</v>
      </c>
      <c r="F341" s="9" t="s">
        <v>74</v>
      </c>
      <c r="G341" s="9" t="s">
        <v>24</v>
      </c>
      <c r="H341" s="9" t="s">
        <v>84</v>
      </c>
      <c r="I341" s="9">
        <v>4000011817</v>
      </c>
      <c r="J341" s="10">
        <v>22.48</v>
      </c>
      <c r="K341" s="10"/>
      <c r="L341" s="10">
        <f t="shared" si="90"/>
        <v>22.48</v>
      </c>
      <c r="M341" s="11">
        <v>0</v>
      </c>
      <c r="N341" s="10">
        <f t="shared" si="91"/>
        <v>0</v>
      </c>
      <c r="O341" s="10">
        <f t="shared" si="92"/>
        <v>22.48</v>
      </c>
      <c r="P341" s="11">
        <f t="shared" si="93"/>
        <v>4.060913705583756E-2</v>
      </c>
      <c r="Q341" s="10">
        <f t="shared" si="94"/>
        <v>553.57000000000005</v>
      </c>
      <c r="R341" s="10">
        <f t="shared" si="95"/>
        <v>3403.6399999999994</v>
      </c>
      <c r="S341" s="10">
        <f t="shared" si="96"/>
        <v>138.21888324873092</v>
      </c>
      <c r="T341" s="9" t="s">
        <v>76</v>
      </c>
      <c r="U341" s="10">
        <v>5599</v>
      </c>
      <c r="V341" s="10">
        <f t="shared" si="97"/>
        <v>3919.2999999999997</v>
      </c>
      <c r="W341" s="166">
        <v>490110</v>
      </c>
      <c r="X341" s="12" t="s">
        <v>27</v>
      </c>
      <c r="Y341" s="12">
        <f t="shared" si="98"/>
        <v>138.21888324873092</v>
      </c>
      <c r="Z341" s="13">
        <f t="shared" si="99"/>
        <v>138.21888324873092</v>
      </c>
      <c r="AA341" s="13">
        <f t="shared" si="100"/>
        <v>138.21888324873092</v>
      </c>
      <c r="AB341" s="13">
        <f t="shared" si="101"/>
        <v>22.48</v>
      </c>
      <c r="AC341" s="13">
        <f t="shared" si="102"/>
        <v>115.73888324873091</v>
      </c>
      <c r="AD341" s="14">
        <f t="shared" si="103"/>
        <v>0.83735941521429991</v>
      </c>
      <c r="AE341" s="14">
        <f t="shared" si="104"/>
        <v>5.1485268349079591</v>
      </c>
      <c r="AF341" s="13" t="str">
        <f>IF(AD341&gt;=Assumptions!$B$3,"OK","Review")</f>
        <v>OK</v>
      </c>
      <c r="AG341" s="13">
        <f>IFERROR(IF(Assumptions!$B$13="Cost Price",AB341,AA341)*SUMIF(Assumptions!$A$6:$A$10,X341,Assumptions!$B$6:$B$10),0)</f>
        <v>11.057510659898474</v>
      </c>
      <c r="AH341" s="13">
        <f>IFERROR(IF(Assumptions!$B$13="Cost Price",AB341,AA341)*SUMIF(Assumptions!$A$6:$A$10,X341,Assumptions!$C$6:$C$10),0)</f>
        <v>6.9109441624365466</v>
      </c>
      <c r="AI341" s="13">
        <f>IFERROR(IF(Assumptions!$B$13="Cost Price",AB341,AA341)*SUMIF(Assumptions!$A$6:$A$10,X341,Assumptions!$D$6:$D$10),0)</f>
        <v>13.821888324873093</v>
      </c>
      <c r="AJ341" s="13">
        <v>20.643005076142131</v>
      </c>
      <c r="AK341" s="13">
        <f t="shared" si="105"/>
        <v>52.433348223350244</v>
      </c>
      <c r="AL341" s="14">
        <v>0.33</v>
      </c>
      <c r="AM341" s="13">
        <f t="shared" si="106"/>
        <v>63.305535025380671</v>
      </c>
      <c r="AN341" s="14">
        <f t="shared" si="107"/>
        <v>0.45800930768236348</v>
      </c>
      <c r="AO341" t="str">
        <f>IF(AN341&gt;=Assumptions!$B$3,"OK","Review")</f>
        <v>OK</v>
      </c>
    </row>
    <row r="342" spans="1:41" ht="15" customHeight="1">
      <c r="A342" s="9" t="s">
        <v>256</v>
      </c>
      <c r="B342" s="9" t="s">
        <v>39</v>
      </c>
      <c r="C342" s="9" t="s">
        <v>78</v>
      </c>
      <c r="D342" s="9" t="s">
        <v>151</v>
      </c>
      <c r="E342" s="9" t="s">
        <v>73</v>
      </c>
      <c r="F342" s="9" t="s">
        <v>81</v>
      </c>
      <c r="G342" s="9" t="s">
        <v>24</v>
      </c>
      <c r="H342" s="9" t="s">
        <v>84</v>
      </c>
      <c r="I342" s="9">
        <v>4000011818</v>
      </c>
      <c r="J342" s="10">
        <v>75.930000000000007</v>
      </c>
      <c r="K342" s="10"/>
      <c r="L342" s="10">
        <f t="shared" si="90"/>
        <v>75.930000000000007</v>
      </c>
      <c r="M342" s="11">
        <v>0</v>
      </c>
      <c r="N342" s="10">
        <f t="shared" si="91"/>
        <v>0</v>
      </c>
      <c r="O342" s="10">
        <f t="shared" si="92"/>
        <v>75.930000000000007</v>
      </c>
      <c r="P342" s="11">
        <f t="shared" si="93"/>
        <v>0.13716422493993533</v>
      </c>
      <c r="Q342" s="10">
        <f t="shared" si="94"/>
        <v>553.57000000000005</v>
      </c>
      <c r="R342" s="10">
        <f t="shared" si="95"/>
        <v>3403.6399999999994</v>
      </c>
      <c r="S342" s="10">
        <f t="shared" si="96"/>
        <v>466.8576425745614</v>
      </c>
      <c r="T342" s="9" t="s">
        <v>76</v>
      </c>
      <c r="U342" s="10">
        <v>5599</v>
      </c>
      <c r="V342" s="10">
        <f t="shared" si="97"/>
        <v>3919.2999999999997</v>
      </c>
      <c r="W342" s="166">
        <v>490110</v>
      </c>
      <c r="X342" s="12" t="s">
        <v>27</v>
      </c>
      <c r="Y342" s="12">
        <f t="shared" si="98"/>
        <v>466.8576425745614</v>
      </c>
      <c r="Z342" s="13">
        <f t="shared" si="99"/>
        <v>466.8576425745614</v>
      </c>
      <c r="AA342" s="13">
        <f t="shared" si="100"/>
        <v>466.8576425745614</v>
      </c>
      <c r="AB342" s="13">
        <f t="shared" si="101"/>
        <v>75.930000000000007</v>
      </c>
      <c r="AC342" s="13">
        <f t="shared" si="102"/>
        <v>390.92764257456139</v>
      </c>
      <c r="AD342" s="14">
        <f t="shared" si="103"/>
        <v>0.83735941521429991</v>
      </c>
      <c r="AE342" s="14">
        <f t="shared" si="104"/>
        <v>5.1485268349079591</v>
      </c>
      <c r="AF342" s="13" t="str">
        <f>IF(AD342&gt;=Assumptions!$B$3,"OK","Review")</f>
        <v>OK</v>
      </c>
      <c r="AG342" s="13">
        <f>IFERROR(IF(Assumptions!$B$13="Cost Price",AB342,AA342)*SUMIF(Assumptions!$A$6:$A$10,X342,Assumptions!$B$6:$B$10),0)</f>
        <v>37.34861140596491</v>
      </c>
      <c r="AH342" s="13">
        <f>IFERROR(IF(Assumptions!$B$13="Cost Price",AB342,AA342)*SUMIF(Assumptions!$A$6:$A$10,X342,Assumptions!$C$6:$C$10),0)</f>
        <v>23.342882128728071</v>
      </c>
      <c r="AI342" s="13">
        <f>IFERROR(IF(Assumptions!$B$13="Cost Price",AB342,AA342)*SUMIF(Assumptions!$A$6:$A$10,X342,Assumptions!$D$6:$D$10),0)</f>
        <v>46.685764257456142</v>
      </c>
      <c r="AJ342" s="13">
        <v>69.72523912061709</v>
      </c>
      <c r="AK342" s="13">
        <f t="shared" si="105"/>
        <v>177.10249691276621</v>
      </c>
      <c r="AL342" s="14">
        <v>0.33</v>
      </c>
      <c r="AM342" s="13">
        <f t="shared" si="106"/>
        <v>213.82514566179518</v>
      </c>
      <c r="AN342" s="14">
        <f t="shared" si="107"/>
        <v>0.45800930768236348</v>
      </c>
      <c r="AO342" t="str">
        <f>IF(AN342&gt;=Assumptions!$B$3,"OK","Review")</f>
        <v>OK</v>
      </c>
    </row>
    <row r="343" spans="1:41" ht="15" customHeight="1">
      <c r="A343" s="9" t="s">
        <v>256</v>
      </c>
      <c r="B343" s="9" t="s">
        <v>39</v>
      </c>
      <c r="C343" s="9" t="s">
        <v>78</v>
      </c>
      <c r="D343" s="9" t="s">
        <v>152</v>
      </c>
      <c r="E343" s="9" t="s">
        <v>73</v>
      </c>
      <c r="F343" s="9" t="s">
        <v>81</v>
      </c>
      <c r="G343" s="9" t="s">
        <v>24</v>
      </c>
      <c r="H343" s="9" t="s">
        <v>84</v>
      </c>
      <c r="I343" s="9">
        <v>4000011819</v>
      </c>
      <c r="J343" s="10">
        <v>19.16</v>
      </c>
      <c r="K343" s="10"/>
      <c r="L343" s="10">
        <f t="shared" si="90"/>
        <v>19.16</v>
      </c>
      <c r="M343" s="11">
        <v>0</v>
      </c>
      <c r="N343" s="10">
        <f t="shared" si="91"/>
        <v>0</v>
      </c>
      <c r="O343" s="10">
        <f t="shared" si="92"/>
        <v>19.16</v>
      </c>
      <c r="P343" s="11">
        <f t="shared" si="93"/>
        <v>3.4611702223747674E-2</v>
      </c>
      <c r="Q343" s="10">
        <f t="shared" si="94"/>
        <v>553.57000000000005</v>
      </c>
      <c r="R343" s="10">
        <f t="shared" si="95"/>
        <v>3403.6399999999994</v>
      </c>
      <c r="S343" s="10">
        <f t="shared" si="96"/>
        <v>117.80577415683652</v>
      </c>
      <c r="T343" s="9" t="s">
        <v>76</v>
      </c>
      <c r="U343" s="10">
        <v>5599</v>
      </c>
      <c r="V343" s="10">
        <f t="shared" si="97"/>
        <v>3919.2999999999997</v>
      </c>
      <c r="W343" s="166">
        <v>490110</v>
      </c>
      <c r="X343" s="12" t="s">
        <v>27</v>
      </c>
      <c r="Y343" s="12">
        <f t="shared" si="98"/>
        <v>117.80577415683652</v>
      </c>
      <c r="Z343" s="13">
        <f t="shared" si="99"/>
        <v>117.80577415683652</v>
      </c>
      <c r="AA343" s="13">
        <f t="shared" si="100"/>
        <v>117.80577415683652</v>
      </c>
      <c r="AB343" s="13">
        <f t="shared" si="101"/>
        <v>19.16</v>
      </c>
      <c r="AC343" s="13">
        <f t="shared" si="102"/>
        <v>98.645774156836524</v>
      </c>
      <c r="AD343" s="14">
        <f t="shared" si="103"/>
        <v>0.83735941521430002</v>
      </c>
      <c r="AE343" s="14">
        <f t="shared" si="104"/>
        <v>5.1485268349079609</v>
      </c>
      <c r="AF343" s="13" t="str">
        <f>IF(AD343&gt;=Assumptions!$B$3,"OK","Review")</f>
        <v>OK</v>
      </c>
      <c r="AG343" s="13">
        <f>IFERROR(IF(Assumptions!$B$13="Cost Price",AB343,AA343)*SUMIF(Assumptions!$A$6:$A$10,X343,Assumptions!$B$6:$B$10),0)</f>
        <v>9.4244619325469223</v>
      </c>
      <c r="AH343" s="13">
        <f>IFERROR(IF(Assumptions!$B$13="Cost Price",AB343,AA343)*SUMIF(Assumptions!$A$6:$A$10,X343,Assumptions!$C$6:$C$10),0)</f>
        <v>5.890288707841826</v>
      </c>
      <c r="AI343" s="13">
        <f>IFERROR(IF(Assumptions!$B$13="Cost Price",AB343,AA343)*SUMIF(Assumptions!$A$6:$A$10,X343,Assumptions!$D$6:$D$10),0)</f>
        <v>11.780577415683652</v>
      </c>
      <c r="AJ343" s="13">
        <v>17.594305038206553</v>
      </c>
      <c r="AK343" s="13">
        <f t="shared" si="105"/>
        <v>44.689633094278953</v>
      </c>
      <c r="AL343" s="14">
        <v>0.33</v>
      </c>
      <c r="AM343" s="13">
        <f t="shared" si="106"/>
        <v>53.95614106255757</v>
      </c>
      <c r="AN343" s="14">
        <f t="shared" si="107"/>
        <v>0.45800930768236353</v>
      </c>
      <c r="AO343" t="str">
        <f>IF(AN343&gt;=Assumptions!$B$3,"OK","Review")</f>
        <v>OK</v>
      </c>
    </row>
    <row r="344" spans="1:41" ht="15" customHeight="1">
      <c r="A344" s="9" t="s">
        <v>256</v>
      </c>
      <c r="B344" s="9" t="s">
        <v>39</v>
      </c>
      <c r="C344" s="9" t="s">
        <v>113</v>
      </c>
      <c r="D344" s="9" t="s">
        <v>153</v>
      </c>
      <c r="E344" s="9" t="s">
        <v>73</v>
      </c>
      <c r="F344" s="9" t="s">
        <v>74</v>
      </c>
      <c r="G344" s="9" t="s">
        <v>24</v>
      </c>
      <c r="H344" s="9" t="s">
        <v>84</v>
      </c>
      <c r="I344" s="9">
        <v>4000011740</v>
      </c>
      <c r="J344" s="10">
        <v>43.29</v>
      </c>
      <c r="K344" s="10"/>
      <c r="L344" s="10">
        <f t="shared" si="90"/>
        <v>43.29</v>
      </c>
      <c r="M344" s="11">
        <v>0</v>
      </c>
      <c r="N344" s="10">
        <f t="shared" si="91"/>
        <v>0</v>
      </c>
      <c r="O344" s="10">
        <f t="shared" si="92"/>
        <v>43.29</v>
      </c>
      <c r="P344" s="11">
        <f t="shared" si="93"/>
        <v>7.820149213288291E-2</v>
      </c>
      <c r="Q344" s="10">
        <f t="shared" si="94"/>
        <v>553.57000000000005</v>
      </c>
      <c r="R344" s="10">
        <f t="shared" si="95"/>
        <v>3403.6399999999994</v>
      </c>
      <c r="S344" s="10">
        <f t="shared" si="96"/>
        <v>266.16972668316555</v>
      </c>
      <c r="T344" s="9" t="s">
        <v>76</v>
      </c>
      <c r="U344" s="10">
        <v>5599</v>
      </c>
      <c r="V344" s="10">
        <f t="shared" si="97"/>
        <v>3919.2999999999997</v>
      </c>
      <c r="W344" s="166">
        <v>490110</v>
      </c>
      <c r="X344" s="12" t="s">
        <v>27</v>
      </c>
      <c r="Y344" s="12">
        <f t="shared" si="98"/>
        <v>266.16972668316555</v>
      </c>
      <c r="Z344" s="13">
        <f t="shared" si="99"/>
        <v>266.16972668316555</v>
      </c>
      <c r="AA344" s="13">
        <f t="shared" si="100"/>
        <v>266.16972668316555</v>
      </c>
      <c r="AB344" s="13">
        <f t="shared" si="101"/>
        <v>43.29</v>
      </c>
      <c r="AC344" s="13">
        <f t="shared" si="102"/>
        <v>222.87972668316556</v>
      </c>
      <c r="AD344" s="14">
        <f t="shared" si="103"/>
        <v>0.83735941521430002</v>
      </c>
      <c r="AE344" s="14">
        <f t="shared" si="104"/>
        <v>5.1485268349079591</v>
      </c>
      <c r="AF344" s="13" t="str">
        <f>IF(AD344&gt;=Assumptions!$B$3,"OK","Review")</f>
        <v>OK</v>
      </c>
      <c r="AG344" s="13">
        <f>IFERROR(IF(Assumptions!$B$13="Cost Price",AB344,AA344)*SUMIF(Assumptions!$A$6:$A$10,X344,Assumptions!$B$6:$B$10),0)</f>
        <v>21.293578134653245</v>
      </c>
      <c r="AH344" s="13">
        <f>IFERROR(IF(Assumptions!$B$13="Cost Price",AB344,AA344)*SUMIF(Assumptions!$A$6:$A$10,X344,Assumptions!$C$6:$C$10),0)</f>
        <v>13.308486334158278</v>
      </c>
      <c r="AI344" s="13">
        <f>IFERROR(IF(Assumptions!$B$13="Cost Price",AB344,AA344)*SUMIF(Assumptions!$A$6:$A$10,X344,Assumptions!$D$6:$D$10),0)</f>
        <v>26.616972668316556</v>
      </c>
      <c r="AJ344" s="13">
        <v>39.752477301876908</v>
      </c>
      <c r="AK344" s="13">
        <f t="shared" si="105"/>
        <v>100.97151443900498</v>
      </c>
      <c r="AL344" s="14">
        <v>0.33</v>
      </c>
      <c r="AM344" s="13">
        <f t="shared" si="106"/>
        <v>121.90821224416058</v>
      </c>
      <c r="AN344" s="14">
        <f t="shared" si="107"/>
        <v>0.45800930768236353</v>
      </c>
      <c r="AO344" t="str">
        <f>IF(AN344&gt;=Assumptions!$B$3,"OK","Review")</f>
        <v>OK</v>
      </c>
    </row>
    <row r="345" spans="1:41" ht="15" customHeight="1">
      <c r="A345" s="9" t="s">
        <v>256</v>
      </c>
      <c r="B345" s="9" t="s">
        <v>39</v>
      </c>
      <c r="C345" s="9" t="s">
        <v>243</v>
      </c>
      <c r="D345" s="9" t="s">
        <v>248</v>
      </c>
      <c r="E345" s="9" t="s">
        <v>73</v>
      </c>
      <c r="F345" s="9" t="s">
        <v>90</v>
      </c>
      <c r="G345" s="9" t="s">
        <v>24</v>
      </c>
      <c r="H345" s="9" t="s">
        <v>75</v>
      </c>
      <c r="I345" s="9">
        <v>7000001005</v>
      </c>
      <c r="J345" s="10">
        <v>112.5</v>
      </c>
      <c r="K345" s="10">
        <v>10</v>
      </c>
      <c r="L345" s="10">
        <f t="shared" si="90"/>
        <v>122.5</v>
      </c>
      <c r="M345" s="11">
        <v>0.18</v>
      </c>
      <c r="N345" s="10">
        <f t="shared" si="91"/>
        <v>22.05</v>
      </c>
      <c r="O345" s="10">
        <f t="shared" si="92"/>
        <v>144.55000000000001</v>
      </c>
      <c r="P345" s="11">
        <f t="shared" si="93"/>
        <v>0.5606407322654462</v>
      </c>
      <c r="Q345" s="10">
        <f t="shared" si="94"/>
        <v>257.83000000000004</v>
      </c>
      <c r="R345" s="10">
        <f t="shared" si="95"/>
        <v>3403.6399999999994</v>
      </c>
      <c r="S345" s="10">
        <f t="shared" si="96"/>
        <v>144.55000000000001</v>
      </c>
      <c r="T345" s="9" t="s">
        <v>91</v>
      </c>
      <c r="U345" s="10">
        <v>5599</v>
      </c>
      <c r="V345" s="10">
        <f t="shared" si="97"/>
        <v>3919.2999999999997</v>
      </c>
      <c r="W345" s="166">
        <v>49119990</v>
      </c>
      <c r="X345" s="12" t="s">
        <v>27</v>
      </c>
      <c r="Y345" s="12">
        <f t="shared" si="98"/>
        <v>144.55000000000001</v>
      </c>
      <c r="Z345" s="13">
        <f t="shared" si="99"/>
        <v>144.55000000000001</v>
      </c>
      <c r="AA345" s="13">
        <f t="shared" si="100"/>
        <v>122.50000000000001</v>
      </c>
      <c r="AB345" s="13">
        <f t="shared" si="101"/>
        <v>112.5</v>
      </c>
      <c r="AC345" s="13">
        <f t="shared" si="102"/>
        <v>10.000000000000014</v>
      </c>
      <c r="AD345" s="14">
        <f t="shared" si="103"/>
        <v>8.1632653061224594E-2</v>
      </c>
      <c r="AE345" s="14">
        <f t="shared" si="104"/>
        <v>8.8888888888889017E-2</v>
      </c>
      <c r="AF345" s="13" t="str">
        <f>IF(AD345&gt;=Assumptions!$B$3,"OK","Review")</f>
        <v>Review</v>
      </c>
      <c r="AG345" s="13">
        <f>IFERROR(IF(Assumptions!$B$13="Cost Price",AB345,AA345)*SUMIF(Assumptions!$A$6:$A$10,X345,Assumptions!$B$6:$B$10),0)</f>
        <v>9.8000000000000007</v>
      </c>
      <c r="AH345" s="13">
        <f>IFERROR(IF(Assumptions!$B$13="Cost Price",AB345,AA345)*SUMIF(Assumptions!$A$6:$A$10,X345,Assumptions!$C$6:$C$10),0)</f>
        <v>6.1250000000000009</v>
      </c>
      <c r="AI345" s="13">
        <f>IFERROR(IF(Assumptions!$B$13="Cost Price",AB345,AA345)*SUMIF(Assumptions!$A$6:$A$10,X345,Assumptions!$D$6:$D$10),0)</f>
        <v>12.250000000000002</v>
      </c>
      <c r="AJ345" s="13">
        <v>12.250000000000002</v>
      </c>
      <c r="AK345" s="13">
        <f t="shared" si="105"/>
        <v>40.425000000000004</v>
      </c>
      <c r="AL345" s="14">
        <v>0.33</v>
      </c>
      <c r="AM345" s="13">
        <f t="shared" si="106"/>
        <v>-30.42499999999999</v>
      </c>
      <c r="AN345" s="14">
        <f t="shared" si="107"/>
        <v>-0.24836734693877541</v>
      </c>
      <c r="AO345" t="str">
        <f>IF(AN345&gt;=Assumptions!$B$3,"OK","Review")</f>
        <v>Review</v>
      </c>
    </row>
    <row r="346" spans="1:41" ht="15" customHeight="1">
      <c r="A346" s="9" t="s">
        <v>256</v>
      </c>
      <c r="B346" s="9" t="s">
        <v>39</v>
      </c>
      <c r="C346" s="9" t="s">
        <v>92</v>
      </c>
      <c r="D346" s="9" t="s">
        <v>93</v>
      </c>
      <c r="E346" s="9" t="s">
        <v>73</v>
      </c>
      <c r="F346" s="9" t="s">
        <v>94</v>
      </c>
      <c r="G346" s="9" t="s">
        <v>24</v>
      </c>
      <c r="H346" s="9" t="s">
        <v>75</v>
      </c>
      <c r="I346" s="9">
        <v>8400007</v>
      </c>
      <c r="J346" s="10">
        <v>96</v>
      </c>
      <c r="K346" s="10"/>
      <c r="L346" s="10">
        <f t="shared" si="90"/>
        <v>96</v>
      </c>
      <c r="M346" s="11">
        <v>0.18</v>
      </c>
      <c r="N346" s="10">
        <f t="shared" si="91"/>
        <v>17.28</v>
      </c>
      <c r="O346" s="10">
        <f t="shared" si="92"/>
        <v>113.28</v>
      </c>
      <c r="P346" s="11">
        <f t="shared" si="93"/>
        <v>0.43935926773455369</v>
      </c>
      <c r="Q346" s="10">
        <f t="shared" si="94"/>
        <v>257.83000000000004</v>
      </c>
      <c r="R346" s="10">
        <f t="shared" si="95"/>
        <v>3403.6399999999994</v>
      </c>
      <c r="S346" s="10">
        <f t="shared" si="96"/>
        <v>113.28</v>
      </c>
      <c r="T346" s="9" t="s">
        <v>91</v>
      </c>
      <c r="U346" s="10">
        <v>5599</v>
      </c>
      <c r="V346" s="10">
        <f t="shared" si="97"/>
        <v>3919.2999999999997</v>
      </c>
      <c r="W346" s="166">
        <v>999299</v>
      </c>
      <c r="X346" s="12" t="s">
        <v>27</v>
      </c>
      <c r="Y346" s="12">
        <f t="shared" si="98"/>
        <v>113.28</v>
      </c>
      <c r="Z346" s="13">
        <f t="shared" si="99"/>
        <v>113.28</v>
      </c>
      <c r="AA346" s="13">
        <f t="shared" si="100"/>
        <v>96</v>
      </c>
      <c r="AB346" s="13">
        <f t="shared" si="101"/>
        <v>96</v>
      </c>
      <c r="AC346" s="13">
        <f t="shared" si="102"/>
        <v>0</v>
      </c>
      <c r="AD346" s="14">
        <f t="shared" si="103"/>
        <v>0</v>
      </c>
      <c r="AE346" s="14">
        <f t="shared" si="104"/>
        <v>0</v>
      </c>
      <c r="AF346" s="13" t="str">
        <f>IF(AD346&gt;=Assumptions!$B$3,"OK","Review")</f>
        <v>Review</v>
      </c>
      <c r="AG346" s="13">
        <f>IFERROR(IF(Assumptions!$B$13="Cost Price",AB346,AA346)*SUMIF(Assumptions!$A$6:$A$10,X346,Assumptions!$B$6:$B$10),0)</f>
        <v>7.68</v>
      </c>
      <c r="AH346" s="13">
        <f>IFERROR(IF(Assumptions!$B$13="Cost Price",AB346,AA346)*SUMIF(Assumptions!$A$6:$A$10,X346,Assumptions!$C$6:$C$10),0)</f>
        <v>4.8000000000000007</v>
      </c>
      <c r="AI346" s="13">
        <f>IFERROR(IF(Assumptions!$B$13="Cost Price",AB346,AA346)*SUMIF(Assumptions!$A$6:$A$10,X346,Assumptions!$D$6:$D$10),0)</f>
        <v>9.6000000000000014</v>
      </c>
      <c r="AJ346" s="13">
        <v>9.6000000000000014</v>
      </c>
      <c r="AK346" s="13">
        <f t="shared" si="105"/>
        <v>31.680000000000003</v>
      </c>
      <c r="AL346" s="14">
        <v>0.33</v>
      </c>
      <c r="AM346" s="13">
        <f t="shared" si="106"/>
        <v>-31.680000000000003</v>
      </c>
      <c r="AN346" s="14">
        <f t="shared" si="107"/>
        <v>-0.33</v>
      </c>
      <c r="AO346" t="str">
        <f>IF(AN346&gt;=Assumptions!$B$3,"OK","Review")</f>
        <v>Review</v>
      </c>
    </row>
    <row r="347" spans="1:41" ht="15" customHeight="1">
      <c r="A347" s="9" t="s">
        <v>256</v>
      </c>
      <c r="B347" s="9" t="s">
        <v>40</v>
      </c>
      <c r="C347" s="9" t="s">
        <v>105</v>
      </c>
      <c r="D347" s="9" t="s">
        <v>155</v>
      </c>
      <c r="E347" s="9" t="s">
        <v>73</v>
      </c>
      <c r="F347" s="9" t="s">
        <v>81</v>
      </c>
      <c r="G347" s="9" t="s">
        <v>24</v>
      </c>
      <c r="H347" s="9" t="s">
        <v>75</v>
      </c>
      <c r="I347" s="9">
        <v>4000011741</v>
      </c>
      <c r="J347" s="10">
        <v>52.4</v>
      </c>
      <c r="K347" s="10"/>
      <c r="L347" s="10">
        <f t="shared" si="90"/>
        <v>52.4</v>
      </c>
      <c r="M347" s="11">
        <v>0</v>
      </c>
      <c r="N347" s="10">
        <f t="shared" si="91"/>
        <v>0</v>
      </c>
      <c r="O347" s="10">
        <f t="shared" si="92"/>
        <v>52.4</v>
      </c>
      <c r="P347" s="11">
        <f t="shared" si="93"/>
        <v>9.349963420944632E-2</v>
      </c>
      <c r="Q347" s="10">
        <f t="shared" si="94"/>
        <v>560.42999999999995</v>
      </c>
      <c r="R347" s="10">
        <f t="shared" si="95"/>
        <v>3441.308</v>
      </c>
      <c r="S347" s="10">
        <f t="shared" si="96"/>
        <v>321.76103920204127</v>
      </c>
      <c r="T347" s="9" t="s">
        <v>76</v>
      </c>
      <c r="U347" s="10">
        <v>5699</v>
      </c>
      <c r="V347" s="10">
        <f t="shared" si="97"/>
        <v>3989.2999999999997</v>
      </c>
      <c r="W347" s="166">
        <v>490110</v>
      </c>
      <c r="X347" s="12" t="s">
        <v>27</v>
      </c>
      <c r="Y347" s="12">
        <f t="shared" si="98"/>
        <v>321.76103920204127</v>
      </c>
      <c r="Z347" s="13">
        <f t="shared" si="99"/>
        <v>321.76103920204127</v>
      </c>
      <c r="AA347" s="13">
        <f t="shared" si="100"/>
        <v>321.76103920204127</v>
      </c>
      <c r="AB347" s="13">
        <f t="shared" si="101"/>
        <v>52.4</v>
      </c>
      <c r="AC347" s="13">
        <f t="shared" si="102"/>
        <v>269.3610392020413</v>
      </c>
      <c r="AD347" s="14">
        <f t="shared" si="103"/>
        <v>0.83714622463319188</v>
      </c>
      <c r="AE347" s="14">
        <f t="shared" si="104"/>
        <v>5.1404778473672001</v>
      </c>
      <c r="AF347" s="13" t="str">
        <f>IF(AD347&gt;=Assumptions!$B$3,"OK","Review")</f>
        <v>OK</v>
      </c>
      <c r="AG347" s="13">
        <f>IFERROR(IF(Assumptions!$B$13="Cost Price",AB347,AA347)*SUMIF(Assumptions!$A$6:$A$10,X347,Assumptions!$B$6:$B$10),0)</f>
        <v>25.740883136163301</v>
      </c>
      <c r="AH347" s="13">
        <f>IFERROR(IF(Assumptions!$B$13="Cost Price",AB347,AA347)*SUMIF(Assumptions!$A$6:$A$10,X347,Assumptions!$C$6:$C$10),0)</f>
        <v>16.088051960102064</v>
      </c>
      <c r="AI347" s="13">
        <f>IFERROR(IF(Assumptions!$B$13="Cost Price",AB347,AA347)*SUMIF(Assumptions!$A$6:$A$10,X347,Assumptions!$D$6:$D$10),0)</f>
        <v>32.176103920204127</v>
      </c>
      <c r="AJ347" s="13">
        <v>48.161736380993169</v>
      </c>
      <c r="AK347" s="13">
        <f t="shared" si="105"/>
        <v>122.16677539746266</v>
      </c>
      <c r="AL347" s="14">
        <v>0.33</v>
      </c>
      <c r="AM347" s="13">
        <f t="shared" si="106"/>
        <v>147.19426380457864</v>
      </c>
      <c r="AN347" s="14">
        <f t="shared" si="107"/>
        <v>0.45746453383422819</v>
      </c>
      <c r="AO347" t="str">
        <f>IF(AN347&gt;=Assumptions!$B$3,"OK","Review")</f>
        <v>OK</v>
      </c>
    </row>
    <row r="348" spans="1:41" ht="15" customHeight="1">
      <c r="A348" s="9" t="s">
        <v>256</v>
      </c>
      <c r="B348" s="9" t="s">
        <v>40</v>
      </c>
      <c r="C348" s="9" t="s">
        <v>105</v>
      </c>
      <c r="D348" s="9" t="s">
        <v>156</v>
      </c>
      <c r="E348" s="9" t="s">
        <v>73</v>
      </c>
      <c r="F348" s="9" t="s">
        <v>81</v>
      </c>
      <c r="G348" s="9" t="s">
        <v>24</v>
      </c>
      <c r="H348" s="9" t="s">
        <v>75</v>
      </c>
      <c r="I348" s="9">
        <v>4000011742</v>
      </c>
      <c r="J348" s="10">
        <v>21.96</v>
      </c>
      <c r="K348" s="10"/>
      <c r="L348" s="10">
        <f t="shared" si="90"/>
        <v>21.96</v>
      </c>
      <c r="M348" s="11">
        <v>0</v>
      </c>
      <c r="N348" s="10">
        <f t="shared" si="91"/>
        <v>0</v>
      </c>
      <c r="O348" s="10">
        <f t="shared" si="92"/>
        <v>21.96</v>
      </c>
      <c r="P348" s="11">
        <f t="shared" si="93"/>
        <v>3.9184197848080943E-2</v>
      </c>
      <c r="Q348" s="10">
        <f t="shared" si="94"/>
        <v>560.42999999999995</v>
      </c>
      <c r="R348" s="10">
        <f t="shared" si="95"/>
        <v>3441.308</v>
      </c>
      <c r="S348" s="10">
        <f t="shared" si="96"/>
        <v>134.84489352818375</v>
      </c>
      <c r="T348" s="9" t="s">
        <v>76</v>
      </c>
      <c r="U348" s="10">
        <v>5699</v>
      </c>
      <c r="V348" s="10">
        <f t="shared" si="97"/>
        <v>3989.2999999999997</v>
      </c>
      <c r="W348" s="166">
        <v>490110</v>
      </c>
      <c r="X348" s="12" t="s">
        <v>27</v>
      </c>
      <c r="Y348" s="12">
        <f t="shared" si="98"/>
        <v>134.84489352818375</v>
      </c>
      <c r="Z348" s="13">
        <f t="shared" si="99"/>
        <v>134.84489352818375</v>
      </c>
      <c r="AA348" s="13">
        <f t="shared" si="100"/>
        <v>134.84489352818375</v>
      </c>
      <c r="AB348" s="13">
        <f t="shared" si="101"/>
        <v>21.96</v>
      </c>
      <c r="AC348" s="13">
        <f t="shared" si="102"/>
        <v>112.88489352818374</v>
      </c>
      <c r="AD348" s="14">
        <f t="shared" si="103"/>
        <v>0.83714622463319177</v>
      </c>
      <c r="AE348" s="14">
        <f t="shared" si="104"/>
        <v>5.140477847367201</v>
      </c>
      <c r="AF348" s="13" t="str">
        <f>IF(AD348&gt;=Assumptions!$B$3,"OK","Review")</f>
        <v>OK</v>
      </c>
      <c r="AG348" s="13">
        <f>IFERROR(IF(Assumptions!$B$13="Cost Price",AB348,AA348)*SUMIF(Assumptions!$A$6:$A$10,X348,Assumptions!$B$6:$B$10),0)</f>
        <v>10.787591482254699</v>
      </c>
      <c r="AH348" s="13">
        <f>IFERROR(IF(Assumptions!$B$13="Cost Price",AB348,AA348)*SUMIF(Assumptions!$A$6:$A$10,X348,Assumptions!$C$6:$C$10),0)</f>
        <v>6.7422446764091877</v>
      </c>
      <c r="AI348" s="13">
        <f>IFERROR(IF(Assumptions!$B$13="Cost Price",AB348,AA348)*SUMIF(Assumptions!$A$6:$A$10,X348,Assumptions!$D$6:$D$10),0)</f>
        <v>13.484489352818375</v>
      </c>
      <c r="AJ348" s="13">
        <v>20.183811658904773</v>
      </c>
      <c r="AK348" s="13">
        <f t="shared" si="105"/>
        <v>51.198137170387035</v>
      </c>
      <c r="AL348" s="14">
        <v>0.33</v>
      </c>
      <c r="AM348" s="13">
        <f t="shared" si="106"/>
        <v>61.686756357796703</v>
      </c>
      <c r="AN348" s="14">
        <f t="shared" si="107"/>
        <v>0.45746453383422814</v>
      </c>
      <c r="AO348" t="str">
        <f>IF(AN348&gt;=Assumptions!$B$3,"OK","Review")</f>
        <v>OK</v>
      </c>
    </row>
    <row r="349" spans="1:41" ht="15" customHeight="1">
      <c r="A349" s="9" t="s">
        <v>256</v>
      </c>
      <c r="B349" s="9" t="s">
        <v>40</v>
      </c>
      <c r="C349" s="9" t="s">
        <v>71</v>
      </c>
      <c r="D349" s="9" t="s">
        <v>157</v>
      </c>
      <c r="E349" s="9" t="s">
        <v>73</v>
      </c>
      <c r="F349" s="9" t="s">
        <v>74</v>
      </c>
      <c r="G349" s="9" t="s">
        <v>24</v>
      </c>
      <c r="H349" s="9" t="s">
        <v>75</v>
      </c>
      <c r="I349" s="9">
        <v>4000011743</v>
      </c>
      <c r="J349" s="10">
        <v>54.96</v>
      </c>
      <c r="K349" s="10"/>
      <c r="L349" s="10">
        <f t="shared" si="90"/>
        <v>54.96</v>
      </c>
      <c r="M349" s="11">
        <v>0</v>
      </c>
      <c r="N349" s="10">
        <f t="shared" si="91"/>
        <v>0</v>
      </c>
      <c r="O349" s="10">
        <f t="shared" si="92"/>
        <v>54.96</v>
      </c>
      <c r="P349" s="11">
        <f t="shared" si="93"/>
        <v>9.8067555270060502E-2</v>
      </c>
      <c r="Q349" s="10">
        <f t="shared" si="94"/>
        <v>560.42999999999995</v>
      </c>
      <c r="R349" s="10">
        <f t="shared" si="95"/>
        <v>3441.308</v>
      </c>
      <c r="S349" s="10">
        <f t="shared" si="96"/>
        <v>337.48066249130136</v>
      </c>
      <c r="T349" s="9" t="s">
        <v>76</v>
      </c>
      <c r="U349" s="10">
        <v>5699</v>
      </c>
      <c r="V349" s="10">
        <f t="shared" si="97"/>
        <v>3989.2999999999997</v>
      </c>
      <c r="W349" s="166">
        <v>490110</v>
      </c>
      <c r="X349" s="12" t="s">
        <v>27</v>
      </c>
      <c r="Y349" s="12">
        <f t="shared" si="98"/>
        <v>337.48066249130136</v>
      </c>
      <c r="Z349" s="13">
        <f t="shared" si="99"/>
        <v>337.48066249130136</v>
      </c>
      <c r="AA349" s="13">
        <f t="shared" si="100"/>
        <v>337.48066249130136</v>
      </c>
      <c r="AB349" s="13">
        <f t="shared" si="101"/>
        <v>54.96</v>
      </c>
      <c r="AC349" s="13">
        <f t="shared" si="102"/>
        <v>282.52066249130138</v>
      </c>
      <c r="AD349" s="14">
        <f t="shared" si="103"/>
        <v>0.83714622463319188</v>
      </c>
      <c r="AE349" s="14">
        <f t="shared" si="104"/>
        <v>5.140477847367201</v>
      </c>
      <c r="AF349" s="13" t="str">
        <f>IF(AD349&gt;=Assumptions!$B$3,"OK","Review")</f>
        <v>OK</v>
      </c>
      <c r="AG349" s="13">
        <f>IFERROR(IF(Assumptions!$B$13="Cost Price",AB349,AA349)*SUMIF(Assumptions!$A$6:$A$10,X349,Assumptions!$B$6:$B$10),0)</f>
        <v>26.99845299930411</v>
      </c>
      <c r="AH349" s="13">
        <f>IFERROR(IF(Assumptions!$B$13="Cost Price",AB349,AA349)*SUMIF(Assumptions!$A$6:$A$10,X349,Assumptions!$C$6:$C$10),0)</f>
        <v>16.87403312456507</v>
      </c>
      <c r="AI349" s="13">
        <f>IFERROR(IF(Assumptions!$B$13="Cost Price",AB349,AA349)*SUMIF(Assumptions!$A$6:$A$10,X349,Assumptions!$D$6:$D$10),0)</f>
        <v>33.74806624913014</v>
      </c>
      <c r="AJ349" s="13">
        <v>50.514676173652383</v>
      </c>
      <c r="AK349" s="13">
        <f t="shared" si="105"/>
        <v>128.13522854665172</v>
      </c>
      <c r="AL349" s="14">
        <v>0.33</v>
      </c>
      <c r="AM349" s="13">
        <f t="shared" si="106"/>
        <v>154.38543394464966</v>
      </c>
      <c r="AN349" s="14">
        <f t="shared" si="107"/>
        <v>0.45746453383422814</v>
      </c>
      <c r="AO349" t="str">
        <f>IF(AN349&gt;=Assumptions!$B$3,"OK","Review")</f>
        <v>OK</v>
      </c>
    </row>
    <row r="350" spans="1:41" ht="15" customHeight="1">
      <c r="A350" s="9" t="s">
        <v>256</v>
      </c>
      <c r="B350" s="9" t="s">
        <v>40</v>
      </c>
      <c r="C350" s="9" t="s">
        <v>78</v>
      </c>
      <c r="D350" s="9" t="s">
        <v>158</v>
      </c>
      <c r="E350" s="9" t="s">
        <v>73</v>
      </c>
      <c r="F350" s="9" t="s">
        <v>74</v>
      </c>
      <c r="G350" s="9" t="s">
        <v>24</v>
      </c>
      <c r="H350" s="9" t="s">
        <v>75</v>
      </c>
      <c r="I350" s="9">
        <v>4000011745</v>
      </c>
      <c r="J350" s="10">
        <v>19.91</v>
      </c>
      <c r="K350" s="10"/>
      <c r="L350" s="10">
        <f t="shared" si="90"/>
        <v>19.91</v>
      </c>
      <c r="M350" s="11">
        <v>0</v>
      </c>
      <c r="N350" s="10">
        <f t="shared" si="91"/>
        <v>0</v>
      </c>
      <c r="O350" s="10">
        <f t="shared" si="92"/>
        <v>19.91</v>
      </c>
      <c r="P350" s="11">
        <f t="shared" si="93"/>
        <v>3.5526292311260997E-2</v>
      </c>
      <c r="Q350" s="10">
        <f t="shared" si="94"/>
        <v>560.42999999999995</v>
      </c>
      <c r="R350" s="10">
        <f t="shared" si="95"/>
        <v>3441.308</v>
      </c>
      <c r="S350" s="10">
        <f t="shared" si="96"/>
        <v>122.25691394108095</v>
      </c>
      <c r="T350" s="9" t="s">
        <v>76</v>
      </c>
      <c r="U350" s="10">
        <v>5699</v>
      </c>
      <c r="V350" s="10">
        <f t="shared" si="97"/>
        <v>3989.2999999999997</v>
      </c>
      <c r="W350" s="166">
        <v>490110</v>
      </c>
      <c r="X350" s="12" t="s">
        <v>27</v>
      </c>
      <c r="Y350" s="12">
        <f t="shared" si="98"/>
        <v>122.25691394108095</v>
      </c>
      <c r="Z350" s="13">
        <f t="shared" si="99"/>
        <v>122.25691394108095</v>
      </c>
      <c r="AA350" s="13">
        <f t="shared" si="100"/>
        <v>122.25691394108095</v>
      </c>
      <c r="AB350" s="13">
        <f t="shared" si="101"/>
        <v>19.91</v>
      </c>
      <c r="AC350" s="13">
        <f t="shared" si="102"/>
        <v>102.34691394108096</v>
      </c>
      <c r="AD350" s="14">
        <f t="shared" si="103"/>
        <v>0.83714622463319177</v>
      </c>
      <c r="AE350" s="14">
        <f t="shared" si="104"/>
        <v>5.1404778473672001</v>
      </c>
      <c r="AF350" s="13" t="str">
        <f>IF(AD350&gt;=Assumptions!$B$3,"OK","Review")</f>
        <v>OK</v>
      </c>
      <c r="AG350" s="13">
        <f>IFERROR(IF(Assumptions!$B$13="Cost Price",AB350,AA350)*SUMIF(Assumptions!$A$6:$A$10,X350,Assumptions!$B$6:$B$10),0)</f>
        <v>9.7805531152864766</v>
      </c>
      <c r="AH350" s="13">
        <f>IFERROR(IF(Assumptions!$B$13="Cost Price",AB350,AA350)*SUMIF(Assumptions!$A$6:$A$10,X350,Assumptions!$C$6:$C$10),0)</f>
        <v>6.1128456970540483</v>
      </c>
      <c r="AI350" s="13">
        <f>IFERROR(IF(Assumptions!$B$13="Cost Price",AB350,AA350)*SUMIF(Assumptions!$A$6:$A$10,X350,Assumptions!$D$6:$D$10),0)</f>
        <v>12.225691394108097</v>
      </c>
      <c r="AJ350" s="13">
        <v>18.299621590564389</v>
      </c>
      <c r="AK350" s="13">
        <f t="shared" si="105"/>
        <v>46.41871179701301</v>
      </c>
      <c r="AL350" s="14">
        <v>0.33</v>
      </c>
      <c r="AM350" s="13">
        <f t="shared" si="106"/>
        <v>55.928202144067946</v>
      </c>
      <c r="AN350" s="14">
        <f t="shared" si="107"/>
        <v>0.45746453383422814</v>
      </c>
      <c r="AO350" t="str">
        <f>IF(AN350&gt;=Assumptions!$B$3,"OK","Review")</f>
        <v>OK</v>
      </c>
    </row>
    <row r="351" spans="1:41" ht="15" customHeight="1">
      <c r="A351" s="9" t="s">
        <v>256</v>
      </c>
      <c r="B351" s="9" t="s">
        <v>40</v>
      </c>
      <c r="C351" s="9" t="s">
        <v>78</v>
      </c>
      <c r="D351" s="9" t="s">
        <v>159</v>
      </c>
      <c r="E351" s="9" t="s">
        <v>73</v>
      </c>
      <c r="F351" s="9" t="s">
        <v>74</v>
      </c>
      <c r="G351" s="9" t="s">
        <v>24</v>
      </c>
      <c r="H351" s="9" t="s">
        <v>75</v>
      </c>
      <c r="I351" s="9">
        <v>4000011744</v>
      </c>
      <c r="J351" s="10">
        <v>57.51</v>
      </c>
      <c r="K351" s="10"/>
      <c r="L351" s="10">
        <f t="shared" si="90"/>
        <v>57.51</v>
      </c>
      <c r="M351" s="11">
        <v>0</v>
      </c>
      <c r="N351" s="10">
        <f t="shared" si="91"/>
        <v>0</v>
      </c>
      <c r="O351" s="10">
        <f t="shared" si="92"/>
        <v>57.51</v>
      </c>
      <c r="P351" s="11">
        <f t="shared" si="93"/>
        <v>0.10261763288903164</v>
      </c>
      <c r="Q351" s="10">
        <f t="shared" si="94"/>
        <v>560.42999999999995</v>
      </c>
      <c r="R351" s="10">
        <f t="shared" si="95"/>
        <v>3441.308</v>
      </c>
      <c r="S351" s="10">
        <f t="shared" si="96"/>
        <v>353.13888100208771</v>
      </c>
      <c r="T351" s="9" t="s">
        <v>76</v>
      </c>
      <c r="U351" s="10">
        <v>5699</v>
      </c>
      <c r="V351" s="10">
        <f t="shared" si="97"/>
        <v>3989.2999999999997</v>
      </c>
      <c r="W351" s="166">
        <v>490110</v>
      </c>
      <c r="X351" s="12" t="s">
        <v>27</v>
      </c>
      <c r="Y351" s="12">
        <f t="shared" si="98"/>
        <v>353.13888100208771</v>
      </c>
      <c r="Z351" s="13">
        <f t="shared" si="99"/>
        <v>353.13888100208771</v>
      </c>
      <c r="AA351" s="13">
        <f t="shared" si="100"/>
        <v>353.13888100208771</v>
      </c>
      <c r="AB351" s="13">
        <f t="shared" si="101"/>
        <v>57.51</v>
      </c>
      <c r="AC351" s="13">
        <f t="shared" si="102"/>
        <v>295.62888100208772</v>
      </c>
      <c r="AD351" s="14">
        <f t="shared" si="103"/>
        <v>0.83714622463319188</v>
      </c>
      <c r="AE351" s="14">
        <f t="shared" si="104"/>
        <v>5.140477847367201</v>
      </c>
      <c r="AF351" s="13" t="str">
        <f>IF(AD351&gt;=Assumptions!$B$3,"OK","Review")</f>
        <v>OK</v>
      </c>
      <c r="AG351" s="13">
        <f>IFERROR(IF(Assumptions!$B$13="Cost Price",AB351,AA351)*SUMIF(Assumptions!$A$6:$A$10,X351,Assumptions!$B$6:$B$10),0)</f>
        <v>28.251110480167018</v>
      </c>
      <c r="AH351" s="13">
        <f>IFERROR(IF(Assumptions!$B$13="Cost Price",AB351,AA351)*SUMIF(Assumptions!$A$6:$A$10,X351,Assumptions!$C$6:$C$10),0)</f>
        <v>17.656944050104386</v>
      </c>
      <c r="AI351" s="13">
        <f>IFERROR(IF(Assumptions!$B$13="Cost Price",AB351,AA351)*SUMIF(Assumptions!$A$6:$A$10,X351,Assumptions!$D$6:$D$10),0)</f>
        <v>35.313888100208771</v>
      </c>
      <c r="AJ351" s="13">
        <v>52.858424795246506</v>
      </c>
      <c r="AK351" s="13">
        <f t="shared" si="105"/>
        <v>134.08036742572668</v>
      </c>
      <c r="AL351" s="14">
        <v>0.33</v>
      </c>
      <c r="AM351" s="13">
        <f t="shared" si="106"/>
        <v>161.54851357636105</v>
      </c>
      <c r="AN351" s="14">
        <f t="shared" si="107"/>
        <v>0.45746453383422819</v>
      </c>
      <c r="AO351" t="str">
        <f>IF(AN351&gt;=Assumptions!$B$3,"OK","Review")</f>
        <v>OK</v>
      </c>
    </row>
    <row r="352" spans="1:41" ht="15" customHeight="1">
      <c r="A352" s="9" t="s">
        <v>256</v>
      </c>
      <c r="B352" s="9" t="s">
        <v>40</v>
      </c>
      <c r="C352" s="9" t="s">
        <v>78</v>
      </c>
      <c r="D352" s="9" t="s">
        <v>160</v>
      </c>
      <c r="E352" s="9" t="s">
        <v>73</v>
      </c>
      <c r="F352" s="9" t="s">
        <v>74</v>
      </c>
      <c r="G352" s="9" t="s">
        <v>24</v>
      </c>
      <c r="H352" s="9" t="s">
        <v>75</v>
      </c>
      <c r="I352" s="9">
        <v>4000011746</v>
      </c>
      <c r="J352" s="10">
        <v>15.85</v>
      </c>
      <c r="K352" s="10"/>
      <c r="L352" s="10">
        <f t="shared" si="90"/>
        <v>15.85</v>
      </c>
      <c r="M352" s="11">
        <v>0</v>
      </c>
      <c r="N352" s="10">
        <f t="shared" si="91"/>
        <v>0</v>
      </c>
      <c r="O352" s="10">
        <f t="shared" si="92"/>
        <v>15.85</v>
      </c>
      <c r="P352" s="11">
        <f t="shared" si="93"/>
        <v>2.828185500419321E-2</v>
      </c>
      <c r="Q352" s="10">
        <f t="shared" si="94"/>
        <v>560.42999999999995</v>
      </c>
      <c r="R352" s="10">
        <f t="shared" si="95"/>
        <v>3441.308</v>
      </c>
      <c r="S352" s="10">
        <f t="shared" si="96"/>
        <v>97.326573880770127</v>
      </c>
      <c r="T352" s="9" t="s">
        <v>76</v>
      </c>
      <c r="U352" s="10">
        <v>5699</v>
      </c>
      <c r="V352" s="10">
        <f t="shared" si="97"/>
        <v>3989.2999999999997</v>
      </c>
      <c r="W352" s="166">
        <v>490110</v>
      </c>
      <c r="X352" s="12" t="s">
        <v>27</v>
      </c>
      <c r="Y352" s="12">
        <f t="shared" si="98"/>
        <v>97.326573880770127</v>
      </c>
      <c r="Z352" s="13">
        <f t="shared" si="99"/>
        <v>97.326573880770127</v>
      </c>
      <c r="AA352" s="13">
        <f t="shared" si="100"/>
        <v>97.326573880770127</v>
      </c>
      <c r="AB352" s="13">
        <f t="shared" si="101"/>
        <v>15.85</v>
      </c>
      <c r="AC352" s="13">
        <f t="shared" si="102"/>
        <v>81.476573880770133</v>
      </c>
      <c r="AD352" s="14">
        <f t="shared" si="103"/>
        <v>0.83714622463319188</v>
      </c>
      <c r="AE352" s="14">
        <f t="shared" si="104"/>
        <v>5.140477847367201</v>
      </c>
      <c r="AF352" s="13" t="str">
        <f>IF(AD352&gt;=Assumptions!$B$3,"OK","Review")</f>
        <v>OK</v>
      </c>
      <c r="AG352" s="13">
        <f>IFERROR(IF(Assumptions!$B$13="Cost Price",AB352,AA352)*SUMIF(Assumptions!$A$6:$A$10,X352,Assumptions!$B$6:$B$10),0)</f>
        <v>7.7861259104616103</v>
      </c>
      <c r="AH352" s="13">
        <f>IFERROR(IF(Assumptions!$B$13="Cost Price",AB352,AA352)*SUMIF(Assumptions!$A$6:$A$10,X352,Assumptions!$C$6:$C$10),0)</f>
        <v>4.8663286940385069</v>
      </c>
      <c r="AI352" s="13">
        <f>IFERROR(IF(Assumptions!$B$13="Cost Price",AB352,AA352)*SUMIF(Assumptions!$A$6:$A$10,X352,Assumptions!$D$6:$D$10),0)</f>
        <v>9.7326573880770137</v>
      </c>
      <c r="AJ352" s="13">
        <v>14.568006138143927</v>
      </c>
      <c r="AK352" s="13">
        <f t="shared" si="105"/>
        <v>36.953118130721059</v>
      </c>
      <c r="AL352" s="14">
        <v>0.33</v>
      </c>
      <c r="AM352" s="13">
        <f t="shared" si="106"/>
        <v>44.523455750049074</v>
      </c>
      <c r="AN352" s="14">
        <f t="shared" si="107"/>
        <v>0.45746453383422819</v>
      </c>
      <c r="AO352" t="str">
        <f>IF(AN352&gt;=Assumptions!$B$3,"OK","Review")</f>
        <v>OK</v>
      </c>
    </row>
    <row r="353" spans="1:41" ht="15" customHeight="1">
      <c r="A353" s="9" t="s">
        <v>256</v>
      </c>
      <c r="B353" s="9" t="s">
        <v>40</v>
      </c>
      <c r="C353" s="9" t="s">
        <v>161</v>
      </c>
      <c r="D353" s="9" t="s">
        <v>162</v>
      </c>
      <c r="E353" s="9" t="s">
        <v>73</v>
      </c>
      <c r="F353" s="9" t="s">
        <v>74</v>
      </c>
      <c r="G353" s="9" t="s">
        <v>24</v>
      </c>
      <c r="H353" s="9" t="s">
        <v>75</v>
      </c>
      <c r="I353" s="9">
        <v>4000011748</v>
      </c>
      <c r="J353" s="10">
        <v>70.11</v>
      </c>
      <c r="K353" s="10"/>
      <c r="L353" s="10">
        <f t="shared" si="90"/>
        <v>70.11</v>
      </c>
      <c r="M353" s="11">
        <v>0</v>
      </c>
      <c r="N353" s="10">
        <f t="shared" si="91"/>
        <v>0</v>
      </c>
      <c r="O353" s="10">
        <f t="shared" si="92"/>
        <v>70.11</v>
      </c>
      <c r="P353" s="11">
        <f t="shared" si="93"/>
        <v>0.12510036935924201</v>
      </c>
      <c r="Q353" s="10">
        <f t="shared" si="94"/>
        <v>560.42999999999995</v>
      </c>
      <c r="R353" s="10">
        <f t="shared" si="95"/>
        <v>3441.308</v>
      </c>
      <c r="S353" s="10">
        <f t="shared" si="96"/>
        <v>430.5089018789144</v>
      </c>
      <c r="T353" s="9" t="s">
        <v>76</v>
      </c>
      <c r="U353" s="10">
        <v>5699</v>
      </c>
      <c r="V353" s="10">
        <f t="shared" si="97"/>
        <v>3989.2999999999997</v>
      </c>
      <c r="W353" s="166">
        <v>490110</v>
      </c>
      <c r="X353" s="12" t="s">
        <v>27</v>
      </c>
      <c r="Y353" s="12">
        <f t="shared" si="98"/>
        <v>430.5089018789144</v>
      </c>
      <c r="Z353" s="13">
        <f t="shared" si="99"/>
        <v>430.5089018789144</v>
      </c>
      <c r="AA353" s="13">
        <f t="shared" si="100"/>
        <v>430.5089018789144</v>
      </c>
      <c r="AB353" s="13">
        <f t="shared" si="101"/>
        <v>70.11</v>
      </c>
      <c r="AC353" s="13">
        <f t="shared" si="102"/>
        <v>360.39890187891439</v>
      </c>
      <c r="AD353" s="14">
        <f t="shared" si="103"/>
        <v>0.83714622463319177</v>
      </c>
      <c r="AE353" s="14">
        <f t="shared" si="104"/>
        <v>5.1404778473672001</v>
      </c>
      <c r="AF353" s="13" t="str">
        <f>IF(AD353&gt;=Assumptions!$B$3,"OK","Review")</f>
        <v>OK</v>
      </c>
      <c r="AG353" s="13">
        <f>IFERROR(IF(Assumptions!$B$13="Cost Price",AB353,AA353)*SUMIF(Assumptions!$A$6:$A$10,X353,Assumptions!$B$6:$B$10),0)</f>
        <v>34.440712150313153</v>
      </c>
      <c r="AH353" s="13">
        <f>IFERROR(IF(Assumptions!$B$13="Cost Price",AB353,AA353)*SUMIF(Assumptions!$A$6:$A$10,X353,Assumptions!$C$6:$C$10),0)</f>
        <v>21.52544509394572</v>
      </c>
      <c r="AI353" s="13">
        <f>IFERROR(IF(Assumptions!$B$13="Cost Price",AB353,AA353)*SUMIF(Assumptions!$A$6:$A$10,X353,Assumptions!$D$6:$D$10),0)</f>
        <v>43.05089018789144</v>
      </c>
      <c r="AJ353" s="13">
        <v>64.43930033724105</v>
      </c>
      <c r="AK353" s="13">
        <f t="shared" si="105"/>
        <v>163.45634776939136</v>
      </c>
      <c r="AL353" s="14">
        <v>0.33</v>
      </c>
      <c r="AM353" s="13">
        <f t="shared" si="106"/>
        <v>196.94255410952303</v>
      </c>
      <c r="AN353" s="14">
        <f t="shared" si="107"/>
        <v>0.45746453383422814</v>
      </c>
      <c r="AO353" t="str">
        <f>IF(AN353&gt;=Assumptions!$B$3,"OK","Review")</f>
        <v>OK</v>
      </c>
    </row>
    <row r="354" spans="1:41" ht="15" customHeight="1">
      <c r="A354" s="9" t="s">
        <v>256</v>
      </c>
      <c r="B354" s="9" t="s">
        <v>40</v>
      </c>
      <c r="C354" s="9" t="s">
        <v>105</v>
      </c>
      <c r="D354" s="9" t="s">
        <v>163</v>
      </c>
      <c r="E354" s="9" t="s">
        <v>73</v>
      </c>
      <c r="F354" s="9" t="s">
        <v>81</v>
      </c>
      <c r="G354" s="9" t="s">
        <v>24</v>
      </c>
      <c r="H354" s="9" t="s">
        <v>84</v>
      </c>
      <c r="I354" s="9">
        <v>4000011749</v>
      </c>
      <c r="J354" s="10">
        <v>54.96</v>
      </c>
      <c r="K354" s="10"/>
      <c r="L354" s="10">
        <f t="shared" si="90"/>
        <v>54.96</v>
      </c>
      <c r="M354" s="11">
        <v>0</v>
      </c>
      <c r="N354" s="10">
        <f t="shared" si="91"/>
        <v>0</v>
      </c>
      <c r="O354" s="10">
        <f t="shared" si="92"/>
        <v>54.96</v>
      </c>
      <c r="P354" s="11">
        <f t="shared" si="93"/>
        <v>9.8067555270060502E-2</v>
      </c>
      <c r="Q354" s="10">
        <f t="shared" si="94"/>
        <v>560.42999999999995</v>
      </c>
      <c r="R354" s="10">
        <f t="shared" si="95"/>
        <v>3441.308</v>
      </c>
      <c r="S354" s="10">
        <f t="shared" si="96"/>
        <v>337.48066249130136</v>
      </c>
      <c r="T354" s="9" t="s">
        <v>76</v>
      </c>
      <c r="U354" s="10">
        <v>5699</v>
      </c>
      <c r="V354" s="10">
        <f t="shared" si="97"/>
        <v>3989.2999999999997</v>
      </c>
      <c r="W354" s="166">
        <v>490110</v>
      </c>
      <c r="X354" s="12" t="s">
        <v>27</v>
      </c>
      <c r="Y354" s="12">
        <f t="shared" si="98"/>
        <v>337.48066249130136</v>
      </c>
      <c r="Z354" s="13">
        <f t="shared" si="99"/>
        <v>337.48066249130136</v>
      </c>
      <c r="AA354" s="13">
        <f t="shared" si="100"/>
        <v>337.48066249130136</v>
      </c>
      <c r="AB354" s="13">
        <f t="shared" si="101"/>
        <v>54.96</v>
      </c>
      <c r="AC354" s="13">
        <f t="shared" si="102"/>
        <v>282.52066249130138</v>
      </c>
      <c r="AD354" s="14">
        <f t="shared" si="103"/>
        <v>0.83714622463319188</v>
      </c>
      <c r="AE354" s="14">
        <f t="shared" si="104"/>
        <v>5.140477847367201</v>
      </c>
      <c r="AF354" s="13" t="str">
        <f>IF(AD354&gt;=Assumptions!$B$3,"OK","Review")</f>
        <v>OK</v>
      </c>
      <c r="AG354" s="13">
        <f>IFERROR(IF(Assumptions!$B$13="Cost Price",AB354,AA354)*SUMIF(Assumptions!$A$6:$A$10,X354,Assumptions!$B$6:$B$10),0)</f>
        <v>26.99845299930411</v>
      </c>
      <c r="AH354" s="13">
        <f>IFERROR(IF(Assumptions!$B$13="Cost Price",AB354,AA354)*SUMIF(Assumptions!$A$6:$A$10,X354,Assumptions!$C$6:$C$10),0)</f>
        <v>16.87403312456507</v>
      </c>
      <c r="AI354" s="13">
        <f>IFERROR(IF(Assumptions!$B$13="Cost Price",AB354,AA354)*SUMIF(Assumptions!$A$6:$A$10,X354,Assumptions!$D$6:$D$10),0)</f>
        <v>33.74806624913014</v>
      </c>
      <c r="AJ354" s="13">
        <v>50.514676173652383</v>
      </c>
      <c r="AK354" s="13">
        <f t="shared" si="105"/>
        <v>128.13522854665172</v>
      </c>
      <c r="AL354" s="14">
        <v>0.33</v>
      </c>
      <c r="AM354" s="13">
        <f t="shared" si="106"/>
        <v>154.38543394464966</v>
      </c>
      <c r="AN354" s="14">
        <f t="shared" si="107"/>
        <v>0.45746453383422814</v>
      </c>
      <c r="AO354" t="str">
        <f>IF(AN354&gt;=Assumptions!$B$3,"OK","Review")</f>
        <v>OK</v>
      </c>
    </row>
    <row r="355" spans="1:41" ht="15" customHeight="1">
      <c r="A355" s="9" t="s">
        <v>256</v>
      </c>
      <c r="B355" s="9" t="s">
        <v>40</v>
      </c>
      <c r="C355" s="9" t="s">
        <v>105</v>
      </c>
      <c r="D355" s="9" t="s">
        <v>164</v>
      </c>
      <c r="E355" s="9" t="s">
        <v>73</v>
      </c>
      <c r="F355" s="9" t="s">
        <v>81</v>
      </c>
      <c r="G355" s="9" t="s">
        <v>24</v>
      </c>
      <c r="H355" s="9" t="s">
        <v>84</v>
      </c>
      <c r="I355" s="9">
        <v>4000011750</v>
      </c>
      <c r="J355" s="10">
        <v>20.59</v>
      </c>
      <c r="K355" s="10"/>
      <c r="L355" s="10">
        <f t="shared" si="90"/>
        <v>20.59</v>
      </c>
      <c r="M355" s="11">
        <v>0</v>
      </c>
      <c r="N355" s="10">
        <f t="shared" si="91"/>
        <v>0</v>
      </c>
      <c r="O355" s="10">
        <f t="shared" si="92"/>
        <v>20.59</v>
      </c>
      <c r="P355" s="11">
        <f t="shared" si="93"/>
        <v>3.673964634298664E-2</v>
      </c>
      <c r="Q355" s="10">
        <f t="shared" si="94"/>
        <v>560.42999999999995</v>
      </c>
      <c r="R355" s="10">
        <f t="shared" si="95"/>
        <v>3441.308</v>
      </c>
      <c r="S355" s="10">
        <f t="shared" si="96"/>
        <v>126.43243887729066</v>
      </c>
      <c r="T355" s="9" t="s">
        <v>76</v>
      </c>
      <c r="U355" s="10">
        <v>5699</v>
      </c>
      <c r="V355" s="10">
        <f t="shared" si="97"/>
        <v>3989.2999999999997</v>
      </c>
      <c r="W355" s="166">
        <v>490110</v>
      </c>
      <c r="X355" s="12" t="s">
        <v>27</v>
      </c>
      <c r="Y355" s="12">
        <f t="shared" si="98"/>
        <v>126.43243887729066</v>
      </c>
      <c r="Z355" s="13">
        <f t="shared" si="99"/>
        <v>126.43243887729066</v>
      </c>
      <c r="AA355" s="13">
        <f t="shared" si="100"/>
        <v>126.43243887729066</v>
      </c>
      <c r="AB355" s="13">
        <f t="shared" si="101"/>
        <v>20.59</v>
      </c>
      <c r="AC355" s="13">
        <f t="shared" si="102"/>
        <v>105.84243887729066</v>
      </c>
      <c r="AD355" s="14">
        <f t="shared" si="103"/>
        <v>0.83714622463319177</v>
      </c>
      <c r="AE355" s="14">
        <f t="shared" si="104"/>
        <v>5.140477847367201</v>
      </c>
      <c r="AF355" s="13" t="str">
        <f>IF(AD355&gt;=Assumptions!$B$3,"OK","Review")</f>
        <v>OK</v>
      </c>
      <c r="AG355" s="13">
        <f>IFERROR(IF(Assumptions!$B$13="Cost Price",AB355,AA355)*SUMIF(Assumptions!$A$6:$A$10,X355,Assumptions!$B$6:$B$10),0)</f>
        <v>10.114595110183254</v>
      </c>
      <c r="AH355" s="13">
        <f>IFERROR(IF(Assumptions!$B$13="Cost Price",AB355,AA355)*SUMIF(Assumptions!$A$6:$A$10,X355,Assumptions!$C$6:$C$10),0)</f>
        <v>6.3216219438645336</v>
      </c>
      <c r="AI355" s="13">
        <f>IFERROR(IF(Assumptions!$B$13="Cost Price",AB355,AA355)*SUMIF(Assumptions!$A$6:$A$10,X355,Assumptions!$D$6:$D$10),0)</f>
        <v>12.643243887729067</v>
      </c>
      <c r="AJ355" s="13">
        <v>18.924621222989494</v>
      </c>
      <c r="AK355" s="13">
        <f t="shared" si="105"/>
        <v>48.004082164766345</v>
      </c>
      <c r="AL355" s="14">
        <v>0.33</v>
      </c>
      <c r="AM355" s="13">
        <f t="shared" si="106"/>
        <v>57.838356712524316</v>
      </c>
      <c r="AN355" s="14">
        <f t="shared" si="107"/>
        <v>0.45746453383422814</v>
      </c>
      <c r="AO355" t="str">
        <f>IF(AN355&gt;=Assumptions!$B$3,"OK","Review")</f>
        <v>OK</v>
      </c>
    </row>
    <row r="356" spans="1:41" ht="15" customHeight="1">
      <c r="A356" s="9" t="s">
        <v>256</v>
      </c>
      <c r="B356" s="9" t="s">
        <v>40</v>
      </c>
      <c r="C356" s="9" t="s">
        <v>71</v>
      </c>
      <c r="D356" s="9" t="s">
        <v>165</v>
      </c>
      <c r="E356" s="9" t="s">
        <v>73</v>
      </c>
      <c r="F356" s="9" t="s">
        <v>74</v>
      </c>
      <c r="G356" s="9" t="s">
        <v>24</v>
      </c>
      <c r="H356" s="9" t="s">
        <v>84</v>
      </c>
      <c r="I356" s="9">
        <v>4000011751</v>
      </c>
      <c r="J356" s="10">
        <v>60.05</v>
      </c>
      <c r="K356" s="10"/>
      <c r="L356" s="10">
        <f t="shared" si="90"/>
        <v>60.05</v>
      </c>
      <c r="M356" s="11">
        <v>0</v>
      </c>
      <c r="N356" s="10">
        <f t="shared" si="91"/>
        <v>0</v>
      </c>
      <c r="O356" s="10">
        <f t="shared" si="92"/>
        <v>60.05</v>
      </c>
      <c r="P356" s="11">
        <f t="shared" si="93"/>
        <v>0.10714986706635976</v>
      </c>
      <c r="Q356" s="10">
        <f t="shared" si="94"/>
        <v>560.42999999999995</v>
      </c>
      <c r="R356" s="10">
        <f t="shared" si="95"/>
        <v>3441.308</v>
      </c>
      <c r="S356" s="10">
        <f t="shared" si="96"/>
        <v>368.7356947344004</v>
      </c>
      <c r="T356" s="9" t="s">
        <v>76</v>
      </c>
      <c r="U356" s="10">
        <v>5699</v>
      </c>
      <c r="V356" s="10">
        <f t="shared" si="97"/>
        <v>3989.2999999999997</v>
      </c>
      <c r="W356" s="166">
        <v>490110</v>
      </c>
      <c r="X356" s="12" t="s">
        <v>27</v>
      </c>
      <c r="Y356" s="12">
        <f t="shared" si="98"/>
        <v>368.7356947344004</v>
      </c>
      <c r="Z356" s="13">
        <f t="shared" si="99"/>
        <v>368.7356947344004</v>
      </c>
      <c r="AA356" s="13">
        <f t="shared" si="100"/>
        <v>368.7356947344004</v>
      </c>
      <c r="AB356" s="13">
        <f t="shared" si="101"/>
        <v>60.05</v>
      </c>
      <c r="AC356" s="13">
        <f t="shared" si="102"/>
        <v>308.68569473440039</v>
      </c>
      <c r="AD356" s="14">
        <f t="shared" si="103"/>
        <v>0.83714622463319177</v>
      </c>
      <c r="AE356" s="14">
        <f t="shared" si="104"/>
        <v>5.140477847367201</v>
      </c>
      <c r="AF356" s="13" t="str">
        <f>IF(AD356&gt;=Assumptions!$B$3,"OK","Review")</f>
        <v>OK</v>
      </c>
      <c r="AG356" s="13">
        <f>IFERROR(IF(Assumptions!$B$13="Cost Price",AB356,AA356)*SUMIF(Assumptions!$A$6:$A$10,X356,Assumptions!$B$6:$B$10),0)</f>
        <v>29.498855578752032</v>
      </c>
      <c r="AH356" s="13">
        <f>IFERROR(IF(Assumptions!$B$13="Cost Price",AB356,AA356)*SUMIF(Assumptions!$A$6:$A$10,X356,Assumptions!$C$6:$C$10),0)</f>
        <v>18.436784736720021</v>
      </c>
      <c r="AI356" s="13">
        <f>IFERROR(IF(Assumptions!$B$13="Cost Price",AB356,AA356)*SUMIF(Assumptions!$A$6:$A$10,X356,Assumptions!$D$6:$D$10),0)</f>
        <v>36.873569473440043</v>
      </c>
      <c r="AJ356" s="13">
        <v>55.192982245775568</v>
      </c>
      <c r="AK356" s="13">
        <f t="shared" si="105"/>
        <v>140.00219203468765</v>
      </c>
      <c r="AL356" s="14">
        <v>0.33</v>
      </c>
      <c r="AM356" s="13">
        <f t="shared" si="106"/>
        <v>168.68350269971273</v>
      </c>
      <c r="AN356" s="14">
        <f t="shared" si="107"/>
        <v>0.45746453383422814</v>
      </c>
      <c r="AO356" t="str">
        <f>IF(AN356&gt;=Assumptions!$B$3,"OK","Review")</f>
        <v>OK</v>
      </c>
    </row>
    <row r="357" spans="1:41" ht="15" customHeight="1">
      <c r="A357" s="9" t="s">
        <v>256</v>
      </c>
      <c r="B357" s="9" t="s">
        <v>40</v>
      </c>
      <c r="C357" s="9" t="s">
        <v>78</v>
      </c>
      <c r="D357" s="9" t="s">
        <v>166</v>
      </c>
      <c r="E357" s="9" t="s">
        <v>73</v>
      </c>
      <c r="F357" s="9" t="s">
        <v>74</v>
      </c>
      <c r="G357" s="9" t="s">
        <v>24</v>
      </c>
      <c r="H357" s="9" t="s">
        <v>84</v>
      </c>
      <c r="I357" s="9">
        <v>4000011752</v>
      </c>
      <c r="J357" s="10">
        <v>53.42</v>
      </c>
      <c r="K357" s="10"/>
      <c r="L357" s="10">
        <f t="shared" si="90"/>
        <v>53.42</v>
      </c>
      <c r="M357" s="11">
        <v>0</v>
      </c>
      <c r="N357" s="10">
        <f t="shared" si="91"/>
        <v>0</v>
      </c>
      <c r="O357" s="10">
        <f t="shared" si="92"/>
        <v>53.42</v>
      </c>
      <c r="P357" s="11">
        <f t="shared" si="93"/>
        <v>9.5319665257034794E-2</v>
      </c>
      <c r="Q357" s="10">
        <f t="shared" si="94"/>
        <v>560.42999999999995</v>
      </c>
      <c r="R357" s="10">
        <f t="shared" si="95"/>
        <v>3441.308</v>
      </c>
      <c r="S357" s="10">
        <f t="shared" si="96"/>
        <v>328.02432660635588</v>
      </c>
      <c r="T357" s="9" t="s">
        <v>76</v>
      </c>
      <c r="U357" s="10">
        <v>5699</v>
      </c>
      <c r="V357" s="10">
        <f t="shared" si="97"/>
        <v>3989.2999999999997</v>
      </c>
      <c r="W357" s="166">
        <v>490110</v>
      </c>
      <c r="X357" s="12" t="s">
        <v>27</v>
      </c>
      <c r="Y357" s="12">
        <f t="shared" si="98"/>
        <v>328.02432660635588</v>
      </c>
      <c r="Z357" s="13">
        <f t="shared" si="99"/>
        <v>328.02432660635588</v>
      </c>
      <c r="AA357" s="13">
        <f t="shared" si="100"/>
        <v>328.02432660635588</v>
      </c>
      <c r="AB357" s="13">
        <f t="shared" si="101"/>
        <v>53.42</v>
      </c>
      <c r="AC357" s="13">
        <f t="shared" si="102"/>
        <v>274.60432660635587</v>
      </c>
      <c r="AD357" s="14">
        <f t="shared" si="103"/>
        <v>0.83714622463319177</v>
      </c>
      <c r="AE357" s="14">
        <f t="shared" si="104"/>
        <v>5.140477847367201</v>
      </c>
      <c r="AF357" s="13" t="str">
        <f>IF(AD357&gt;=Assumptions!$B$3,"OK","Review")</f>
        <v>OK</v>
      </c>
      <c r="AG357" s="13">
        <f>IFERROR(IF(Assumptions!$B$13="Cost Price",AB357,AA357)*SUMIF(Assumptions!$A$6:$A$10,X357,Assumptions!$B$6:$B$10),0)</f>
        <v>26.24194612850847</v>
      </c>
      <c r="AH357" s="13">
        <f>IFERROR(IF(Assumptions!$B$13="Cost Price",AB357,AA357)*SUMIF(Assumptions!$A$6:$A$10,X357,Assumptions!$C$6:$C$10),0)</f>
        <v>16.401216330317794</v>
      </c>
      <c r="AI357" s="13">
        <f>IFERROR(IF(Assumptions!$B$13="Cost Price",AB357,AA357)*SUMIF(Assumptions!$A$6:$A$10,X357,Assumptions!$D$6:$D$10),0)</f>
        <v>32.802432660635588</v>
      </c>
      <c r="AJ357" s="13">
        <v>49.099235829630828</v>
      </c>
      <c r="AK357" s="13">
        <f t="shared" si="105"/>
        <v>124.54483094909268</v>
      </c>
      <c r="AL357" s="14">
        <v>0.33</v>
      </c>
      <c r="AM357" s="13">
        <f t="shared" si="106"/>
        <v>150.0594956572632</v>
      </c>
      <c r="AN357" s="14">
        <f t="shared" si="107"/>
        <v>0.45746453383422814</v>
      </c>
      <c r="AO357" t="str">
        <f>IF(AN357&gt;=Assumptions!$B$3,"OK","Review")</f>
        <v>OK</v>
      </c>
    </row>
    <row r="358" spans="1:41" ht="15" customHeight="1">
      <c r="A358" s="9" t="s">
        <v>256</v>
      </c>
      <c r="B358" s="9" t="s">
        <v>40</v>
      </c>
      <c r="C358" s="9" t="s">
        <v>78</v>
      </c>
      <c r="D358" s="9" t="s">
        <v>167</v>
      </c>
      <c r="E358" s="9" t="s">
        <v>73</v>
      </c>
      <c r="F358" s="9" t="s">
        <v>74</v>
      </c>
      <c r="G358" s="9" t="s">
        <v>24</v>
      </c>
      <c r="H358" s="9" t="s">
        <v>84</v>
      </c>
      <c r="I358" s="9">
        <v>4000011753</v>
      </c>
      <c r="J358" s="10">
        <v>18.66</v>
      </c>
      <c r="K358" s="10"/>
      <c r="L358" s="10">
        <f t="shared" si="90"/>
        <v>18.66</v>
      </c>
      <c r="M358" s="11">
        <v>0</v>
      </c>
      <c r="N358" s="10">
        <f t="shared" si="91"/>
        <v>0</v>
      </c>
      <c r="O358" s="10">
        <f t="shared" si="92"/>
        <v>18.66</v>
      </c>
      <c r="P358" s="11">
        <f t="shared" si="93"/>
        <v>3.3295862105882985E-2</v>
      </c>
      <c r="Q358" s="10">
        <f t="shared" si="94"/>
        <v>560.42999999999995</v>
      </c>
      <c r="R358" s="10">
        <f t="shared" si="95"/>
        <v>3441.308</v>
      </c>
      <c r="S358" s="10">
        <f t="shared" si="96"/>
        <v>114.58131663187197</v>
      </c>
      <c r="T358" s="9" t="s">
        <v>76</v>
      </c>
      <c r="U358" s="10">
        <v>5699</v>
      </c>
      <c r="V358" s="10">
        <f t="shared" si="97"/>
        <v>3989.2999999999997</v>
      </c>
      <c r="W358" s="166">
        <v>490110</v>
      </c>
      <c r="X358" s="12" t="s">
        <v>27</v>
      </c>
      <c r="Y358" s="12">
        <f t="shared" si="98"/>
        <v>114.58131663187197</v>
      </c>
      <c r="Z358" s="13">
        <f t="shared" si="99"/>
        <v>114.58131663187197</v>
      </c>
      <c r="AA358" s="13">
        <f t="shared" si="100"/>
        <v>114.58131663187197</v>
      </c>
      <c r="AB358" s="13">
        <f t="shared" si="101"/>
        <v>18.66</v>
      </c>
      <c r="AC358" s="13">
        <f t="shared" si="102"/>
        <v>95.921316631871974</v>
      </c>
      <c r="AD358" s="14">
        <f t="shared" si="103"/>
        <v>0.83714622463319188</v>
      </c>
      <c r="AE358" s="14">
        <f t="shared" si="104"/>
        <v>5.140477847367201</v>
      </c>
      <c r="AF358" s="13" t="str">
        <f>IF(AD358&gt;=Assumptions!$B$3,"OK","Review")</f>
        <v>OK</v>
      </c>
      <c r="AG358" s="13">
        <f>IFERROR(IF(Assumptions!$B$13="Cost Price",AB358,AA358)*SUMIF(Assumptions!$A$6:$A$10,X358,Assumptions!$B$6:$B$10),0)</f>
        <v>9.1665053305497572</v>
      </c>
      <c r="AH358" s="13">
        <f>IFERROR(IF(Assumptions!$B$13="Cost Price",AB358,AA358)*SUMIF(Assumptions!$A$6:$A$10,X358,Assumptions!$C$6:$C$10),0)</f>
        <v>5.7290658315935987</v>
      </c>
      <c r="AI358" s="13">
        <f>IFERROR(IF(Assumptions!$B$13="Cost Price",AB358,AA358)*SUMIF(Assumptions!$A$6:$A$10,X358,Assumptions!$D$6:$D$10),0)</f>
        <v>11.458131663187197</v>
      </c>
      <c r="AJ358" s="13">
        <v>17.15072520743001</v>
      </c>
      <c r="AK358" s="13">
        <f t="shared" si="105"/>
        <v>43.504428032760558</v>
      </c>
      <c r="AL358" s="14">
        <v>0.33</v>
      </c>
      <c r="AM358" s="13">
        <f t="shared" si="106"/>
        <v>52.416888599111417</v>
      </c>
      <c r="AN358" s="14">
        <f t="shared" si="107"/>
        <v>0.45746453383422825</v>
      </c>
      <c r="AO358" t="str">
        <f>IF(AN358&gt;=Assumptions!$B$3,"OK","Review")</f>
        <v>OK</v>
      </c>
    </row>
    <row r="359" spans="1:41" ht="15" customHeight="1">
      <c r="A359" s="9" t="s">
        <v>256</v>
      </c>
      <c r="B359" s="9" t="s">
        <v>40</v>
      </c>
      <c r="C359" s="9" t="s">
        <v>161</v>
      </c>
      <c r="D359" s="9" t="s">
        <v>168</v>
      </c>
      <c r="E359" s="9" t="s">
        <v>73</v>
      </c>
      <c r="F359" s="9" t="s">
        <v>74</v>
      </c>
      <c r="G359" s="9" t="s">
        <v>24</v>
      </c>
      <c r="H359" s="9" t="s">
        <v>84</v>
      </c>
      <c r="I359" s="9">
        <v>4000011754</v>
      </c>
      <c r="J359" s="10">
        <v>60.05</v>
      </c>
      <c r="K359" s="10"/>
      <c r="L359" s="10">
        <f t="shared" si="90"/>
        <v>60.05</v>
      </c>
      <c r="M359" s="11">
        <v>0</v>
      </c>
      <c r="N359" s="10">
        <f t="shared" si="91"/>
        <v>0</v>
      </c>
      <c r="O359" s="10">
        <f t="shared" si="92"/>
        <v>60.05</v>
      </c>
      <c r="P359" s="11">
        <f t="shared" si="93"/>
        <v>0.10714986706635976</v>
      </c>
      <c r="Q359" s="10">
        <f t="shared" si="94"/>
        <v>560.42999999999995</v>
      </c>
      <c r="R359" s="10">
        <f t="shared" si="95"/>
        <v>3441.308</v>
      </c>
      <c r="S359" s="10">
        <f t="shared" si="96"/>
        <v>368.7356947344004</v>
      </c>
      <c r="T359" s="9" t="s">
        <v>76</v>
      </c>
      <c r="U359" s="10">
        <v>5699</v>
      </c>
      <c r="V359" s="10">
        <f t="shared" si="97"/>
        <v>3989.2999999999997</v>
      </c>
      <c r="W359" s="166">
        <v>490110</v>
      </c>
      <c r="X359" s="12" t="s">
        <v>27</v>
      </c>
      <c r="Y359" s="12">
        <f t="shared" si="98"/>
        <v>368.7356947344004</v>
      </c>
      <c r="Z359" s="13">
        <f t="shared" si="99"/>
        <v>368.7356947344004</v>
      </c>
      <c r="AA359" s="13">
        <f t="shared" si="100"/>
        <v>368.7356947344004</v>
      </c>
      <c r="AB359" s="13">
        <f t="shared" si="101"/>
        <v>60.05</v>
      </c>
      <c r="AC359" s="13">
        <f t="shared" si="102"/>
        <v>308.68569473440039</v>
      </c>
      <c r="AD359" s="14">
        <f t="shared" si="103"/>
        <v>0.83714622463319177</v>
      </c>
      <c r="AE359" s="14">
        <f t="shared" si="104"/>
        <v>5.140477847367201</v>
      </c>
      <c r="AF359" s="13" t="str">
        <f>IF(AD359&gt;=Assumptions!$B$3,"OK","Review")</f>
        <v>OK</v>
      </c>
      <c r="AG359" s="13">
        <f>IFERROR(IF(Assumptions!$B$13="Cost Price",AB359,AA359)*SUMIF(Assumptions!$A$6:$A$10,X359,Assumptions!$B$6:$B$10),0)</f>
        <v>29.498855578752032</v>
      </c>
      <c r="AH359" s="13">
        <f>IFERROR(IF(Assumptions!$B$13="Cost Price",AB359,AA359)*SUMIF(Assumptions!$A$6:$A$10,X359,Assumptions!$C$6:$C$10),0)</f>
        <v>18.436784736720021</v>
      </c>
      <c r="AI359" s="13">
        <f>IFERROR(IF(Assumptions!$B$13="Cost Price",AB359,AA359)*SUMIF(Assumptions!$A$6:$A$10,X359,Assumptions!$D$6:$D$10),0)</f>
        <v>36.873569473440043</v>
      </c>
      <c r="AJ359" s="13">
        <v>55.192982245775568</v>
      </c>
      <c r="AK359" s="13">
        <f t="shared" si="105"/>
        <v>140.00219203468765</v>
      </c>
      <c r="AL359" s="14">
        <v>0.33</v>
      </c>
      <c r="AM359" s="13">
        <f t="shared" si="106"/>
        <v>168.68350269971273</v>
      </c>
      <c r="AN359" s="14">
        <f t="shared" si="107"/>
        <v>0.45746453383422814</v>
      </c>
      <c r="AO359" t="str">
        <f>IF(AN359&gt;=Assumptions!$B$3,"OK","Review")</f>
        <v>OK</v>
      </c>
    </row>
    <row r="360" spans="1:41" ht="15" customHeight="1">
      <c r="A360" s="9" t="s">
        <v>256</v>
      </c>
      <c r="B360" s="9" t="s">
        <v>40</v>
      </c>
      <c r="C360" s="9" t="s">
        <v>243</v>
      </c>
      <c r="D360" s="9" t="s">
        <v>249</v>
      </c>
      <c r="E360" s="9" t="s">
        <v>73</v>
      </c>
      <c r="F360" s="9" t="s">
        <v>90</v>
      </c>
      <c r="G360" s="9" t="s">
        <v>24</v>
      </c>
      <c r="H360" s="9" t="s">
        <v>75</v>
      </c>
      <c r="I360" s="9">
        <v>7000001006</v>
      </c>
      <c r="J360" s="10">
        <v>126.2</v>
      </c>
      <c r="K360" s="10">
        <v>10</v>
      </c>
      <c r="L360" s="10">
        <f t="shared" si="90"/>
        <v>136.19999999999999</v>
      </c>
      <c r="M360" s="11">
        <v>0.18</v>
      </c>
      <c r="N360" s="10">
        <f t="shared" si="91"/>
        <v>24.515999999999998</v>
      </c>
      <c r="O360" s="10">
        <f t="shared" si="92"/>
        <v>160.71599999999998</v>
      </c>
      <c r="P360" s="11">
        <f t="shared" si="93"/>
        <v>0.58656330749354002</v>
      </c>
      <c r="Q360" s="10">
        <f t="shared" si="94"/>
        <v>273.99599999999998</v>
      </c>
      <c r="R360" s="10">
        <f t="shared" si="95"/>
        <v>3441.308</v>
      </c>
      <c r="S360" s="10">
        <f t="shared" si="96"/>
        <v>160.71599999999998</v>
      </c>
      <c r="T360" s="9" t="s">
        <v>91</v>
      </c>
      <c r="U360" s="10">
        <v>5699</v>
      </c>
      <c r="V360" s="10">
        <f t="shared" si="97"/>
        <v>3989.2999999999997</v>
      </c>
      <c r="W360" s="166">
        <v>49119990</v>
      </c>
      <c r="X360" s="12" t="s">
        <v>27</v>
      </c>
      <c r="Y360" s="12">
        <f t="shared" si="98"/>
        <v>160.71599999999998</v>
      </c>
      <c r="Z360" s="13">
        <f t="shared" si="99"/>
        <v>160.71599999999998</v>
      </c>
      <c r="AA360" s="13">
        <f t="shared" si="100"/>
        <v>136.19999999999999</v>
      </c>
      <c r="AB360" s="13">
        <f t="shared" si="101"/>
        <v>126.2</v>
      </c>
      <c r="AC360" s="13">
        <f t="shared" si="102"/>
        <v>9.9999999999999858</v>
      </c>
      <c r="AD360" s="14">
        <f t="shared" si="103"/>
        <v>7.3421439060205484E-2</v>
      </c>
      <c r="AE360" s="14">
        <f t="shared" si="104"/>
        <v>7.9239302694136177E-2</v>
      </c>
      <c r="AF360" s="13" t="str">
        <f>IF(AD360&gt;=Assumptions!$B$3,"OK","Review")</f>
        <v>Review</v>
      </c>
      <c r="AG360" s="13">
        <f>IFERROR(IF(Assumptions!$B$13="Cost Price",AB360,AA360)*SUMIF(Assumptions!$A$6:$A$10,X360,Assumptions!$B$6:$B$10),0)</f>
        <v>10.895999999999999</v>
      </c>
      <c r="AH360" s="13">
        <f>IFERROR(IF(Assumptions!$B$13="Cost Price",AB360,AA360)*SUMIF(Assumptions!$A$6:$A$10,X360,Assumptions!$C$6:$C$10),0)</f>
        <v>6.81</v>
      </c>
      <c r="AI360" s="13">
        <f>IFERROR(IF(Assumptions!$B$13="Cost Price",AB360,AA360)*SUMIF(Assumptions!$A$6:$A$10,X360,Assumptions!$D$6:$D$10),0)</f>
        <v>13.62</v>
      </c>
      <c r="AJ360" s="13">
        <v>13.62</v>
      </c>
      <c r="AK360" s="13">
        <f t="shared" si="105"/>
        <v>44.945999999999998</v>
      </c>
      <c r="AL360" s="14">
        <v>0.33</v>
      </c>
      <c r="AM360" s="13">
        <f t="shared" si="106"/>
        <v>-34.946000000000012</v>
      </c>
      <c r="AN360" s="14">
        <f t="shared" si="107"/>
        <v>-0.25657856093979453</v>
      </c>
      <c r="AO360" t="str">
        <f>IF(AN360&gt;=Assumptions!$B$3,"OK","Review")</f>
        <v>Review</v>
      </c>
    </row>
    <row r="361" spans="1:41" ht="15" customHeight="1">
      <c r="A361" s="9" t="s">
        <v>256</v>
      </c>
      <c r="B361" s="9" t="s">
        <v>40</v>
      </c>
      <c r="C361" s="9" t="s">
        <v>92</v>
      </c>
      <c r="D361" s="9" t="s">
        <v>93</v>
      </c>
      <c r="E361" s="9" t="s">
        <v>73</v>
      </c>
      <c r="F361" s="9" t="s">
        <v>94</v>
      </c>
      <c r="G361" s="9" t="s">
        <v>24</v>
      </c>
      <c r="H361" s="9" t="s">
        <v>75</v>
      </c>
      <c r="I361" s="9">
        <v>8400007</v>
      </c>
      <c r="J361" s="10">
        <v>96</v>
      </c>
      <c r="K361" s="10"/>
      <c r="L361" s="10">
        <f t="shared" si="90"/>
        <v>96</v>
      </c>
      <c r="M361" s="11">
        <v>0.18</v>
      </c>
      <c r="N361" s="10">
        <f t="shared" si="91"/>
        <v>17.28</v>
      </c>
      <c r="O361" s="10">
        <f t="shared" si="92"/>
        <v>113.28</v>
      </c>
      <c r="P361" s="11">
        <f t="shared" si="93"/>
        <v>0.41343669250645998</v>
      </c>
      <c r="Q361" s="10">
        <f t="shared" si="94"/>
        <v>273.99599999999998</v>
      </c>
      <c r="R361" s="10">
        <f t="shared" si="95"/>
        <v>3441.308</v>
      </c>
      <c r="S361" s="10">
        <f t="shared" si="96"/>
        <v>113.28</v>
      </c>
      <c r="T361" s="9" t="s">
        <v>91</v>
      </c>
      <c r="U361" s="10">
        <v>5699</v>
      </c>
      <c r="V361" s="10">
        <f t="shared" si="97"/>
        <v>3989.2999999999997</v>
      </c>
      <c r="W361" s="166">
        <v>999299</v>
      </c>
      <c r="X361" s="12" t="s">
        <v>27</v>
      </c>
      <c r="Y361" s="12">
        <f t="shared" si="98"/>
        <v>113.28</v>
      </c>
      <c r="Z361" s="13">
        <f t="shared" si="99"/>
        <v>113.28</v>
      </c>
      <c r="AA361" s="13">
        <f t="shared" si="100"/>
        <v>96</v>
      </c>
      <c r="AB361" s="13">
        <f t="shared" si="101"/>
        <v>96</v>
      </c>
      <c r="AC361" s="13">
        <f t="shared" si="102"/>
        <v>0</v>
      </c>
      <c r="AD361" s="14">
        <f t="shared" si="103"/>
        <v>0</v>
      </c>
      <c r="AE361" s="14">
        <f t="shared" si="104"/>
        <v>0</v>
      </c>
      <c r="AF361" s="13" t="str">
        <f>IF(AD361&gt;=Assumptions!$B$3,"OK","Review")</f>
        <v>Review</v>
      </c>
      <c r="AG361" s="13">
        <f>IFERROR(IF(Assumptions!$B$13="Cost Price",AB361,AA361)*SUMIF(Assumptions!$A$6:$A$10,X361,Assumptions!$B$6:$B$10),0)</f>
        <v>7.68</v>
      </c>
      <c r="AH361" s="13">
        <f>IFERROR(IF(Assumptions!$B$13="Cost Price",AB361,AA361)*SUMIF(Assumptions!$A$6:$A$10,X361,Assumptions!$C$6:$C$10),0)</f>
        <v>4.8000000000000007</v>
      </c>
      <c r="AI361" s="13">
        <f>IFERROR(IF(Assumptions!$B$13="Cost Price",AB361,AA361)*SUMIF(Assumptions!$A$6:$A$10,X361,Assumptions!$D$6:$D$10),0)</f>
        <v>9.6000000000000014</v>
      </c>
      <c r="AJ361" s="13">
        <v>9.6000000000000014</v>
      </c>
      <c r="AK361" s="13">
        <f t="shared" si="105"/>
        <v>31.680000000000003</v>
      </c>
      <c r="AL361" s="14">
        <v>0.33</v>
      </c>
      <c r="AM361" s="13">
        <f t="shared" si="106"/>
        <v>-31.680000000000003</v>
      </c>
      <c r="AN361" s="14">
        <f t="shared" si="107"/>
        <v>-0.33</v>
      </c>
      <c r="AO361" t="str">
        <f>IF(AN361&gt;=Assumptions!$B$3,"OK","Review")</f>
        <v>Review</v>
      </c>
    </row>
    <row r="362" spans="1:41" ht="15" customHeight="1">
      <c r="A362" s="9" t="s">
        <v>256</v>
      </c>
      <c r="B362" s="9" t="s">
        <v>41</v>
      </c>
      <c r="C362" s="9" t="s">
        <v>105</v>
      </c>
      <c r="D362" s="9" t="s">
        <v>170</v>
      </c>
      <c r="E362" s="9" t="s">
        <v>73</v>
      </c>
      <c r="F362" s="9" t="s">
        <v>81</v>
      </c>
      <c r="G362" s="9" t="s">
        <v>24</v>
      </c>
      <c r="H362" s="9" t="s">
        <v>75</v>
      </c>
      <c r="I362" s="9">
        <v>4000011755</v>
      </c>
      <c r="J362" s="10">
        <v>51.85</v>
      </c>
      <c r="K362" s="10"/>
      <c r="L362" s="10">
        <f t="shared" si="90"/>
        <v>51.85</v>
      </c>
      <c r="M362" s="11">
        <v>0</v>
      </c>
      <c r="N362" s="10">
        <f t="shared" si="91"/>
        <v>0</v>
      </c>
      <c r="O362" s="10">
        <f t="shared" si="92"/>
        <v>51.85</v>
      </c>
      <c r="P362" s="11">
        <f t="shared" si="93"/>
        <v>7.736958338307269E-2</v>
      </c>
      <c r="Q362" s="10">
        <f t="shared" si="94"/>
        <v>670.16000000000008</v>
      </c>
      <c r="R362" s="10">
        <f t="shared" si="95"/>
        <v>3432.3399999999997</v>
      </c>
      <c r="S362" s="10">
        <f t="shared" si="96"/>
        <v>265.5587158290557</v>
      </c>
      <c r="T362" s="9" t="s">
        <v>76</v>
      </c>
      <c r="U362" s="10">
        <v>5699</v>
      </c>
      <c r="V362" s="10">
        <f t="shared" si="97"/>
        <v>3989.2999999999997</v>
      </c>
      <c r="W362" s="166">
        <v>490110</v>
      </c>
      <c r="X362" s="12" t="s">
        <v>27</v>
      </c>
      <c r="Y362" s="12">
        <f t="shared" si="98"/>
        <v>265.5587158290557</v>
      </c>
      <c r="Z362" s="13">
        <f t="shared" si="99"/>
        <v>265.5587158290557</v>
      </c>
      <c r="AA362" s="13">
        <f t="shared" si="100"/>
        <v>265.5587158290557</v>
      </c>
      <c r="AB362" s="13">
        <f t="shared" si="101"/>
        <v>51.85</v>
      </c>
      <c r="AC362" s="13">
        <f t="shared" si="102"/>
        <v>213.70871582905571</v>
      </c>
      <c r="AD362" s="14">
        <f t="shared" si="103"/>
        <v>0.80475127755408848</v>
      </c>
      <c r="AE362" s="14">
        <f t="shared" si="104"/>
        <v>4.1216724364330899</v>
      </c>
      <c r="AF362" s="13" t="str">
        <f>IF(AD362&gt;=Assumptions!$B$3,"OK","Review")</f>
        <v>OK</v>
      </c>
      <c r="AG362" s="13">
        <f>IFERROR(IF(Assumptions!$B$13="Cost Price",AB362,AA362)*SUMIF(Assumptions!$A$6:$A$10,X362,Assumptions!$B$6:$B$10),0)</f>
        <v>21.244697266324458</v>
      </c>
      <c r="AH362" s="13">
        <f>IFERROR(IF(Assumptions!$B$13="Cost Price",AB362,AA362)*SUMIF(Assumptions!$A$6:$A$10,X362,Assumptions!$C$6:$C$10),0)</f>
        <v>13.277935791452785</v>
      </c>
      <c r="AI362" s="13">
        <f>IFERROR(IF(Assumptions!$B$13="Cost Price",AB362,AA362)*SUMIF(Assumptions!$A$6:$A$10,X362,Assumptions!$D$6:$D$10),0)</f>
        <v>26.555871582905571</v>
      </c>
      <c r="AJ362" s="13">
        <v>39.783749253909512</v>
      </c>
      <c r="AK362" s="13">
        <f t="shared" si="105"/>
        <v>100.86225389459233</v>
      </c>
      <c r="AL362" s="14">
        <v>0.33</v>
      </c>
      <c r="AM362" s="13">
        <f t="shared" si="106"/>
        <v>112.84646193446338</v>
      </c>
      <c r="AN362" s="14">
        <f t="shared" si="107"/>
        <v>0.42493977869325295</v>
      </c>
      <c r="AO362" t="str">
        <f>IF(AN362&gt;=Assumptions!$B$3,"OK","Review")</f>
        <v>OK</v>
      </c>
    </row>
    <row r="363" spans="1:41" ht="15" customHeight="1">
      <c r="A363" s="9" t="s">
        <v>256</v>
      </c>
      <c r="B363" s="9" t="s">
        <v>41</v>
      </c>
      <c r="C363" s="9" t="s">
        <v>105</v>
      </c>
      <c r="D363" s="9" t="s">
        <v>171</v>
      </c>
      <c r="E363" s="9" t="s">
        <v>73</v>
      </c>
      <c r="F363" s="9" t="s">
        <v>81</v>
      </c>
      <c r="G363" s="9" t="s">
        <v>24</v>
      </c>
      <c r="H363" s="9" t="s">
        <v>75</v>
      </c>
      <c r="I363" s="9">
        <v>4000011756</v>
      </c>
      <c r="J363" s="10">
        <v>22.42</v>
      </c>
      <c r="K363" s="10"/>
      <c r="L363" s="10">
        <f t="shared" si="90"/>
        <v>22.42</v>
      </c>
      <c r="M363" s="11">
        <v>0</v>
      </c>
      <c r="N363" s="10">
        <f t="shared" si="91"/>
        <v>0</v>
      </c>
      <c r="O363" s="10">
        <f t="shared" si="92"/>
        <v>22.42</v>
      </c>
      <c r="P363" s="11">
        <f t="shared" si="93"/>
        <v>3.3454697385698937E-2</v>
      </c>
      <c r="Q363" s="10">
        <f t="shared" si="94"/>
        <v>670.16000000000008</v>
      </c>
      <c r="R363" s="10">
        <f t="shared" si="95"/>
        <v>3432.3399999999997</v>
      </c>
      <c r="S363" s="10">
        <f t="shared" si="96"/>
        <v>114.82789602482988</v>
      </c>
      <c r="T363" s="9" t="s">
        <v>76</v>
      </c>
      <c r="U363" s="10">
        <v>5699</v>
      </c>
      <c r="V363" s="10">
        <f t="shared" si="97"/>
        <v>3989.2999999999997</v>
      </c>
      <c r="W363" s="166">
        <v>490110</v>
      </c>
      <c r="X363" s="12" t="s">
        <v>27</v>
      </c>
      <c r="Y363" s="12">
        <f t="shared" si="98"/>
        <v>114.82789602482988</v>
      </c>
      <c r="Z363" s="13">
        <f t="shared" si="99"/>
        <v>114.82789602482988</v>
      </c>
      <c r="AA363" s="13">
        <f t="shared" si="100"/>
        <v>114.82789602482988</v>
      </c>
      <c r="AB363" s="13">
        <f t="shared" si="101"/>
        <v>22.42</v>
      </c>
      <c r="AC363" s="13">
        <f t="shared" si="102"/>
        <v>92.407896024829881</v>
      </c>
      <c r="AD363" s="14">
        <f t="shared" si="103"/>
        <v>0.80475127755408848</v>
      </c>
      <c r="AE363" s="14">
        <f t="shared" si="104"/>
        <v>4.1216724364330899</v>
      </c>
      <c r="AF363" s="13" t="str">
        <f>IF(AD363&gt;=Assumptions!$B$3,"OK","Review")</f>
        <v>OK</v>
      </c>
      <c r="AG363" s="13">
        <f>IFERROR(IF(Assumptions!$B$13="Cost Price",AB363,AA363)*SUMIF(Assumptions!$A$6:$A$10,X363,Assumptions!$B$6:$B$10),0)</f>
        <v>9.1862316819863903</v>
      </c>
      <c r="AH363" s="13">
        <f>IFERROR(IF(Assumptions!$B$13="Cost Price",AB363,AA363)*SUMIF(Assumptions!$A$6:$A$10,X363,Assumptions!$C$6:$C$10),0)</f>
        <v>5.7413948012414942</v>
      </c>
      <c r="AI363" s="13">
        <f>IFERROR(IF(Assumptions!$B$13="Cost Price",AB363,AA363)*SUMIF(Assumptions!$A$6:$A$10,X363,Assumptions!$D$6:$D$10),0)</f>
        <v>11.482789602482988</v>
      </c>
      <c r="AJ363" s="13">
        <v>17.202539214515937</v>
      </c>
      <c r="AK363" s="13">
        <f t="shared" si="105"/>
        <v>43.612955300226808</v>
      </c>
      <c r="AL363" s="14">
        <v>0.33</v>
      </c>
      <c r="AM363" s="13">
        <f t="shared" si="106"/>
        <v>48.794940724603073</v>
      </c>
      <c r="AN363" s="14">
        <f t="shared" si="107"/>
        <v>0.42493977869325295</v>
      </c>
      <c r="AO363" t="str">
        <f>IF(AN363&gt;=Assumptions!$B$3,"OK","Review")</f>
        <v>OK</v>
      </c>
    </row>
    <row r="364" spans="1:41" ht="15" customHeight="1">
      <c r="A364" s="9" t="s">
        <v>256</v>
      </c>
      <c r="B364" s="9" t="s">
        <v>41</v>
      </c>
      <c r="C364" s="9" t="s">
        <v>71</v>
      </c>
      <c r="D364" s="9" t="s">
        <v>172</v>
      </c>
      <c r="E364" s="9" t="s">
        <v>73</v>
      </c>
      <c r="F364" s="9" t="s">
        <v>74</v>
      </c>
      <c r="G364" s="9" t="s">
        <v>24</v>
      </c>
      <c r="H364" s="9" t="s">
        <v>75</v>
      </c>
      <c r="I364" s="9">
        <v>4000011757</v>
      </c>
      <c r="J364" s="10">
        <v>72.88</v>
      </c>
      <c r="K364" s="10"/>
      <c r="L364" s="10">
        <f t="shared" si="90"/>
        <v>72.88</v>
      </c>
      <c r="M364" s="11">
        <v>0</v>
      </c>
      <c r="N364" s="10">
        <f t="shared" si="91"/>
        <v>0</v>
      </c>
      <c r="O364" s="10">
        <f t="shared" si="92"/>
        <v>72.88</v>
      </c>
      <c r="P364" s="11">
        <f t="shared" si="93"/>
        <v>0.10875014921809716</v>
      </c>
      <c r="Q364" s="10">
        <f t="shared" si="94"/>
        <v>670.16000000000008</v>
      </c>
      <c r="R364" s="10">
        <f t="shared" si="95"/>
        <v>3432.3399999999997</v>
      </c>
      <c r="S364" s="10">
        <f t="shared" si="96"/>
        <v>373.26748716724353</v>
      </c>
      <c r="T364" s="9" t="s">
        <v>76</v>
      </c>
      <c r="U364" s="10">
        <v>5699</v>
      </c>
      <c r="V364" s="10">
        <f t="shared" si="97"/>
        <v>3989.2999999999997</v>
      </c>
      <c r="W364" s="166">
        <v>490110</v>
      </c>
      <c r="X364" s="12" t="s">
        <v>27</v>
      </c>
      <c r="Y364" s="12">
        <f t="shared" si="98"/>
        <v>373.26748716724353</v>
      </c>
      <c r="Z364" s="13">
        <f t="shared" si="99"/>
        <v>373.26748716724353</v>
      </c>
      <c r="AA364" s="13">
        <f t="shared" si="100"/>
        <v>373.26748716724353</v>
      </c>
      <c r="AB364" s="13">
        <f t="shared" si="101"/>
        <v>72.88</v>
      </c>
      <c r="AC364" s="13">
        <f t="shared" si="102"/>
        <v>300.38748716724353</v>
      </c>
      <c r="AD364" s="14">
        <f t="shared" si="103"/>
        <v>0.80475127755408837</v>
      </c>
      <c r="AE364" s="14">
        <f t="shared" si="104"/>
        <v>4.121672436433089</v>
      </c>
      <c r="AF364" s="13" t="str">
        <f>IF(AD364&gt;=Assumptions!$B$3,"OK","Review")</f>
        <v>OK</v>
      </c>
      <c r="AG364" s="13">
        <f>IFERROR(IF(Assumptions!$B$13="Cost Price",AB364,AA364)*SUMIF(Assumptions!$A$6:$A$10,X364,Assumptions!$B$6:$B$10),0)</f>
        <v>29.861398973379483</v>
      </c>
      <c r="AH364" s="13">
        <f>IFERROR(IF(Assumptions!$B$13="Cost Price",AB364,AA364)*SUMIF(Assumptions!$A$6:$A$10,X364,Assumptions!$C$6:$C$10),0)</f>
        <v>18.663374358362177</v>
      </c>
      <c r="AI364" s="13">
        <f>IFERROR(IF(Assumptions!$B$13="Cost Price",AB364,AA364)*SUMIF(Assumptions!$A$6:$A$10,X364,Assumptions!$D$6:$D$10),0)</f>
        <v>37.326748716724353</v>
      </c>
      <c r="AJ364" s="13">
        <v>55.919761728542426</v>
      </c>
      <c r="AK364" s="13">
        <f t="shared" si="105"/>
        <v>141.77128377700842</v>
      </c>
      <c r="AL364" s="14">
        <v>0.33</v>
      </c>
      <c r="AM364" s="13">
        <f t="shared" si="106"/>
        <v>158.61620339023511</v>
      </c>
      <c r="AN364" s="14">
        <f t="shared" si="107"/>
        <v>0.424939778693253</v>
      </c>
      <c r="AO364" t="str">
        <f>IF(AN364&gt;=Assumptions!$B$3,"OK","Review")</f>
        <v>OK</v>
      </c>
    </row>
    <row r="365" spans="1:41" ht="15" customHeight="1">
      <c r="A365" s="9" t="s">
        <v>256</v>
      </c>
      <c r="B365" s="9" t="s">
        <v>41</v>
      </c>
      <c r="C365" s="9" t="s">
        <v>78</v>
      </c>
      <c r="D365" s="9" t="s">
        <v>173</v>
      </c>
      <c r="E365" s="9" t="s">
        <v>73</v>
      </c>
      <c r="F365" s="9" t="s">
        <v>74</v>
      </c>
      <c r="G365" s="9" t="s">
        <v>24</v>
      </c>
      <c r="H365" s="9" t="s">
        <v>75</v>
      </c>
      <c r="I365" s="9">
        <v>4000011760</v>
      </c>
      <c r="J365" s="10">
        <v>18.559999999999999</v>
      </c>
      <c r="K365" s="10"/>
      <c r="L365" s="10">
        <f t="shared" si="90"/>
        <v>18.559999999999999</v>
      </c>
      <c r="M365" s="11">
        <v>0</v>
      </c>
      <c r="N365" s="10">
        <f t="shared" si="91"/>
        <v>0</v>
      </c>
      <c r="O365" s="10">
        <f t="shared" si="92"/>
        <v>18.559999999999999</v>
      </c>
      <c r="P365" s="11">
        <f t="shared" si="93"/>
        <v>2.7694878834905092E-2</v>
      </c>
      <c r="Q365" s="10">
        <f t="shared" si="94"/>
        <v>670.16000000000008</v>
      </c>
      <c r="R365" s="10">
        <f t="shared" si="95"/>
        <v>3432.3399999999997</v>
      </c>
      <c r="S365" s="10">
        <f t="shared" si="96"/>
        <v>95.058240420198132</v>
      </c>
      <c r="T365" s="9" t="s">
        <v>76</v>
      </c>
      <c r="U365" s="10">
        <v>5699</v>
      </c>
      <c r="V365" s="10">
        <f t="shared" si="97"/>
        <v>3989.2999999999997</v>
      </c>
      <c r="W365" s="166">
        <v>490110</v>
      </c>
      <c r="X365" s="12" t="s">
        <v>27</v>
      </c>
      <c r="Y365" s="12">
        <f t="shared" si="98"/>
        <v>95.058240420198132</v>
      </c>
      <c r="Z365" s="13">
        <f t="shared" si="99"/>
        <v>95.058240420198132</v>
      </c>
      <c r="AA365" s="13">
        <f t="shared" si="100"/>
        <v>95.058240420198132</v>
      </c>
      <c r="AB365" s="13">
        <f t="shared" si="101"/>
        <v>18.559999999999999</v>
      </c>
      <c r="AC365" s="13">
        <f t="shared" si="102"/>
        <v>76.49824042019813</v>
      </c>
      <c r="AD365" s="14">
        <f t="shared" si="103"/>
        <v>0.80475127755408837</v>
      </c>
      <c r="AE365" s="14">
        <f t="shared" si="104"/>
        <v>4.121672436433089</v>
      </c>
      <c r="AF365" s="13" t="str">
        <f>IF(AD365&gt;=Assumptions!$B$3,"OK","Review")</f>
        <v>OK</v>
      </c>
      <c r="AG365" s="13">
        <f>IFERROR(IF(Assumptions!$B$13="Cost Price",AB365,AA365)*SUMIF(Assumptions!$A$6:$A$10,X365,Assumptions!$B$6:$B$10),0)</f>
        <v>7.6046592336158509</v>
      </c>
      <c r="AH365" s="13">
        <f>IFERROR(IF(Assumptions!$B$13="Cost Price",AB365,AA365)*SUMIF(Assumptions!$A$6:$A$10,X365,Assumptions!$C$6:$C$10),0)</f>
        <v>4.752912021009907</v>
      </c>
      <c r="AI365" s="13">
        <f>IFERROR(IF(Assumptions!$B$13="Cost Price",AB365,AA365)*SUMIF(Assumptions!$A$6:$A$10,X365,Assumptions!$D$6:$D$10),0)</f>
        <v>9.5058240420198139</v>
      </c>
      <c r="AJ365" s="13">
        <v>14.240817476423539</v>
      </c>
      <c r="AK365" s="13">
        <f t="shared" si="105"/>
        <v>36.104212773069108</v>
      </c>
      <c r="AL365" s="14">
        <v>0.33</v>
      </c>
      <c r="AM365" s="13">
        <f t="shared" si="106"/>
        <v>40.394027647129022</v>
      </c>
      <c r="AN365" s="14">
        <f t="shared" si="107"/>
        <v>0.42493977869325289</v>
      </c>
      <c r="AO365" t="str">
        <f>IF(AN365&gt;=Assumptions!$B$3,"OK","Review")</f>
        <v>OK</v>
      </c>
    </row>
    <row r="366" spans="1:41" ht="15" customHeight="1">
      <c r="A366" s="9" t="s">
        <v>256</v>
      </c>
      <c r="B366" s="9" t="s">
        <v>41</v>
      </c>
      <c r="C366" s="9" t="s">
        <v>78</v>
      </c>
      <c r="D366" s="9" t="s">
        <v>174</v>
      </c>
      <c r="E366" s="9" t="s">
        <v>73</v>
      </c>
      <c r="F366" s="9" t="s">
        <v>74</v>
      </c>
      <c r="G366" s="9" t="s">
        <v>24</v>
      </c>
      <c r="H366" s="9" t="s">
        <v>75</v>
      </c>
      <c r="I366" s="9">
        <v>4000011759</v>
      </c>
      <c r="J366" s="10">
        <v>59.69</v>
      </c>
      <c r="K366" s="10"/>
      <c r="L366" s="10">
        <f t="shared" si="90"/>
        <v>59.69</v>
      </c>
      <c r="M366" s="11">
        <v>0</v>
      </c>
      <c r="N366" s="10">
        <f t="shared" si="91"/>
        <v>0</v>
      </c>
      <c r="O366" s="10">
        <f t="shared" si="92"/>
        <v>59.69</v>
      </c>
      <c r="P366" s="11">
        <f t="shared" si="93"/>
        <v>8.906828220126535E-2</v>
      </c>
      <c r="Q366" s="10">
        <f t="shared" si="94"/>
        <v>670.16000000000008</v>
      </c>
      <c r="R366" s="10">
        <f t="shared" si="95"/>
        <v>3432.3399999999997</v>
      </c>
      <c r="S366" s="10">
        <f t="shared" si="96"/>
        <v>305.71262773069111</v>
      </c>
      <c r="T366" s="9" t="s">
        <v>76</v>
      </c>
      <c r="U366" s="10">
        <v>5699</v>
      </c>
      <c r="V366" s="10">
        <f t="shared" si="97"/>
        <v>3989.2999999999997</v>
      </c>
      <c r="W366" s="166">
        <v>490110</v>
      </c>
      <c r="X366" s="12" t="s">
        <v>27</v>
      </c>
      <c r="Y366" s="12">
        <f t="shared" si="98"/>
        <v>305.71262773069111</v>
      </c>
      <c r="Z366" s="13">
        <f t="shared" si="99"/>
        <v>305.71262773069111</v>
      </c>
      <c r="AA366" s="13">
        <f t="shared" si="100"/>
        <v>305.71262773069111</v>
      </c>
      <c r="AB366" s="13">
        <f t="shared" si="101"/>
        <v>59.69</v>
      </c>
      <c r="AC366" s="13">
        <f t="shared" si="102"/>
        <v>246.02262773069111</v>
      </c>
      <c r="AD366" s="14">
        <f t="shared" si="103"/>
        <v>0.80475127755408837</v>
      </c>
      <c r="AE366" s="14">
        <f t="shared" si="104"/>
        <v>4.1216724364330899</v>
      </c>
      <c r="AF366" s="13" t="str">
        <f>IF(AD366&gt;=Assumptions!$B$3,"OK","Review")</f>
        <v>OK</v>
      </c>
      <c r="AG366" s="13">
        <f>IFERROR(IF(Assumptions!$B$13="Cost Price",AB366,AA366)*SUMIF(Assumptions!$A$6:$A$10,X366,Assumptions!$B$6:$B$10),0)</f>
        <v>24.457010218455288</v>
      </c>
      <c r="AH366" s="13">
        <f>IFERROR(IF(Assumptions!$B$13="Cost Price",AB366,AA366)*SUMIF(Assumptions!$A$6:$A$10,X366,Assumptions!$C$6:$C$10),0)</f>
        <v>15.285631386534556</v>
      </c>
      <c r="AI366" s="13">
        <f>IFERROR(IF(Assumptions!$B$13="Cost Price",AB366,AA366)*SUMIF(Assumptions!$A$6:$A$10,X366,Assumptions!$D$6:$D$10),0)</f>
        <v>30.571262773069112</v>
      </c>
      <c r="AJ366" s="13">
        <v>45.79926698101945</v>
      </c>
      <c r="AK366" s="13">
        <f t="shared" si="105"/>
        <v>116.11317135907839</v>
      </c>
      <c r="AL366" s="14">
        <v>0.33</v>
      </c>
      <c r="AM366" s="13">
        <f t="shared" si="106"/>
        <v>129.90945637161272</v>
      </c>
      <c r="AN366" s="14">
        <f t="shared" si="107"/>
        <v>0.424939778693253</v>
      </c>
      <c r="AO366" t="str">
        <f>IF(AN366&gt;=Assumptions!$B$3,"OK","Review")</f>
        <v>OK</v>
      </c>
    </row>
    <row r="367" spans="1:41" ht="15" customHeight="1">
      <c r="A367" s="9" t="s">
        <v>256</v>
      </c>
      <c r="B367" s="9" t="s">
        <v>41</v>
      </c>
      <c r="C367" s="9" t="s">
        <v>78</v>
      </c>
      <c r="D367" s="9" t="s">
        <v>175</v>
      </c>
      <c r="E367" s="9" t="s">
        <v>73</v>
      </c>
      <c r="F367" s="9" t="s">
        <v>74</v>
      </c>
      <c r="G367" s="9" t="s">
        <v>24</v>
      </c>
      <c r="H367" s="9" t="s">
        <v>75</v>
      </c>
      <c r="I367" s="9">
        <v>4000011761</v>
      </c>
      <c r="J367" s="10">
        <v>14.84</v>
      </c>
      <c r="K367" s="10"/>
      <c r="L367" s="10">
        <f t="shared" si="90"/>
        <v>14.84</v>
      </c>
      <c r="M367" s="11">
        <v>0</v>
      </c>
      <c r="N367" s="10">
        <f t="shared" si="91"/>
        <v>0</v>
      </c>
      <c r="O367" s="10">
        <f t="shared" si="92"/>
        <v>14.84</v>
      </c>
      <c r="P367" s="11">
        <f t="shared" si="93"/>
        <v>2.2143965620150408E-2</v>
      </c>
      <c r="Q367" s="10">
        <f t="shared" si="94"/>
        <v>670.16000000000008</v>
      </c>
      <c r="R367" s="10">
        <f t="shared" si="95"/>
        <v>3432.3399999999997</v>
      </c>
      <c r="S367" s="10">
        <f t="shared" si="96"/>
        <v>76.00561895666705</v>
      </c>
      <c r="T367" s="9" t="s">
        <v>76</v>
      </c>
      <c r="U367" s="10">
        <v>5699</v>
      </c>
      <c r="V367" s="10">
        <f t="shared" si="97"/>
        <v>3989.2999999999997</v>
      </c>
      <c r="W367" s="166">
        <v>490110</v>
      </c>
      <c r="X367" s="12" t="s">
        <v>27</v>
      </c>
      <c r="Y367" s="12">
        <f t="shared" si="98"/>
        <v>76.00561895666705</v>
      </c>
      <c r="Z367" s="13">
        <f t="shared" si="99"/>
        <v>76.00561895666705</v>
      </c>
      <c r="AA367" s="13">
        <f t="shared" si="100"/>
        <v>76.00561895666705</v>
      </c>
      <c r="AB367" s="13">
        <f t="shared" si="101"/>
        <v>14.84</v>
      </c>
      <c r="AC367" s="13">
        <f t="shared" si="102"/>
        <v>61.165618956667046</v>
      </c>
      <c r="AD367" s="14">
        <f t="shared" si="103"/>
        <v>0.80475127755408837</v>
      </c>
      <c r="AE367" s="14">
        <f t="shared" si="104"/>
        <v>4.121672436433089</v>
      </c>
      <c r="AF367" s="13" t="str">
        <f>IF(AD367&gt;=Assumptions!$B$3,"OK","Review")</f>
        <v>OK</v>
      </c>
      <c r="AG367" s="13">
        <f>IFERROR(IF(Assumptions!$B$13="Cost Price",AB367,AA367)*SUMIF(Assumptions!$A$6:$A$10,X367,Assumptions!$B$6:$B$10),0)</f>
        <v>6.0804495165333643</v>
      </c>
      <c r="AH367" s="13">
        <f>IFERROR(IF(Assumptions!$B$13="Cost Price",AB367,AA367)*SUMIF(Assumptions!$A$6:$A$10,X367,Assumptions!$C$6:$C$10),0)</f>
        <v>3.8002809478333526</v>
      </c>
      <c r="AI367" s="13">
        <f>IFERROR(IF(Assumptions!$B$13="Cost Price",AB367,AA367)*SUMIF(Assumptions!$A$6:$A$10,X367,Assumptions!$D$6:$D$10),0)</f>
        <v>7.6005618956667051</v>
      </c>
      <c r="AJ367" s="13">
        <v>11.386515697743821</v>
      </c>
      <c r="AK367" s="13">
        <f t="shared" si="105"/>
        <v>28.867808057777243</v>
      </c>
      <c r="AL367" s="14">
        <v>0.33</v>
      </c>
      <c r="AM367" s="13">
        <f t="shared" si="106"/>
        <v>32.297810898889807</v>
      </c>
      <c r="AN367" s="14">
        <f t="shared" si="107"/>
        <v>0.42493977869325295</v>
      </c>
      <c r="AO367" t="str">
        <f>IF(AN367&gt;=Assumptions!$B$3,"OK","Review")</f>
        <v>OK</v>
      </c>
    </row>
    <row r="368" spans="1:41" ht="15" customHeight="1">
      <c r="A368" s="9" t="s">
        <v>256</v>
      </c>
      <c r="B368" s="9" t="s">
        <v>41</v>
      </c>
      <c r="C368" s="9" t="s">
        <v>161</v>
      </c>
      <c r="D368" s="9" t="s">
        <v>176</v>
      </c>
      <c r="E368" s="9" t="s">
        <v>73</v>
      </c>
      <c r="F368" s="9" t="s">
        <v>74</v>
      </c>
      <c r="G368" s="9" t="s">
        <v>24</v>
      </c>
      <c r="H368" s="9" t="s">
        <v>75</v>
      </c>
      <c r="I368" s="9">
        <v>4000011762</v>
      </c>
      <c r="J368" s="10">
        <v>101.74</v>
      </c>
      <c r="K368" s="10"/>
      <c r="L368" s="10">
        <f t="shared" si="90"/>
        <v>101.74</v>
      </c>
      <c r="M368" s="11">
        <v>0</v>
      </c>
      <c r="N368" s="10">
        <f t="shared" si="91"/>
        <v>0</v>
      </c>
      <c r="O368" s="10">
        <f t="shared" si="92"/>
        <v>101.74</v>
      </c>
      <c r="P368" s="11">
        <f t="shared" si="93"/>
        <v>0.15181449206159719</v>
      </c>
      <c r="Q368" s="10">
        <f t="shared" si="94"/>
        <v>670.16000000000008</v>
      </c>
      <c r="R368" s="10">
        <f t="shared" si="95"/>
        <v>3432.3399999999997</v>
      </c>
      <c r="S368" s="10">
        <f t="shared" si="96"/>
        <v>521.07895368270249</v>
      </c>
      <c r="T368" s="9" t="s">
        <v>76</v>
      </c>
      <c r="U368" s="10">
        <v>5699</v>
      </c>
      <c r="V368" s="10">
        <f t="shared" si="97"/>
        <v>3989.2999999999997</v>
      </c>
      <c r="W368" s="166">
        <v>490110</v>
      </c>
      <c r="X368" s="12" t="s">
        <v>27</v>
      </c>
      <c r="Y368" s="12">
        <f t="shared" si="98"/>
        <v>521.07895368270249</v>
      </c>
      <c r="Z368" s="13">
        <f t="shared" si="99"/>
        <v>521.07895368270249</v>
      </c>
      <c r="AA368" s="13">
        <f t="shared" si="100"/>
        <v>521.07895368270249</v>
      </c>
      <c r="AB368" s="13">
        <f t="shared" si="101"/>
        <v>101.74</v>
      </c>
      <c r="AC368" s="13">
        <f t="shared" si="102"/>
        <v>419.33895368270248</v>
      </c>
      <c r="AD368" s="14">
        <f t="shared" si="103"/>
        <v>0.80475127755408837</v>
      </c>
      <c r="AE368" s="14">
        <f t="shared" si="104"/>
        <v>4.121672436433089</v>
      </c>
      <c r="AF368" s="13" t="str">
        <f>IF(AD368&gt;=Assumptions!$B$3,"OK","Review")</f>
        <v>OK</v>
      </c>
      <c r="AG368" s="13">
        <f>IFERROR(IF(Assumptions!$B$13="Cost Price",AB368,AA368)*SUMIF(Assumptions!$A$6:$A$10,X368,Assumptions!$B$6:$B$10),0)</f>
        <v>41.686316294616198</v>
      </c>
      <c r="AH368" s="13">
        <f>IFERROR(IF(Assumptions!$B$13="Cost Price",AB368,AA368)*SUMIF(Assumptions!$A$6:$A$10,X368,Assumptions!$C$6:$C$10),0)</f>
        <v>26.053947684135125</v>
      </c>
      <c r="AI368" s="13">
        <f>IFERROR(IF(Assumptions!$B$13="Cost Price",AB368,AA368)*SUMIF(Assumptions!$A$6:$A$10,X368,Assumptions!$D$6:$D$10),0)</f>
        <v>52.107895368270249</v>
      </c>
      <c r="AJ368" s="13">
        <v>78.063619076041533</v>
      </c>
      <c r="AK368" s="13">
        <f t="shared" si="105"/>
        <v>197.91177842306311</v>
      </c>
      <c r="AL368" s="14">
        <v>0.33</v>
      </c>
      <c r="AM368" s="13">
        <f t="shared" si="106"/>
        <v>221.42717525963937</v>
      </c>
      <c r="AN368" s="14">
        <f t="shared" si="107"/>
        <v>0.42493977869325289</v>
      </c>
      <c r="AO368" t="str">
        <f>IF(AN368&gt;=Assumptions!$B$3,"OK","Review")</f>
        <v>OK</v>
      </c>
    </row>
    <row r="369" spans="1:41" ht="15" customHeight="1">
      <c r="A369" s="9" t="s">
        <v>256</v>
      </c>
      <c r="B369" s="9" t="s">
        <v>41</v>
      </c>
      <c r="C369" s="9" t="s">
        <v>105</v>
      </c>
      <c r="D369" s="9" t="s">
        <v>177</v>
      </c>
      <c r="E369" s="9" t="s">
        <v>73</v>
      </c>
      <c r="F369" s="9" t="s">
        <v>81</v>
      </c>
      <c r="G369" s="9" t="s">
        <v>24</v>
      </c>
      <c r="H369" s="9" t="s">
        <v>84</v>
      </c>
      <c r="I369" s="9">
        <v>4000011763</v>
      </c>
      <c r="J369" s="10">
        <v>57.08</v>
      </c>
      <c r="K369" s="10"/>
      <c r="L369" s="10">
        <f t="shared" si="90"/>
        <v>57.08</v>
      </c>
      <c r="M369" s="11">
        <v>0</v>
      </c>
      <c r="N369" s="10">
        <f t="shared" si="91"/>
        <v>0</v>
      </c>
      <c r="O369" s="10">
        <f t="shared" si="92"/>
        <v>57.08</v>
      </c>
      <c r="P369" s="11">
        <f t="shared" si="93"/>
        <v>8.517368986510683E-2</v>
      </c>
      <c r="Q369" s="10">
        <f t="shared" si="94"/>
        <v>670.16000000000008</v>
      </c>
      <c r="R369" s="10">
        <f t="shared" si="95"/>
        <v>3432.3399999999997</v>
      </c>
      <c r="S369" s="10">
        <f t="shared" si="96"/>
        <v>292.34506267160077</v>
      </c>
      <c r="T369" s="9" t="s">
        <v>76</v>
      </c>
      <c r="U369" s="10">
        <v>5699</v>
      </c>
      <c r="V369" s="10">
        <f t="shared" si="97"/>
        <v>3989.2999999999997</v>
      </c>
      <c r="W369" s="166">
        <v>490110</v>
      </c>
      <c r="X369" s="12" t="s">
        <v>27</v>
      </c>
      <c r="Y369" s="12">
        <f t="shared" si="98"/>
        <v>292.34506267160077</v>
      </c>
      <c r="Z369" s="13">
        <f t="shared" si="99"/>
        <v>292.34506267160077</v>
      </c>
      <c r="AA369" s="13">
        <f t="shared" si="100"/>
        <v>292.34506267160077</v>
      </c>
      <c r="AB369" s="13">
        <f t="shared" si="101"/>
        <v>57.08</v>
      </c>
      <c r="AC369" s="13">
        <f t="shared" si="102"/>
        <v>235.26506267160079</v>
      </c>
      <c r="AD369" s="14">
        <f t="shared" si="103"/>
        <v>0.80475127755408848</v>
      </c>
      <c r="AE369" s="14">
        <f t="shared" si="104"/>
        <v>4.1216724364330899</v>
      </c>
      <c r="AF369" s="13" t="str">
        <f>IF(AD369&gt;=Assumptions!$B$3,"OK","Review")</f>
        <v>OK</v>
      </c>
      <c r="AG369" s="13">
        <f>IFERROR(IF(Assumptions!$B$13="Cost Price",AB369,AA369)*SUMIF(Assumptions!$A$6:$A$10,X369,Assumptions!$B$6:$B$10),0)</f>
        <v>23.387605013728063</v>
      </c>
      <c r="AH369" s="13">
        <f>IFERROR(IF(Assumptions!$B$13="Cost Price",AB369,AA369)*SUMIF(Assumptions!$A$6:$A$10,X369,Assumptions!$C$6:$C$10),0)</f>
        <v>14.617253133580039</v>
      </c>
      <c r="AI369" s="13">
        <f>IFERROR(IF(Assumptions!$B$13="Cost Price",AB369,AA369)*SUMIF(Assumptions!$A$6:$A$10,X369,Assumptions!$D$6:$D$10),0)</f>
        <v>29.234506267160079</v>
      </c>
      <c r="AJ369" s="13">
        <v>43.796652023397399</v>
      </c>
      <c r="AK369" s="13">
        <f t="shared" si="105"/>
        <v>111.03601643786558</v>
      </c>
      <c r="AL369" s="14">
        <v>0.33</v>
      </c>
      <c r="AM369" s="13">
        <f t="shared" si="106"/>
        <v>124.2290462337352</v>
      </c>
      <c r="AN369" s="14">
        <f t="shared" si="107"/>
        <v>0.424939778693253</v>
      </c>
      <c r="AO369" t="str">
        <f>IF(AN369&gt;=Assumptions!$B$3,"OK","Review")</f>
        <v>OK</v>
      </c>
    </row>
    <row r="370" spans="1:41" ht="15" customHeight="1">
      <c r="A370" s="9" t="s">
        <v>256</v>
      </c>
      <c r="B370" s="9" t="s">
        <v>41</v>
      </c>
      <c r="C370" s="9" t="s">
        <v>105</v>
      </c>
      <c r="D370" s="9" t="s">
        <v>178</v>
      </c>
      <c r="E370" s="9" t="s">
        <v>73</v>
      </c>
      <c r="F370" s="9" t="s">
        <v>81</v>
      </c>
      <c r="G370" s="9" t="s">
        <v>24</v>
      </c>
      <c r="H370" s="9" t="s">
        <v>84</v>
      </c>
      <c r="I370" s="9">
        <v>4000011764</v>
      </c>
      <c r="J370" s="10">
        <v>22.42</v>
      </c>
      <c r="K370" s="10"/>
      <c r="L370" s="10">
        <f t="shared" si="90"/>
        <v>22.42</v>
      </c>
      <c r="M370" s="11">
        <v>0</v>
      </c>
      <c r="N370" s="10">
        <f t="shared" si="91"/>
        <v>0</v>
      </c>
      <c r="O370" s="10">
        <f t="shared" si="92"/>
        <v>22.42</v>
      </c>
      <c r="P370" s="11">
        <f t="shared" si="93"/>
        <v>3.3454697385698937E-2</v>
      </c>
      <c r="Q370" s="10">
        <f t="shared" si="94"/>
        <v>670.16000000000008</v>
      </c>
      <c r="R370" s="10">
        <f t="shared" si="95"/>
        <v>3432.3399999999997</v>
      </c>
      <c r="S370" s="10">
        <f t="shared" si="96"/>
        <v>114.82789602482988</v>
      </c>
      <c r="T370" s="9" t="s">
        <v>76</v>
      </c>
      <c r="U370" s="10">
        <v>5699</v>
      </c>
      <c r="V370" s="10">
        <f t="shared" si="97"/>
        <v>3989.2999999999997</v>
      </c>
      <c r="W370" s="166">
        <v>490110</v>
      </c>
      <c r="X370" s="12" t="s">
        <v>27</v>
      </c>
      <c r="Y370" s="12">
        <f t="shared" si="98"/>
        <v>114.82789602482988</v>
      </c>
      <c r="Z370" s="13">
        <f t="shared" si="99"/>
        <v>114.82789602482988</v>
      </c>
      <c r="AA370" s="13">
        <f t="shared" si="100"/>
        <v>114.82789602482988</v>
      </c>
      <c r="AB370" s="13">
        <f t="shared" si="101"/>
        <v>22.42</v>
      </c>
      <c r="AC370" s="13">
        <f t="shared" si="102"/>
        <v>92.407896024829881</v>
      </c>
      <c r="AD370" s="14">
        <f t="shared" si="103"/>
        <v>0.80475127755408848</v>
      </c>
      <c r="AE370" s="14">
        <f t="shared" si="104"/>
        <v>4.1216724364330899</v>
      </c>
      <c r="AF370" s="13" t="str">
        <f>IF(AD370&gt;=Assumptions!$B$3,"OK","Review")</f>
        <v>OK</v>
      </c>
      <c r="AG370" s="13">
        <f>IFERROR(IF(Assumptions!$B$13="Cost Price",AB370,AA370)*SUMIF(Assumptions!$A$6:$A$10,X370,Assumptions!$B$6:$B$10),0)</f>
        <v>9.1862316819863903</v>
      </c>
      <c r="AH370" s="13">
        <f>IFERROR(IF(Assumptions!$B$13="Cost Price",AB370,AA370)*SUMIF(Assumptions!$A$6:$A$10,X370,Assumptions!$C$6:$C$10),0)</f>
        <v>5.7413948012414942</v>
      </c>
      <c r="AI370" s="13">
        <f>IFERROR(IF(Assumptions!$B$13="Cost Price",AB370,AA370)*SUMIF(Assumptions!$A$6:$A$10,X370,Assumptions!$D$6:$D$10),0)</f>
        <v>11.482789602482988</v>
      </c>
      <c r="AJ370" s="13">
        <v>17.202539214515937</v>
      </c>
      <c r="AK370" s="13">
        <f t="shared" si="105"/>
        <v>43.612955300226808</v>
      </c>
      <c r="AL370" s="14">
        <v>0.33</v>
      </c>
      <c r="AM370" s="13">
        <f t="shared" si="106"/>
        <v>48.794940724603073</v>
      </c>
      <c r="AN370" s="14">
        <f t="shared" si="107"/>
        <v>0.42493977869325295</v>
      </c>
      <c r="AO370" t="str">
        <f>IF(AN370&gt;=Assumptions!$B$3,"OK","Review")</f>
        <v>OK</v>
      </c>
    </row>
    <row r="371" spans="1:41" ht="15" customHeight="1">
      <c r="A371" s="9" t="s">
        <v>256</v>
      </c>
      <c r="B371" s="9" t="s">
        <v>41</v>
      </c>
      <c r="C371" s="9" t="s">
        <v>71</v>
      </c>
      <c r="D371" s="9" t="s">
        <v>179</v>
      </c>
      <c r="E371" s="9" t="s">
        <v>73</v>
      </c>
      <c r="F371" s="9" t="s">
        <v>74</v>
      </c>
      <c r="G371" s="9" t="s">
        <v>24</v>
      </c>
      <c r="H371" s="9" t="s">
        <v>84</v>
      </c>
      <c r="I371" s="9">
        <v>4000011765</v>
      </c>
      <c r="J371" s="10">
        <v>78.069999999999993</v>
      </c>
      <c r="K371" s="10"/>
      <c r="L371" s="10">
        <f t="shared" si="90"/>
        <v>78.069999999999993</v>
      </c>
      <c r="M371" s="11">
        <v>0</v>
      </c>
      <c r="N371" s="10">
        <f t="shared" si="91"/>
        <v>0</v>
      </c>
      <c r="O371" s="10">
        <f t="shared" si="92"/>
        <v>78.069999999999993</v>
      </c>
      <c r="P371" s="11">
        <f t="shared" si="93"/>
        <v>0.11649456846126295</v>
      </c>
      <c r="Q371" s="10">
        <f t="shared" si="94"/>
        <v>670.16000000000008</v>
      </c>
      <c r="R371" s="10">
        <f t="shared" si="95"/>
        <v>3432.3399999999997</v>
      </c>
      <c r="S371" s="10">
        <f t="shared" si="96"/>
        <v>399.84896711233125</v>
      </c>
      <c r="T371" s="9" t="s">
        <v>76</v>
      </c>
      <c r="U371" s="10">
        <v>5699</v>
      </c>
      <c r="V371" s="10">
        <f t="shared" si="97"/>
        <v>3989.2999999999997</v>
      </c>
      <c r="W371" s="166">
        <v>490110</v>
      </c>
      <c r="X371" s="12" t="s">
        <v>27</v>
      </c>
      <c r="Y371" s="12">
        <f t="shared" si="98"/>
        <v>399.84896711233125</v>
      </c>
      <c r="Z371" s="13">
        <f t="shared" si="99"/>
        <v>399.84896711233125</v>
      </c>
      <c r="AA371" s="13">
        <f t="shared" si="100"/>
        <v>399.84896711233125</v>
      </c>
      <c r="AB371" s="13">
        <f t="shared" si="101"/>
        <v>78.069999999999993</v>
      </c>
      <c r="AC371" s="13">
        <f t="shared" si="102"/>
        <v>321.77896711233126</v>
      </c>
      <c r="AD371" s="14">
        <f t="shared" si="103"/>
        <v>0.80475127755408837</v>
      </c>
      <c r="AE371" s="14">
        <f t="shared" si="104"/>
        <v>4.121672436433089</v>
      </c>
      <c r="AF371" s="13" t="str">
        <f>IF(AD371&gt;=Assumptions!$B$3,"OK","Review")</f>
        <v>OK</v>
      </c>
      <c r="AG371" s="13">
        <f>IFERROR(IF(Assumptions!$B$13="Cost Price",AB371,AA371)*SUMIF(Assumptions!$A$6:$A$10,X371,Assumptions!$B$6:$B$10),0)</f>
        <v>31.987917368986501</v>
      </c>
      <c r="AH371" s="13">
        <f>IFERROR(IF(Assumptions!$B$13="Cost Price",AB371,AA371)*SUMIF(Assumptions!$A$6:$A$10,X371,Assumptions!$C$6:$C$10),0)</f>
        <v>19.992448355616563</v>
      </c>
      <c r="AI371" s="13">
        <f>IFERROR(IF(Assumptions!$B$13="Cost Price",AB371,AA371)*SUMIF(Assumptions!$A$6:$A$10,X371,Assumptions!$D$6:$D$10),0)</f>
        <v>39.984896711233127</v>
      </c>
      <c r="AJ371" s="13">
        <v>59.90197308105526</v>
      </c>
      <c r="AK371" s="13">
        <f t="shared" si="105"/>
        <v>151.86723551689147</v>
      </c>
      <c r="AL371" s="14">
        <v>0.33</v>
      </c>
      <c r="AM371" s="13">
        <f t="shared" si="106"/>
        <v>169.91173159543979</v>
      </c>
      <c r="AN371" s="14">
        <f t="shared" si="107"/>
        <v>0.42493977869325289</v>
      </c>
      <c r="AO371" t="str">
        <f>IF(AN371&gt;=Assumptions!$B$3,"OK","Review")</f>
        <v>OK</v>
      </c>
    </row>
    <row r="372" spans="1:41" ht="15" customHeight="1">
      <c r="A372" s="9" t="s">
        <v>256</v>
      </c>
      <c r="B372" s="9" t="s">
        <v>41</v>
      </c>
      <c r="C372" s="9" t="s">
        <v>78</v>
      </c>
      <c r="D372" s="9" t="s">
        <v>180</v>
      </c>
      <c r="E372" s="9" t="s">
        <v>73</v>
      </c>
      <c r="F372" s="9" t="s">
        <v>74</v>
      </c>
      <c r="G372" s="9" t="s">
        <v>24</v>
      </c>
      <c r="H372" s="9" t="s">
        <v>84</v>
      </c>
      <c r="I372" s="9">
        <v>4000011766</v>
      </c>
      <c r="J372" s="10">
        <v>63.45</v>
      </c>
      <c r="K372" s="10"/>
      <c r="L372" s="10">
        <f t="shared" si="90"/>
        <v>63.45</v>
      </c>
      <c r="M372" s="11">
        <v>0</v>
      </c>
      <c r="N372" s="10">
        <f t="shared" si="91"/>
        <v>0</v>
      </c>
      <c r="O372" s="10">
        <f t="shared" si="92"/>
        <v>63.45</v>
      </c>
      <c r="P372" s="11">
        <f t="shared" si="93"/>
        <v>9.4678882654888372E-2</v>
      </c>
      <c r="Q372" s="10">
        <f t="shared" si="94"/>
        <v>670.16000000000008</v>
      </c>
      <c r="R372" s="10">
        <f t="shared" si="95"/>
        <v>3432.3399999999997</v>
      </c>
      <c r="S372" s="10">
        <f t="shared" si="96"/>
        <v>324.97011609167953</v>
      </c>
      <c r="T372" s="9" t="s">
        <v>76</v>
      </c>
      <c r="U372" s="10">
        <v>5699</v>
      </c>
      <c r="V372" s="10">
        <f t="shared" si="97"/>
        <v>3989.2999999999997</v>
      </c>
      <c r="W372" s="166">
        <v>490110</v>
      </c>
      <c r="X372" s="12" t="s">
        <v>27</v>
      </c>
      <c r="Y372" s="12">
        <f t="shared" si="98"/>
        <v>324.97011609167953</v>
      </c>
      <c r="Z372" s="13">
        <f t="shared" si="99"/>
        <v>324.97011609167953</v>
      </c>
      <c r="AA372" s="13">
        <f t="shared" si="100"/>
        <v>324.97011609167953</v>
      </c>
      <c r="AB372" s="13">
        <f t="shared" si="101"/>
        <v>63.45</v>
      </c>
      <c r="AC372" s="13">
        <f t="shared" si="102"/>
        <v>261.52011609167954</v>
      </c>
      <c r="AD372" s="14">
        <f t="shared" si="103"/>
        <v>0.80475127755408848</v>
      </c>
      <c r="AE372" s="14">
        <f t="shared" si="104"/>
        <v>4.1216724364330899</v>
      </c>
      <c r="AF372" s="13" t="str">
        <f>IF(AD372&gt;=Assumptions!$B$3,"OK","Review")</f>
        <v>OK</v>
      </c>
      <c r="AG372" s="13">
        <f>IFERROR(IF(Assumptions!$B$13="Cost Price",AB372,AA372)*SUMIF(Assumptions!$A$6:$A$10,X372,Assumptions!$B$6:$B$10),0)</f>
        <v>25.997609287334363</v>
      </c>
      <c r="AH372" s="13">
        <f>IFERROR(IF(Assumptions!$B$13="Cost Price",AB372,AA372)*SUMIF(Assumptions!$A$6:$A$10,X372,Assumptions!$C$6:$C$10),0)</f>
        <v>16.248505804583978</v>
      </c>
      <c r="AI372" s="13">
        <f>IFERROR(IF(Assumptions!$B$13="Cost Price",AB372,AA372)*SUMIF(Assumptions!$A$6:$A$10,X372,Assumptions!$D$6:$D$10),0)</f>
        <v>32.497011609167956</v>
      </c>
      <c r="AJ372" s="13">
        <v>48.684260176674222</v>
      </c>
      <c r="AK372" s="13">
        <f t="shared" si="105"/>
        <v>123.42738687776051</v>
      </c>
      <c r="AL372" s="14">
        <v>0.33</v>
      </c>
      <c r="AM372" s="13">
        <f t="shared" si="106"/>
        <v>138.09272921391903</v>
      </c>
      <c r="AN372" s="14">
        <f t="shared" si="107"/>
        <v>0.424939778693253</v>
      </c>
      <c r="AO372" t="str">
        <f>IF(AN372&gt;=Assumptions!$B$3,"OK","Review")</f>
        <v>OK</v>
      </c>
    </row>
    <row r="373" spans="1:41" ht="15" customHeight="1">
      <c r="A373" s="9" t="s">
        <v>256</v>
      </c>
      <c r="B373" s="9" t="s">
        <v>41</v>
      </c>
      <c r="C373" s="9" t="s">
        <v>78</v>
      </c>
      <c r="D373" s="9" t="s">
        <v>181</v>
      </c>
      <c r="E373" s="9" t="s">
        <v>73</v>
      </c>
      <c r="F373" s="9" t="s">
        <v>74</v>
      </c>
      <c r="G373" s="9" t="s">
        <v>24</v>
      </c>
      <c r="H373" s="9" t="s">
        <v>84</v>
      </c>
      <c r="I373" s="9">
        <v>4000011767</v>
      </c>
      <c r="J373" s="10">
        <v>15.94</v>
      </c>
      <c r="K373" s="10"/>
      <c r="L373" s="10">
        <f t="shared" si="90"/>
        <v>15.94</v>
      </c>
      <c r="M373" s="11">
        <v>0</v>
      </c>
      <c r="N373" s="10">
        <f t="shared" si="91"/>
        <v>0</v>
      </c>
      <c r="O373" s="10">
        <f t="shared" si="92"/>
        <v>15.94</v>
      </c>
      <c r="P373" s="11">
        <f t="shared" si="93"/>
        <v>2.3785364689029483E-2</v>
      </c>
      <c r="Q373" s="10">
        <f t="shared" si="94"/>
        <v>670.16000000000008</v>
      </c>
      <c r="R373" s="10">
        <f t="shared" si="95"/>
        <v>3432.3399999999997</v>
      </c>
      <c r="S373" s="10">
        <f t="shared" si="96"/>
        <v>81.639458636743441</v>
      </c>
      <c r="T373" s="9" t="s">
        <v>76</v>
      </c>
      <c r="U373" s="10">
        <v>5699</v>
      </c>
      <c r="V373" s="10">
        <f t="shared" si="97"/>
        <v>3989.2999999999997</v>
      </c>
      <c r="W373" s="166">
        <v>490110</v>
      </c>
      <c r="X373" s="12" t="s">
        <v>27</v>
      </c>
      <c r="Y373" s="12">
        <f t="shared" si="98"/>
        <v>81.639458636743441</v>
      </c>
      <c r="Z373" s="13">
        <f t="shared" si="99"/>
        <v>81.639458636743441</v>
      </c>
      <c r="AA373" s="13">
        <f t="shared" si="100"/>
        <v>81.639458636743441</v>
      </c>
      <c r="AB373" s="13">
        <f t="shared" si="101"/>
        <v>15.94</v>
      </c>
      <c r="AC373" s="13">
        <f t="shared" si="102"/>
        <v>65.699458636743444</v>
      </c>
      <c r="AD373" s="14">
        <f t="shared" si="103"/>
        <v>0.80475127755408848</v>
      </c>
      <c r="AE373" s="14">
        <f t="shared" si="104"/>
        <v>4.121672436433089</v>
      </c>
      <c r="AF373" s="13" t="str">
        <f>IF(AD373&gt;=Assumptions!$B$3,"OK","Review")</f>
        <v>OK</v>
      </c>
      <c r="AG373" s="13">
        <f>IFERROR(IF(Assumptions!$B$13="Cost Price",AB373,AA373)*SUMIF(Assumptions!$A$6:$A$10,X373,Assumptions!$B$6:$B$10),0)</f>
        <v>6.5311566909394756</v>
      </c>
      <c r="AH373" s="13">
        <f>IFERROR(IF(Assumptions!$B$13="Cost Price",AB373,AA373)*SUMIF(Assumptions!$A$6:$A$10,X373,Assumptions!$C$6:$C$10),0)</f>
        <v>4.0819729318371722</v>
      </c>
      <c r="AI373" s="13">
        <f>IFERROR(IF(Assumptions!$B$13="Cost Price",AB373,AA373)*SUMIF(Assumptions!$A$6:$A$10,X373,Assumptions!$D$6:$D$10),0)</f>
        <v>8.1639458636743445</v>
      </c>
      <c r="AJ373" s="13">
        <v>12.230529664557716</v>
      </c>
      <c r="AK373" s="13">
        <f t="shared" si="105"/>
        <v>31.007605151008704</v>
      </c>
      <c r="AL373" s="14">
        <v>0.33</v>
      </c>
      <c r="AM373" s="13">
        <f t="shared" si="106"/>
        <v>34.69185348573474</v>
      </c>
      <c r="AN373" s="14">
        <f t="shared" si="107"/>
        <v>0.424939778693253</v>
      </c>
      <c r="AO373" t="str">
        <f>IF(AN373&gt;=Assumptions!$B$3,"OK","Review")</f>
        <v>OK</v>
      </c>
    </row>
    <row r="374" spans="1:41" ht="15" customHeight="1">
      <c r="A374" s="9" t="s">
        <v>256</v>
      </c>
      <c r="B374" s="9" t="s">
        <v>41</v>
      </c>
      <c r="C374" s="9" t="s">
        <v>161</v>
      </c>
      <c r="D374" s="9" t="s">
        <v>182</v>
      </c>
      <c r="E374" s="9" t="s">
        <v>73</v>
      </c>
      <c r="F374" s="9" t="s">
        <v>74</v>
      </c>
      <c r="G374" s="9" t="s">
        <v>24</v>
      </c>
      <c r="H374" s="9" t="s">
        <v>84</v>
      </c>
      <c r="I374" s="9">
        <v>4000011768</v>
      </c>
      <c r="J374" s="10">
        <v>91.22</v>
      </c>
      <c r="K374" s="10"/>
      <c r="L374" s="10">
        <f t="shared" si="90"/>
        <v>91.22</v>
      </c>
      <c r="M374" s="11">
        <v>0</v>
      </c>
      <c r="N374" s="10">
        <f t="shared" si="91"/>
        <v>0</v>
      </c>
      <c r="O374" s="10">
        <f t="shared" si="92"/>
        <v>91.22</v>
      </c>
      <c r="P374" s="11">
        <f t="shared" si="93"/>
        <v>0.13611674823922643</v>
      </c>
      <c r="Q374" s="10">
        <f t="shared" si="94"/>
        <v>670.16000000000008</v>
      </c>
      <c r="R374" s="10">
        <f t="shared" si="95"/>
        <v>3432.3399999999997</v>
      </c>
      <c r="S374" s="10">
        <f t="shared" si="96"/>
        <v>467.19895965142638</v>
      </c>
      <c r="T374" s="9" t="s">
        <v>76</v>
      </c>
      <c r="U374" s="10">
        <v>5699</v>
      </c>
      <c r="V374" s="10">
        <f t="shared" si="97"/>
        <v>3989.2999999999997</v>
      </c>
      <c r="W374" s="166">
        <v>490110</v>
      </c>
      <c r="X374" s="12" t="s">
        <v>27</v>
      </c>
      <c r="Y374" s="12">
        <f t="shared" si="98"/>
        <v>467.19895965142638</v>
      </c>
      <c r="Z374" s="13">
        <f t="shared" si="99"/>
        <v>467.19895965142638</v>
      </c>
      <c r="AA374" s="13">
        <f t="shared" si="100"/>
        <v>467.19895965142638</v>
      </c>
      <c r="AB374" s="13">
        <f t="shared" si="101"/>
        <v>91.22</v>
      </c>
      <c r="AC374" s="13">
        <f t="shared" si="102"/>
        <v>375.97895965142641</v>
      </c>
      <c r="AD374" s="14">
        <f t="shared" si="103"/>
        <v>0.80475127755408848</v>
      </c>
      <c r="AE374" s="14">
        <f t="shared" si="104"/>
        <v>4.121672436433089</v>
      </c>
      <c r="AF374" s="13" t="str">
        <f>IF(AD374&gt;=Assumptions!$B$3,"OK","Review")</f>
        <v>OK</v>
      </c>
      <c r="AG374" s="13">
        <f>IFERROR(IF(Assumptions!$B$13="Cost Price",AB374,AA374)*SUMIF(Assumptions!$A$6:$A$10,X374,Assumptions!$B$6:$B$10),0)</f>
        <v>37.37591677211411</v>
      </c>
      <c r="AH374" s="13">
        <f>IFERROR(IF(Assumptions!$B$13="Cost Price",AB374,AA374)*SUMIF(Assumptions!$A$6:$A$10,X374,Assumptions!$C$6:$C$10),0)</f>
        <v>23.35994798257132</v>
      </c>
      <c r="AI374" s="13">
        <f>IFERROR(IF(Assumptions!$B$13="Cost Price",AB374,AA374)*SUMIF(Assumptions!$A$6:$A$10,X374,Assumptions!$D$6:$D$10),0)</f>
        <v>46.719895965142641</v>
      </c>
      <c r="AJ374" s="13">
        <v>69.991776411603198</v>
      </c>
      <c r="AK374" s="13">
        <f t="shared" si="105"/>
        <v>177.44753713143126</v>
      </c>
      <c r="AL374" s="14">
        <v>0.33</v>
      </c>
      <c r="AM374" s="13">
        <f t="shared" si="106"/>
        <v>198.53142251999515</v>
      </c>
      <c r="AN374" s="14">
        <f t="shared" si="107"/>
        <v>0.42493977869325295</v>
      </c>
      <c r="AO374" t="str">
        <f>IF(AN374&gt;=Assumptions!$B$3,"OK","Review")</f>
        <v>OK</v>
      </c>
    </row>
    <row r="375" spans="1:41" ht="15" customHeight="1">
      <c r="A375" s="9" t="s">
        <v>256</v>
      </c>
      <c r="B375" s="9" t="s">
        <v>41</v>
      </c>
      <c r="C375" s="9" t="s">
        <v>243</v>
      </c>
      <c r="D375" s="9" t="s">
        <v>250</v>
      </c>
      <c r="E375" s="9" t="s">
        <v>73</v>
      </c>
      <c r="F375" s="9" t="s">
        <v>90</v>
      </c>
      <c r="G375" s="9" t="s">
        <v>24</v>
      </c>
      <c r="H375" s="9" t="s">
        <v>75</v>
      </c>
      <c r="I375" s="9">
        <v>7000001007</v>
      </c>
      <c r="J375" s="10">
        <v>130</v>
      </c>
      <c r="K375" s="10">
        <v>10</v>
      </c>
      <c r="L375" s="10">
        <f t="shared" si="90"/>
        <v>140</v>
      </c>
      <c r="M375" s="11">
        <v>0.18</v>
      </c>
      <c r="N375" s="10">
        <f t="shared" si="91"/>
        <v>25.2</v>
      </c>
      <c r="O375" s="10">
        <f t="shared" si="92"/>
        <v>165.2</v>
      </c>
      <c r="P375" s="11">
        <f t="shared" si="93"/>
        <v>0.59322033898305082</v>
      </c>
      <c r="Q375" s="10">
        <f t="shared" si="94"/>
        <v>278.48</v>
      </c>
      <c r="R375" s="10">
        <f t="shared" si="95"/>
        <v>3432.3399999999997</v>
      </c>
      <c r="S375" s="10">
        <f t="shared" si="96"/>
        <v>165.2</v>
      </c>
      <c r="T375" s="9" t="s">
        <v>91</v>
      </c>
      <c r="U375" s="10">
        <v>5699</v>
      </c>
      <c r="V375" s="10">
        <f t="shared" si="97"/>
        <v>3989.2999999999997</v>
      </c>
      <c r="W375" s="166">
        <v>49119990</v>
      </c>
      <c r="X375" s="12" t="s">
        <v>27</v>
      </c>
      <c r="Y375" s="12">
        <f t="shared" si="98"/>
        <v>165.2</v>
      </c>
      <c r="Z375" s="13">
        <f t="shared" si="99"/>
        <v>165.2</v>
      </c>
      <c r="AA375" s="13">
        <f t="shared" si="100"/>
        <v>140</v>
      </c>
      <c r="AB375" s="13">
        <f t="shared" si="101"/>
        <v>130</v>
      </c>
      <c r="AC375" s="13">
        <f t="shared" si="102"/>
        <v>10</v>
      </c>
      <c r="AD375" s="14">
        <f t="shared" si="103"/>
        <v>7.1428571428571425E-2</v>
      </c>
      <c r="AE375" s="14">
        <f t="shared" si="104"/>
        <v>7.6923076923076927E-2</v>
      </c>
      <c r="AF375" s="13" t="str">
        <f>IF(AD375&gt;=Assumptions!$B$3,"OK","Review")</f>
        <v>Review</v>
      </c>
      <c r="AG375" s="13">
        <f>IFERROR(IF(Assumptions!$B$13="Cost Price",AB375,AA375)*SUMIF(Assumptions!$A$6:$A$10,X375,Assumptions!$B$6:$B$10),0)</f>
        <v>11.200000000000001</v>
      </c>
      <c r="AH375" s="13">
        <f>IFERROR(IF(Assumptions!$B$13="Cost Price",AB375,AA375)*SUMIF(Assumptions!$A$6:$A$10,X375,Assumptions!$C$6:$C$10),0)</f>
        <v>7</v>
      </c>
      <c r="AI375" s="13">
        <f>IFERROR(IF(Assumptions!$B$13="Cost Price",AB375,AA375)*SUMIF(Assumptions!$A$6:$A$10,X375,Assumptions!$D$6:$D$10),0)</f>
        <v>14</v>
      </c>
      <c r="AJ375" s="13">
        <v>14</v>
      </c>
      <c r="AK375" s="13">
        <f t="shared" si="105"/>
        <v>46.2</v>
      </c>
      <c r="AL375" s="14">
        <v>0.33</v>
      </c>
      <c r="AM375" s="13">
        <f t="shared" si="106"/>
        <v>-36.200000000000003</v>
      </c>
      <c r="AN375" s="14">
        <f t="shared" si="107"/>
        <v>-0.25857142857142862</v>
      </c>
      <c r="AO375" t="str">
        <f>IF(AN375&gt;=Assumptions!$B$3,"OK","Review")</f>
        <v>Review</v>
      </c>
    </row>
    <row r="376" spans="1:41" ht="15" customHeight="1">
      <c r="A376" s="9" t="s">
        <v>256</v>
      </c>
      <c r="B376" s="9" t="s">
        <v>41</v>
      </c>
      <c r="C376" s="9" t="s">
        <v>92</v>
      </c>
      <c r="D376" s="9" t="s">
        <v>93</v>
      </c>
      <c r="E376" s="9" t="s">
        <v>73</v>
      </c>
      <c r="F376" s="9" t="s">
        <v>94</v>
      </c>
      <c r="G376" s="9" t="s">
        <v>24</v>
      </c>
      <c r="H376" s="9" t="s">
        <v>75</v>
      </c>
      <c r="I376" s="9">
        <v>8400007</v>
      </c>
      <c r="J376" s="10">
        <v>96</v>
      </c>
      <c r="K376" s="10"/>
      <c r="L376" s="10">
        <f t="shared" si="90"/>
        <v>96</v>
      </c>
      <c r="M376" s="11">
        <v>0.18</v>
      </c>
      <c r="N376" s="10">
        <f t="shared" si="91"/>
        <v>17.28</v>
      </c>
      <c r="O376" s="10">
        <f t="shared" si="92"/>
        <v>113.28</v>
      </c>
      <c r="P376" s="11">
        <f t="shared" si="93"/>
        <v>0.40677966101694912</v>
      </c>
      <c r="Q376" s="10">
        <f t="shared" si="94"/>
        <v>278.48</v>
      </c>
      <c r="R376" s="10">
        <f t="shared" si="95"/>
        <v>3432.3399999999997</v>
      </c>
      <c r="S376" s="10">
        <f t="shared" si="96"/>
        <v>113.28</v>
      </c>
      <c r="T376" s="9" t="s">
        <v>91</v>
      </c>
      <c r="U376" s="10">
        <v>5699</v>
      </c>
      <c r="V376" s="10">
        <f t="shared" si="97"/>
        <v>3989.2999999999997</v>
      </c>
      <c r="W376" s="166">
        <v>999299</v>
      </c>
      <c r="X376" s="12" t="s">
        <v>27</v>
      </c>
      <c r="Y376" s="12">
        <f t="shared" si="98"/>
        <v>113.28</v>
      </c>
      <c r="Z376" s="13">
        <f t="shared" si="99"/>
        <v>113.28</v>
      </c>
      <c r="AA376" s="13">
        <f t="shared" si="100"/>
        <v>96</v>
      </c>
      <c r="AB376" s="13">
        <f t="shared" si="101"/>
        <v>96</v>
      </c>
      <c r="AC376" s="13">
        <f t="shared" si="102"/>
        <v>0</v>
      </c>
      <c r="AD376" s="14">
        <f t="shared" si="103"/>
        <v>0</v>
      </c>
      <c r="AE376" s="14">
        <f t="shared" si="104"/>
        <v>0</v>
      </c>
      <c r="AF376" s="13" t="str">
        <f>IF(AD376&gt;=Assumptions!$B$3,"OK","Review")</f>
        <v>Review</v>
      </c>
      <c r="AG376" s="13">
        <f>IFERROR(IF(Assumptions!$B$13="Cost Price",AB376,AA376)*SUMIF(Assumptions!$A$6:$A$10,X376,Assumptions!$B$6:$B$10),0)</f>
        <v>7.68</v>
      </c>
      <c r="AH376" s="13">
        <f>IFERROR(IF(Assumptions!$B$13="Cost Price",AB376,AA376)*SUMIF(Assumptions!$A$6:$A$10,X376,Assumptions!$C$6:$C$10),0)</f>
        <v>4.8000000000000007</v>
      </c>
      <c r="AI376" s="13">
        <f>IFERROR(IF(Assumptions!$B$13="Cost Price",AB376,AA376)*SUMIF(Assumptions!$A$6:$A$10,X376,Assumptions!$D$6:$D$10),0)</f>
        <v>9.6000000000000014</v>
      </c>
      <c r="AJ376" s="13">
        <v>9.6000000000000014</v>
      </c>
      <c r="AK376" s="13">
        <f t="shared" si="105"/>
        <v>31.680000000000003</v>
      </c>
      <c r="AL376" s="14">
        <v>0.33</v>
      </c>
      <c r="AM376" s="13">
        <f t="shared" si="106"/>
        <v>-31.680000000000003</v>
      </c>
      <c r="AN376" s="14">
        <f t="shared" si="107"/>
        <v>-0.33</v>
      </c>
      <c r="AO376" t="str">
        <f>IF(AN376&gt;=Assumptions!$B$3,"OK","Review")</f>
        <v>Review</v>
      </c>
    </row>
    <row r="377" spans="1:41" ht="15" customHeight="1">
      <c r="A377" s="9" t="s">
        <v>256</v>
      </c>
      <c r="B377" s="9" t="s">
        <v>42</v>
      </c>
      <c r="C377" s="9" t="s">
        <v>105</v>
      </c>
      <c r="D377" s="9" t="s">
        <v>184</v>
      </c>
      <c r="E377" s="9" t="s">
        <v>73</v>
      </c>
      <c r="F377" s="9" t="s">
        <v>81</v>
      </c>
      <c r="G377" s="9" t="s">
        <v>24</v>
      </c>
      <c r="H377" s="9" t="s">
        <v>75</v>
      </c>
      <c r="I377" s="9">
        <v>4000011770</v>
      </c>
      <c r="J377" s="10">
        <v>51.97</v>
      </c>
      <c r="K377" s="10"/>
      <c r="L377" s="10">
        <f t="shared" si="90"/>
        <v>51.97</v>
      </c>
      <c r="M377" s="11">
        <v>0</v>
      </c>
      <c r="N377" s="10">
        <f t="shared" si="91"/>
        <v>0</v>
      </c>
      <c r="O377" s="10">
        <f t="shared" si="92"/>
        <v>51.97</v>
      </c>
      <c r="P377" s="11">
        <f t="shared" si="93"/>
        <v>8.3069594961797874E-2</v>
      </c>
      <c r="Q377" s="10">
        <f t="shared" si="94"/>
        <v>625.62000000000012</v>
      </c>
      <c r="R377" s="10">
        <f t="shared" si="95"/>
        <v>3454.9959999999996</v>
      </c>
      <c r="S377" s="10">
        <f t="shared" si="96"/>
        <v>287.00511831463177</v>
      </c>
      <c r="T377" s="9" t="s">
        <v>76</v>
      </c>
      <c r="U377" s="10">
        <v>5699</v>
      </c>
      <c r="V377" s="10">
        <f t="shared" si="97"/>
        <v>3989.2999999999997</v>
      </c>
      <c r="W377" s="166">
        <v>490110</v>
      </c>
      <c r="X377" s="12" t="s">
        <v>27</v>
      </c>
      <c r="Y377" s="12">
        <f t="shared" si="98"/>
        <v>287.00511831463177</v>
      </c>
      <c r="Z377" s="13">
        <f t="shared" si="99"/>
        <v>287.00511831463177</v>
      </c>
      <c r="AA377" s="13">
        <f t="shared" si="100"/>
        <v>287.00511831463177</v>
      </c>
      <c r="AB377" s="13">
        <f t="shared" si="101"/>
        <v>51.97</v>
      </c>
      <c r="AC377" s="13">
        <f t="shared" si="102"/>
        <v>235.03511831463177</v>
      </c>
      <c r="AD377" s="14">
        <f t="shared" si="103"/>
        <v>0.81892308992542961</v>
      </c>
      <c r="AE377" s="14">
        <f t="shared" si="104"/>
        <v>4.52251526485726</v>
      </c>
      <c r="AF377" s="13" t="str">
        <f>IF(AD377&gt;=Assumptions!$B$3,"OK","Review")</f>
        <v>OK</v>
      </c>
      <c r="AG377" s="13">
        <f>IFERROR(IF(Assumptions!$B$13="Cost Price",AB377,AA377)*SUMIF(Assumptions!$A$6:$A$10,X377,Assumptions!$B$6:$B$10),0)</f>
        <v>22.960409465170542</v>
      </c>
      <c r="AH377" s="13">
        <f>IFERROR(IF(Assumptions!$B$13="Cost Price",AB377,AA377)*SUMIF(Assumptions!$A$6:$A$10,X377,Assumptions!$C$6:$C$10),0)</f>
        <v>14.350255915731589</v>
      </c>
      <c r="AI377" s="13">
        <f>IFERROR(IF(Assumptions!$B$13="Cost Price",AB377,AA377)*SUMIF(Assumptions!$A$6:$A$10,X377,Assumptions!$D$6:$D$10),0)</f>
        <v>28.700511831463178</v>
      </c>
      <c r="AJ377" s="13">
        <v>42.902920482081768</v>
      </c>
      <c r="AK377" s="13">
        <f t="shared" si="105"/>
        <v>108.91409769444708</v>
      </c>
      <c r="AL377" s="14">
        <v>0.33</v>
      </c>
      <c r="AM377" s="13">
        <f t="shared" si="106"/>
        <v>126.12102062018469</v>
      </c>
      <c r="AN377" s="14">
        <f t="shared" si="107"/>
        <v>0.43943822800373711</v>
      </c>
      <c r="AO377" t="str">
        <f>IF(AN377&gt;=Assumptions!$B$3,"OK","Review")</f>
        <v>OK</v>
      </c>
    </row>
    <row r="378" spans="1:41" ht="15" customHeight="1">
      <c r="A378" s="9" t="s">
        <v>256</v>
      </c>
      <c r="B378" s="9" t="s">
        <v>42</v>
      </c>
      <c r="C378" s="9" t="s">
        <v>105</v>
      </c>
      <c r="D378" s="9" t="s">
        <v>185</v>
      </c>
      <c r="E378" s="9" t="s">
        <v>73</v>
      </c>
      <c r="F378" s="9" t="s">
        <v>81</v>
      </c>
      <c r="G378" s="9" t="s">
        <v>24</v>
      </c>
      <c r="H378" s="9" t="s">
        <v>75</v>
      </c>
      <c r="I378" s="9">
        <v>4000011771</v>
      </c>
      <c r="J378" s="10">
        <v>21.76</v>
      </c>
      <c r="K378" s="10"/>
      <c r="L378" s="10">
        <f t="shared" si="90"/>
        <v>21.76</v>
      </c>
      <c r="M378" s="11">
        <v>0</v>
      </c>
      <c r="N378" s="10">
        <f t="shared" si="91"/>
        <v>0</v>
      </c>
      <c r="O378" s="10">
        <f t="shared" si="92"/>
        <v>21.76</v>
      </c>
      <c r="P378" s="11">
        <f t="shared" si="93"/>
        <v>3.478149675521882E-2</v>
      </c>
      <c r="Q378" s="10">
        <f t="shared" si="94"/>
        <v>625.62000000000012</v>
      </c>
      <c r="R378" s="10">
        <f t="shared" si="95"/>
        <v>3454.9959999999996</v>
      </c>
      <c r="S378" s="10">
        <f t="shared" si="96"/>
        <v>120.16993216329399</v>
      </c>
      <c r="T378" s="9" t="s">
        <v>76</v>
      </c>
      <c r="U378" s="10">
        <v>5699</v>
      </c>
      <c r="V378" s="10">
        <f t="shared" si="97"/>
        <v>3989.2999999999997</v>
      </c>
      <c r="W378" s="166">
        <v>490110</v>
      </c>
      <c r="X378" s="12" t="s">
        <v>27</v>
      </c>
      <c r="Y378" s="12">
        <f t="shared" si="98"/>
        <v>120.16993216329399</v>
      </c>
      <c r="Z378" s="13">
        <f t="shared" si="99"/>
        <v>120.16993216329399</v>
      </c>
      <c r="AA378" s="13">
        <f t="shared" si="100"/>
        <v>120.16993216329399</v>
      </c>
      <c r="AB378" s="13">
        <f t="shared" si="101"/>
        <v>21.76</v>
      </c>
      <c r="AC378" s="13">
        <f t="shared" si="102"/>
        <v>98.409932163293988</v>
      </c>
      <c r="AD378" s="14">
        <f t="shared" si="103"/>
        <v>0.81892308992542961</v>
      </c>
      <c r="AE378" s="14">
        <f t="shared" si="104"/>
        <v>4.52251526485726</v>
      </c>
      <c r="AF378" s="13" t="str">
        <f>IF(AD378&gt;=Assumptions!$B$3,"OK","Review")</f>
        <v>OK</v>
      </c>
      <c r="AG378" s="13">
        <f>IFERROR(IF(Assumptions!$B$13="Cost Price",AB378,AA378)*SUMIF(Assumptions!$A$6:$A$10,X378,Assumptions!$B$6:$B$10),0)</f>
        <v>9.6135945730635193</v>
      </c>
      <c r="AH378" s="13">
        <f>IFERROR(IF(Assumptions!$B$13="Cost Price",AB378,AA378)*SUMIF(Assumptions!$A$6:$A$10,X378,Assumptions!$C$6:$C$10),0)</f>
        <v>6.0084966081647</v>
      </c>
      <c r="AI378" s="13">
        <f>IFERROR(IF(Assumptions!$B$13="Cost Price",AB378,AA378)*SUMIF(Assumptions!$A$6:$A$10,X378,Assumptions!$D$6:$D$10),0)</f>
        <v>12.0169932163294</v>
      </c>
      <c r="AJ378" s="13">
        <v>17.963585716569163</v>
      </c>
      <c r="AK378" s="13">
        <f t="shared" si="105"/>
        <v>45.602670114126781</v>
      </c>
      <c r="AL378" s="14">
        <v>0.33</v>
      </c>
      <c r="AM378" s="13">
        <f t="shared" si="106"/>
        <v>52.807262049167207</v>
      </c>
      <c r="AN378" s="14">
        <f t="shared" si="107"/>
        <v>0.43943822800373711</v>
      </c>
      <c r="AO378" t="str">
        <f>IF(AN378&gt;=Assumptions!$B$3,"OK","Review")</f>
        <v>OK</v>
      </c>
    </row>
    <row r="379" spans="1:41" ht="15" customHeight="1">
      <c r="A379" s="9" t="s">
        <v>256</v>
      </c>
      <c r="B379" s="9" t="s">
        <v>42</v>
      </c>
      <c r="C379" s="9" t="s">
        <v>71</v>
      </c>
      <c r="D379" s="9" t="s">
        <v>186</v>
      </c>
      <c r="E379" s="9" t="s">
        <v>73</v>
      </c>
      <c r="F379" s="9" t="s">
        <v>74</v>
      </c>
      <c r="G379" s="9" t="s">
        <v>24</v>
      </c>
      <c r="H379" s="9" t="s">
        <v>75</v>
      </c>
      <c r="I379" s="9">
        <v>4000011772</v>
      </c>
      <c r="J379" s="10">
        <v>68.62</v>
      </c>
      <c r="K379" s="10"/>
      <c r="L379" s="10">
        <f t="shared" si="90"/>
        <v>68.62</v>
      </c>
      <c r="M379" s="11">
        <v>0</v>
      </c>
      <c r="N379" s="10">
        <f t="shared" si="91"/>
        <v>0</v>
      </c>
      <c r="O379" s="10">
        <f t="shared" si="92"/>
        <v>68.62</v>
      </c>
      <c r="P379" s="11">
        <f t="shared" si="93"/>
        <v>0.10968319427128287</v>
      </c>
      <c r="Q379" s="10">
        <f t="shared" si="94"/>
        <v>625.62000000000012</v>
      </c>
      <c r="R379" s="10">
        <f t="shared" si="95"/>
        <v>3454.9959999999996</v>
      </c>
      <c r="S379" s="10">
        <f t="shared" si="96"/>
        <v>378.95499747450521</v>
      </c>
      <c r="T379" s="9" t="s">
        <v>76</v>
      </c>
      <c r="U379" s="10">
        <v>5699</v>
      </c>
      <c r="V379" s="10">
        <f t="shared" si="97"/>
        <v>3989.2999999999997</v>
      </c>
      <c r="W379" s="166">
        <v>490110</v>
      </c>
      <c r="X379" s="12" t="s">
        <v>27</v>
      </c>
      <c r="Y379" s="12">
        <f t="shared" si="98"/>
        <v>378.95499747450521</v>
      </c>
      <c r="Z379" s="13">
        <f t="shared" si="99"/>
        <v>378.95499747450521</v>
      </c>
      <c r="AA379" s="13">
        <f t="shared" si="100"/>
        <v>378.95499747450521</v>
      </c>
      <c r="AB379" s="13">
        <f t="shared" si="101"/>
        <v>68.62</v>
      </c>
      <c r="AC379" s="13">
        <f t="shared" si="102"/>
        <v>310.3349974745052</v>
      </c>
      <c r="AD379" s="14">
        <f t="shared" si="103"/>
        <v>0.81892308992542973</v>
      </c>
      <c r="AE379" s="14">
        <f t="shared" si="104"/>
        <v>4.52251526485726</v>
      </c>
      <c r="AF379" s="13" t="str">
        <f>IF(AD379&gt;=Assumptions!$B$3,"OK","Review")</f>
        <v>OK</v>
      </c>
      <c r="AG379" s="13">
        <f>IFERROR(IF(Assumptions!$B$13="Cost Price",AB379,AA379)*SUMIF(Assumptions!$A$6:$A$10,X379,Assumptions!$B$6:$B$10),0)</f>
        <v>30.316399797960418</v>
      </c>
      <c r="AH379" s="13">
        <f>IFERROR(IF(Assumptions!$B$13="Cost Price",AB379,AA379)*SUMIF(Assumptions!$A$6:$A$10,X379,Assumptions!$C$6:$C$10),0)</f>
        <v>18.947749873725261</v>
      </c>
      <c r="AI379" s="13">
        <f>IFERROR(IF(Assumptions!$B$13="Cost Price",AB379,AA379)*SUMIF(Assumptions!$A$6:$A$10,X379,Assumptions!$D$6:$D$10),0)</f>
        <v>37.895499747450522</v>
      </c>
      <c r="AJ379" s="13">
        <v>56.648035472011763</v>
      </c>
      <c r="AK379" s="13">
        <f t="shared" si="105"/>
        <v>143.80768489114797</v>
      </c>
      <c r="AL379" s="14">
        <v>0.33</v>
      </c>
      <c r="AM379" s="13">
        <f t="shared" si="106"/>
        <v>166.52731258335723</v>
      </c>
      <c r="AN379" s="14">
        <f t="shared" si="107"/>
        <v>0.43943822800373711</v>
      </c>
      <c r="AO379" t="str">
        <f>IF(AN379&gt;=Assumptions!$B$3,"OK","Review")</f>
        <v>OK</v>
      </c>
    </row>
    <row r="380" spans="1:41" ht="15" customHeight="1">
      <c r="A380" s="9" t="s">
        <v>256</v>
      </c>
      <c r="B380" s="9" t="s">
        <v>42</v>
      </c>
      <c r="C380" s="9" t="s">
        <v>78</v>
      </c>
      <c r="D380" s="9" t="s">
        <v>187</v>
      </c>
      <c r="E380" s="9" t="s">
        <v>73</v>
      </c>
      <c r="F380" s="9" t="s">
        <v>74</v>
      </c>
      <c r="G380" s="9" t="s">
        <v>24</v>
      </c>
      <c r="H380" s="9" t="s">
        <v>75</v>
      </c>
      <c r="I380" s="9">
        <v>4000011774</v>
      </c>
      <c r="J380" s="10">
        <v>21.8</v>
      </c>
      <c r="K380" s="10"/>
      <c r="L380" s="10">
        <f t="shared" si="90"/>
        <v>21.8</v>
      </c>
      <c r="M380" s="11">
        <v>0</v>
      </c>
      <c r="N380" s="10">
        <f t="shared" si="91"/>
        <v>0</v>
      </c>
      <c r="O380" s="10">
        <f t="shared" si="92"/>
        <v>21.8</v>
      </c>
      <c r="P380" s="11">
        <f t="shared" si="93"/>
        <v>3.4845433330136497E-2</v>
      </c>
      <c r="Q380" s="10">
        <f t="shared" si="94"/>
        <v>625.62000000000012</v>
      </c>
      <c r="R380" s="10">
        <f t="shared" si="95"/>
        <v>3454.9959999999996</v>
      </c>
      <c r="S380" s="10">
        <f t="shared" si="96"/>
        <v>120.39083277388826</v>
      </c>
      <c r="T380" s="9" t="s">
        <v>76</v>
      </c>
      <c r="U380" s="10">
        <v>5699</v>
      </c>
      <c r="V380" s="10">
        <f t="shared" si="97"/>
        <v>3989.2999999999997</v>
      </c>
      <c r="W380" s="166">
        <v>490110</v>
      </c>
      <c r="X380" s="12" t="s">
        <v>27</v>
      </c>
      <c r="Y380" s="12">
        <f t="shared" si="98"/>
        <v>120.39083277388826</v>
      </c>
      <c r="Z380" s="13">
        <f t="shared" si="99"/>
        <v>120.39083277388826</v>
      </c>
      <c r="AA380" s="13">
        <f t="shared" si="100"/>
        <v>120.39083277388826</v>
      </c>
      <c r="AB380" s="13">
        <f t="shared" si="101"/>
        <v>21.8</v>
      </c>
      <c r="AC380" s="13">
        <f t="shared" si="102"/>
        <v>98.590832773888266</v>
      </c>
      <c r="AD380" s="14">
        <f t="shared" si="103"/>
        <v>0.81892308992542973</v>
      </c>
      <c r="AE380" s="14">
        <f t="shared" si="104"/>
        <v>4.52251526485726</v>
      </c>
      <c r="AF380" s="13" t="str">
        <f>IF(AD380&gt;=Assumptions!$B$3,"OK","Review")</f>
        <v>OK</v>
      </c>
      <c r="AG380" s="13">
        <f>IFERROR(IF(Assumptions!$B$13="Cost Price",AB380,AA380)*SUMIF(Assumptions!$A$6:$A$10,X380,Assumptions!$B$6:$B$10),0)</f>
        <v>9.6312666219110614</v>
      </c>
      <c r="AH380" s="13">
        <f>IFERROR(IF(Assumptions!$B$13="Cost Price",AB380,AA380)*SUMIF(Assumptions!$A$6:$A$10,X380,Assumptions!$C$6:$C$10),0)</f>
        <v>6.0195416386944132</v>
      </c>
      <c r="AI380" s="13">
        <f>IFERROR(IF(Assumptions!$B$13="Cost Price",AB380,AA380)*SUMIF(Assumptions!$A$6:$A$10,X380,Assumptions!$D$6:$D$10),0)</f>
        <v>12.039083277388826</v>
      </c>
      <c r="AJ380" s="13">
        <v>17.996607013842265</v>
      </c>
      <c r="AK380" s="13">
        <f t="shared" si="105"/>
        <v>45.686498551836564</v>
      </c>
      <c r="AL380" s="14">
        <v>0.33</v>
      </c>
      <c r="AM380" s="13">
        <f t="shared" si="106"/>
        <v>52.904334222051702</v>
      </c>
      <c r="AN380" s="14">
        <f t="shared" si="107"/>
        <v>0.43943822800373716</v>
      </c>
      <c r="AO380" t="str">
        <f>IF(AN380&gt;=Assumptions!$B$3,"OK","Review")</f>
        <v>OK</v>
      </c>
    </row>
    <row r="381" spans="1:41" ht="15" customHeight="1">
      <c r="A381" s="9" t="s">
        <v>256</v>
      </c>
      <c r="B381" s="9" t="s">
        <v>42</v>
      </c>
      <c r="C381" s="9" t="s">
        <v>78</v>
      </c>
      <c r="D381" s="9" t="s">
        <v>188</v>
      </c>
      <c r="E381" s="9" t="s">
        <v>73</v>
      </c>
      <c r="F381" s="9" t="s">
        <v>74</v>
      </c>
      <c r="G381" s="9" t="s">
        <v>24</v>
      </c>
      <c r="H381" s="9" t="s">
        <v>75</v>
      </c>
      <c r="I381" s="9">
        <v>4000011773</v>
      </c>
      <c r="J381" s="10">
        <v>60.31</v>
      </c>
      <c r="K381" s="10"/>
      <c r="L381" s="10">
        <f t="shared" si="90"/>
        <v>60.31</v>
      </c>
      <c r="M381" s="11">
        <v>0</v>
      </c>
      <c r="N381" s="10">
        <f t="shared" si="91"/>
        <v>0</v>
      </c>
      <c r="O381" s="10">
        <f t="shared" si="92"/>
        <v>60.31</v>
      </c>
      <c r="P381" s="11">
        <f t="shared" si="93"/>
        <v>9.6400370832134513E-2</v>
      </c>
      <c r="Q381" s="10">
        <f t="shared" si="94"/>
        <v>625.62000000000012</v>
      </c>
      <c r="R381" s="10">
        <f t="shared" si="95"/>
        <v>3454.9959999999996</v>
      </c>
      <c r="S381" s="10">
        <f t="shared" si="96"/>
        <v>333.06289562354141</v>
      </c>
      <c r="T381" s="9" t="s">
        <v>76</v>
      </c>
      <c r="U381" s="10">
        <v>5699</v>
      </c>
      <c r="V381" s="10">
        <f t="shared" si="97"/>
        <v>3989.2999999999997</v>
      </c>
      <c r="W381" s="166">
        <v>490110</v>
      </c>
      <c r="X381" s="12" t="s">
        <v>27</v>
      </c>
      <c r="Y381" s="12">
        <f t="shared" si="98"/>
        <v>333.06289562354141</v>
      </c>
      <c r="Z381" s="13">
        <f t="shared" si="99"/>
        <v>333.06289562354141</v>
      </c>
      <c r="AA381" s="13">
        <f t="shared" si="100"/>
        <v>333.06289562354141</v>
      </c>
      <c r="AB381" s="13">
        <f t="shared" si="101"/>
        <v>60.31</v>
      </c>
      <c r="AC381" s="13">
        <f t="shared" si="102"/>
        <v>272.75289562354141</v>
      </c>
      <c r="AD381" s="14">
        <f t="shared" si="103"/>
        <v>0.81892308992542973</v>
      </c>
      <c r="AE381" s="14">
        <f t="shared" si="104"/>
        <v>4.5225152648572609</v>
      </c>
      <c r="AF381" s="13" t="str">
        <f>IF(AD381&gt;=Assumptions!$B$3,"OK","Review")</f>
        <v>OK</v>
      </c>
      <c r="AG381" s="13">
        <f>IFERROR(IF(Assumptions!$B$13="Cost Price",AB381,AA381)*SUMIF(Assumptions!$A$6:$A$10,X381,Assumptions!$B$6:$B$10),0)</f>
        <v>26.645031649883315</v>
      </c>
      <c r="AH381" s="13">
        <f>IFERROR(IF(Assumptions!$B$13="Cost Price",AB381,AA381)*SUMIF(Assumptions!$A$6:$A$10,X381,Assumptions!$C$6:$C$10),0)</f>
        <v>16.653144781177073</v>
      </c>
      <c r="AI381" s="13">
        <f>IFERROR(IF(Assumptions!$B$13="Cost Price",AB381,AA381)*SUMIF(Assumptions!$A$6:$A$10,X381,Assumptions!$D$6:$D$10),0)</f>
        <v>33.306289562354145</v>
      </c>
      <c r="AJ381" s="13">
        <v>49.787860963524182</v>
      </c>
      <c r="AK381" s="13">
        <f t="shared" si="105"/>
        <v>126.3923269569387</v>
      </c>
      <c r="AL381" s="14">
        <v>0.33</v>
      </c>
      <c r="AM381" s="13">
        <f t="shared" si="106"/>
        <v>146.36056866660272</v>
      </c>
      <c r="AN381" s="14">
        <f t="shared" si="107"/>
        <v>0.43943822800373722</v>
      </c>
      <c r="AO381" t="str">
        <f>IF(AN381&gt;=Assumptions!$B$3,"OK","Review")</f>
        <v>OK</v>
      </c>
    </row>
    <row r="382" spans="1:41" ht="15" customHeight="1">
      <c r="A382" s="9" t="s">
        <v>256</v>
      </c>
      <c r="B382" s="9" t="s">
        <v>42</v>
      </c>
      <c r="C382" s="9" t="s">
        <v>78</v>
      </c>
      <c r="D382" s="9" t="s">
        <v>189</v>
      </c>
      <c r="E382" s="9" t="s">
        <v>73</v>
      </c>
      <c r="F382" s="9" t="s">
        <v>74</v>
      </c>
      <c r="G382" s="9" t="s">
        <v>24</v>
      </c>
      <c r="H382" s="9" t="s">
        <v>75</v>
      </c>
      <c r="I382" s="9">
        <v>4000011775</v>
      </c>
      <c r="J382" s="10">
        <v>13.59</v>
      </c>
      <c r="K382" s="10"/>
      <c r="L382" s="10">
        <f t="shared" si="90"/>
        <v>13.59</v>
      </c>
      <c r="M382" s="11">
        <v>0</v>
      </c>
      <c r="N382" s="10">
        <f t="shared" si="91"/>
        <v>0</v>
      </c>
      <c r="O382" s="10">
        <f t="shared" si="92"/>
        <v>13.59</v>
      </c>
      <c r="P382" s="11">
        <f t="shared" si="93"/>
        <v>2.1722451328282339E-2</v>
      </c>
      <c r="Q382" s="10">
        <f t="shared" si="94"/>
        <v>625.62000000000012</v>
      </c>
      <c r="R382" s="10">
        <f t="shared" si="95"/>
        <v>3454.9959999999996</v>
      </c>
      <c r="S382" s="10">
        <f t="shared" si="96"/>
        <v>75.050982449410157</v>
      </c>
      <c r="T382" s="9" t="s">
        <v>76</v>
      </c>
      <c r="U382" s="10">
        <v>5699</v>
      </c>
      <c r="V382" s="10">
        <f t="shared" si="97"/>
        <v>3989.2999999999997</v>
      </c>
      <c r="W382" s="166">
        <v>490110</v>
      </c>
      <c r="X382" s="12" t="s">
        <v>27</v>
      </c>
      <c r="Y382" s="12">
        <f t="shared" si="98"/>
        <v>75.050982449410157</v>
      </c>
      <c r="Z382" s="13">
        <f t="shared" si="99"/>
        <v>75.050982449410157</v>
      </c>
      <c r="AA382" s="13">
        <f t="shared" si="100"/>
        <v>75.050982449410157</v>
      </c>
      <c r="AB382" s="13">
        <f t="shared" si="101"/>
        <v>13.59</v>
      </c>
      <c r="AC382" s="13">
        <f t="shared" si="102"/>
        <v>61.460982449410153</v>
      </c>
      <c r="AD382" s="14">
        <f t="shared" si="103"/>
        <v>0.81892308992542961</v>
      </c>
      <c r="AE382" s="14">
        <f t="shared" si="104"/>
        <v>4.5225152648572591</v>
      </c>
      <c r="AF382" s="13" t="str">
        <f>IF(AD382&gt;=Assumptions!$B$3,"OK","Review")</f>
        <v>OK</v>
      </c>
      <c r="AG382" s="13">
        <f>IFERROR(IF(Assumptions!$B$13="Cost Price",AB382,AA382)*SUMIF(Assumptions!$A$6:$A$10,X382,Assumptions!$B$6:$B$10),0)</f>
        <v>6.0040785959528122</v>
      </c>
      <c r="AH382" s="13">
        <f>IFERROR(IF(Assumptions!$B$13="Cost Price",AB382,AA382)*SUMIF(Assumptions!$A$6:$A$10,X382,Assumptions!$C$6:$C$10),0)</f>
        <v>3.7525491224705081</v>
      </c>
      <c r="AI382" s="13">
        <f>IFERROR(IF(Assumptions!$B$13="Cost Price",AB382,AA382)*SUMIF(Assumptions!$A$6:$A$10,X382,Assumptions!$D$6:$D$10),0)</f>
        <v>7.5050982449410162</v>
      </c>
      <c r="AJ382" s="13">
        <v>11.218985748537449</v>
      </c>
      <c r="AK382" s="13">
        <f t="shared" si="105"/>
        <v>28.480711711901787</v>
      </c>
      <c r="AL382" s="14">
        <v>0.33</v>
      </c>
      <c r="AM382" s="13">
        <f t="shared" si="106"/>
        <v>32.980270737508363</v>
      </c>
      <c r="AN382" s="14">
        <f t="shared" si="107"/>
        <v>0.439438228003737</v>
      </c>
      <c r="AO382" t="str">
        <f>IF(AN382&gt;=Assumptions!$B$3,"OK","Review")</f>
        <v>OK</v>
      </c>
    </row>
    <row r="383" spans="1:41" ht="15" customHeight="1">
      <c r="A383" s="9" t="s">
        <v>256</v>
      </c>
      <c r="B383" s="9" t="s">
        <v>42</v>
      </c>
      <c r="C383" s="9" t="s">
        <v>161</v>
      </c>
      <c r="D383" s="9" t="s">
        <v>190</v>
      </c>
      <c r="E383" s="9" t="s">
        <v>73</v>
      </c>
      <c r="F383" s="9" t="s">
        <v>74</v>
      </c>
      <c r="G383" s="9" t="s">
        <v>24</v>
      </c>
      <c r="H383" s="9" t="s">
        <v>75</v>
      </c>
      <c r="I383" s="9">
        <v>4000011776</v>
      </c>
      <c r="J383" s="10">
        <v>85.28</v>
      </c>
      <c r="K383" s="10"/>
      <c r="L383" s="10">
        <f t="shared" si="90"/>
        <v>85.28</v>
      </c>
      <c r="M383" s="11">
        <v>0</v>
      </c>
      <c r="N383" s="10">
        <f t="shared" si="91"/>
        <v>0</v>
      </c>
      <c r="O383" s="10">
        <f t="shared" si="92"/>
        <v>85.28</v>
      </c>
      <c r="P383" s="11">
        <f t="shared" si="93"/>
        <v>0.13631277772449726</v>
      </c>
      <c r="Q383" s="10">
        <f t="shared" si="94"/>
        <v>625.62000000000012</v>
      </c>
      <c r="R383" s="10">
        <f t="shared" si="95"/>
        <v>3454.9959999999996</v>
      </c>
      <c r="S383" s="10">
        <f t="shared" si="96"/>
        <v>470.9601017870271</v>
      </c>
      <c r="T383" s="9" t="s">
        <v>76</v>
      </c>
      <c r="U383" s="10">
        <v>5699</v>
      </c>
      <c r="V383" s="10">
        <f t="shared" si="97"/>
        <v>3989.2999999999997</v>
      </c>
      <c r="W383" s="166">
        <v>490110</v>
      </c>
      <c r="X383" s="12" t="s">
        <v>27</v>
      </c>
      <c r="Y383" s="12">
        <f t="shared" si="98"/>
        <v>470.9601017870271</v>
      </c>
      <c r="Z383" s="13">
        <f t="shared" si="99"/>
        <v>470.9601017870271</v>
      </c>
      <c r="AA383" s="13">
        <f t="shared" si="100"/>
        <v>470.9601017870271</v>
      </c>
      <c r="AB383" s="13">
        <f t="shared" si="101"/>
        <v>85.28</v>
      </c>
      <c r="AC383" s="13">
        <f t="shared" si="102"/>
        <v>385.68010178702707</v>
      </c>
      <c r="AD383" s="14">
        <f t="shared" si="103"/>
        <v>0.81892308992542961</v>
      </c>
      <c r="AE383" s="14">
        <f t="shared" si="104"/>
        <v>4.5225152648572591</v>
      </c>
      <c r="AF383" s="13" t="str">
        <f>IF(AD383&gt;=Assumptions!$B$3,"OK","Review")</f>
        <v>OK</v>
      </c>
      <c r="AG383" s="13">
        <f>IFERROR(IF(Assumptions!$B$13="Cost Price",AB383,AA383)*SUMIF(Assumptions!$A$6:$A$10,X383,Assumptions!$B$6:$B$10),0)</f>
        <v>37.676808142962166</v>
      </c>
      <c r="AH383" s="13">
        <f>IFERROR(IF(Assumptions!$B$13="Cost Price",AB383,AA383)*SUMIF(Assumptions!$A$6:$A$10,X383,Assumptions!$C$6:$C$10),0)</f>
        <v>23.548005089351356</v>
      </c>
      <c r="AI383" s="13">
        <f>IFERROR(IF(Assumptions!$B$13="Cost Price",AB383,AA383)*SUMIF(Assumptions!$A$6:$A$10,X383,Assumptions!$D$6:$D$10),0)</f>
        <v>47.096010178702713</v>
      </c>
      <c r="AJ383" s="13">
        <v>70.401405786260014</v>
      </c>
      <c r="AK383" s="13">
        <f t="shared" si="105"/>
        <v>178.72222919727625</v>
      </c>
      <c r="AL383" s="14">
        <v>0.33</v>
      </c>
      <c r="AM383" s="13">
        <f t="shared" si="106"/>
        <v>206.95787258975082</v>
      </c>
      <c r="AN383" s="14">
        <f t="shared" si="107"/>
        <v>0.43943822800373705</v>
      </c>
      <c r="AO383" t="str">
        <f>IF(AN383&gt;=Assumptions!$B$3,"OK","Review")</f>
        <v>OK</v>
      </c>
    </row>
    <row r="384" spans="1:41" ht="15" customHeight="1">
      <c r="A384" s="9" t="s">
        <v>256</v>
      </c>
      <c r="B384" s="9" t="s">
        <v>42</v>
      </c>
      <c r="C384" s="9" t="s">
        <v>105</v>
      </c>
      <c r="D384" s="9" t="s">
        <v>191</v>
      </c>
      <c r="E384" s="9" t="s">
        <v>73</v>
      </c>
      <c r="F384" s="9" t="s">
        <v>81</v>
      </c>
      <c r="G384" s="9" t="s">
        <v>24</v>
      </c>
      <c r="H384" s="9" t="s">
        <v>84</v>
      </c>
      <c r="I384" s="9">
        <v>4000011777</v>
      </c>
      <c r="J384" s="10">
        <v>57.48</v>
      </c>
      <c r="K384" s="10"/>
      <c r="L384" s="10">
        <f t="shared" si="90"/>
        <v>57.48</v>
      </c>
      <c r="M384" s="11">
        <v>0</v>
      </c>
      <c r="N384" s="10">
        <f t="shared" si="91"/>
        <v>0</v>
      </c>
      <c r="O384" s="10">
        <f t="shared" si="92"/>
        <v>57.48</v>
      </c>
      <c r="P384" s="11">
        <f t="shared" si="93"/>
        <v>9.1876858156708527E-2</v>
      </c>
      <c r="Q384" s="10">
        <f t="shared" si="94"/>
        <v>625.62000000000012</v>
      </c>
      <c r="R384" s="10">
        <f t="shared" si="95"/>
        <v>3454.9959999999996</v>
      </c>
      <c r="S384" s="10">
        <f t="shared" si="96"/>
        <v>317.43417742399532</v>
      </c>
      <c r="T384" s="9" t="s">
        <v>76</v>
      </c>
      <c r="U384" s="10">
        <v>5699</v>
      </c>
      <c r="V384" s="10">
        <f t="shared" si="97"/>
        <v>3989.2999999999997</v>
      </c>
      <c r="W384" s="166">
        <v>490110</v>
      </c>
      <c r="X384" s="12" t="s">
        <v>27</v>
      </c>
      <c r="Y384" s="12">
        <f t="shared" si="98"/>
        <v>317.43417742399532</v>
      </c>
      <c r="Z384" s="13">
        <f t="shared" si="99"/>
        <v>317.43417742399532</v>
      </c>
      <c r="AA384" s="13">
        <f t="shared" si="100"/>
        <v>317.43417742399532</v>
      </c>
      <c r="AB384" s="13">
        <f t="shared" si="101"/>
        <v>57.48</v>
      </c>
      <c r="AC384" s="13">
        <f t="shared" si="102"/>
        <v>259.9541774239953</v>
      </c>
      <c r="AD384" s="14">
        <f t="shared" si="103"/>
        <v>0.81892308992542961</v>
      </c>
      <c r="AE384" s="14">
        <f t="shared" si="104"/>
        <v>4.52251526485726</v>
      </c>
      <c r="AF384" s="13" t="str">
        <f>IF(AD384&gt;=Assumptions!$B$3,"OK","Review")</f>
        <v>OK</v>
      </c>
      <c r="AG384" s="13">
        <f>IFERROR(IF(Assumptions!$B$13="Cost Price",AB384,AA384)*SUMIF(Assumptions!$A$6:$A$10,X384,Assumptions!$B$6:$B$10),0)</f>
        <v>25.394734193919625</v>
      </c>
      <c r="AH384" s="13">
        <f>IFERROR(IF(Assumptions!$B$13="Cost Price",AB384,AA384)*SUMIF(Assumptions!$A$6:$A$10,X384,Assumptions!$C$6:$C$10),0)</f>
        <v>15.871708871199766</v>
      </c>
      <c r="AI384" s="13">
        <f>IFERROR(IF(Assumptions!$B$13="Cost Price",AB384,AA384)*SUMIF(Assumptions!$A$6:$A$10,X384,Assumptions!$D$6:$D$10),0)</f>
        <v>31.743417742399533</v>
      </c>
      <c r="AJ384" s="13">
        <v>47.451604181451991</v>
      </c>
      <c r="AK384" s="13">
        <f t="shared" si="105"/>
        <v>120.4614649889709</v>
      </c>
      <c r="AL384" s="14">
        <v>0.33</v>
      </c>
      <c r="AM384" s="13">
        <f t="shared" si="106"/>
        <v>139.4927124350244</v>
      </c>
      <c r="AN384" s="14">
        <f t="shared" si="107"/>
        <v>0.43943822800373711</v>
      </c>
      <c r="AO384" t="str">
        <f>IF(AN384&gt;=Assumptions!$B$3,"OK","Review")</f>
        <v>OK</v>
      </c>
    </row>
    <row r="385" spans="1:41" ht="15" customHeight="1">
      <c r="A385" s="9" t="s">
        <v>256</v>
      </c>
      <c r="B385" s="9" t="s">
        <v>42</v>
      </c>
      <c r="C385" s="9" t="s">
        <v>105</v>
      </c>
      <c r="D385" s="9" t="s">
        <v>192</v>
      </c>
      <c r="E385" s="9" t="s">
        <v>73</v>
      </c>
      <c r="F385" s="9" t="s">
        <v>81</v>
      </c>
      <c r="G385" s="9" t="s">
        <v>24</v>
      </c>
      <c r="H385" s="9" t="s">
        <v>84</v>
      </c>
      <c r="I385" s="9">
        <v>4000011778</v>
      </c>
      <c r="J385" s="10">
        <v>18.579999999999998</v>
      </c>
      <c r="K385" s="10"/>
      <c r="L385" s="10">
        <f t="shared" si="90"/>
        <v>18.579999999999998</v>
      </c>
      <c r="M385" s="11">
        <v>0</v>
      </c>
      <c r="N385" s="10">
        <f t="shared" si="91"/>
        <v>0</v>
      </c>
      <c r="O385" s="10">
        <f t="shared" si="92"/>
        <v>18.579999999999998</v>
      </c>
      <c r="P385" s="11">
        <f t="shared" si="93"/>
        <v>2.9698539049263124E-2</v>
      </c>
      <c r="Q385" s="10">
        <f t="shared" si="94"/>
        <v>625.62000000000012</v>
      </c>
      <c r="R385" s="10">
        <f t="shared" si="95"/>
        <v>3454.9959999999996</v>
      </c>
      <c r="S385" s="10">
        <f t="shared" si="96"/>
        <v>102.60833362104789</v>
      </c>
      <c r="T385" s="9" t="s">
        <v>76</v>
      </c>
      <c r="U385" s="10">
        <v>5699</v>
      </c>
      <c r="V385" s="10">
        <f t="shared" si="97"/>
        <v>3989.2999999999997</v>
      </c>
      <c r="W385" s="166">
        <v>490110</v>
      </c>
      <c r="X385" s="12" t="s">
        <v>27</v>
      </c>
      <c r="Y385" s="12">
        <f t="shared" si="98"/>
        <v>102.60833362104789</v>
      </c>
      <c r="Z385" s="13">
        <f t="shared" si="99"/>
        <v>102.60833362104789</v>
      </c>
      <c r="AA385" s="13">
        <f t="shared" si="100"/>
        <v>102.60833362104789</v>
      </c>
      <c r="AB385" s="13">
        <f t="shared" si="101"/>
        <v>18.579999999999998</v>
      </c>
      <c r="AC385" s="13">
        <f t="shared" si="102"/>
        <v>84.028333621047892</v>
      </c>
      <c r="AD385" s="14">
        <f t="shared" si="103"/>
        <v>0.81892308992542973</v>
      </c>
      <c r="AE385" s="14">
        <f t="shared" si="104"/>
        <v>4.5225152648572609</v>
      </c>
      <c r="AF385" s="13" t="str">
        <f>IF(AD385&gt;=Assumptions!$B$3,"OK","Review")</f>
        <v>OK</v>
      </c>
      <c r="AG385" s="13">
        <f>IFERROR(IF(Assumptions!$B$13="Cost Price",AB385,AA385)*SUMIF(Assumptions!$A$6:$A$10,X385,Assumptions!$B$6:$B$10),0)</f>
        <v>8.208666689683831</v>
      </c>
      <c r="AH385" s="13">
        <f>IFERROR(IF(Assumptions!$B$13="Cost Price",AB385,AA385)*SUMIF(Assumptions!$A$6:$A$10,X385,Assumptions!$C$6:$C$10),0)</f>
        <v>5.1304166810523952</v>
      </c>
      <c r="AI385" s="13">
        <f>IFERROR(IF(Assumptions!$B$13="Cost Price",AB385,AA385)*SUMIF(Assumptions!$A$6:$A$10,X385,Assumptions!$D$6:$D$10),0)</f>
        <v>10.26083336210479</v>
      </c>
      <c r="AJ385" s="13">
        <v>15.338392583357304</v>
      </c>
      <c r="AK385" s="13">
        <f t="shared" si="105"/>
        <v>38.938309316198321</v>
      </c>
      <c r="AL385" s="14">
        <v>0.33</v>
      </c>
      <c r="AM385" s="13">
        <f t="shared" si="106"/>
        <v>45.090024304849571</v>
      </c>
      <c r="AN385" s="14">
        <f t="shared" si="107"/>
        <v>0.43943822800373716</v>
      </c>
      <c r="AO385" t="str">
        <f>IF(AN385&gt;=Assumptions!$B$3,"OK","Review")</f>
        <v>OK</v>
      </c>
    </row>
    <row r="386" spans="1:41" ht="15" customHeight="1">
      <c r="A386" s="9" t="s">
        <v>256</v>
      </c>
      <c r="B386" s="9" t="s">
        <v>42</v>
      </c>
      <c r="C386" s="9" t="s">
        <v>71</v>
      </c>
      <c r="D386" s="9" t="s">
        <v>193</v>
      </c>
      <c r="E386" s="9" t="s">
        <v>73</v>
      </c>
      <c r="F386" s="9" t="s">
        <v>74</v>
      </c>
      <c r="G386" s="9" t="s">
        <v>24</v>
      </c>
      <c r="H386" s="9" t="s">
        <v>84</v>
      </c>
      <c r="I386" s="9">
        <v>4000011779</v>
      </c>
      <c r="J386" s="10">
        <v>68.62</v>
      </c>
      <c r="K386" s="10"/>
      <c r="L386" s="10">
        <f t="shared" ref="L386:L434" si="108">J386+K386</f>
        <v>68.62</v>
      </c>
      <c r="M386" s="11">
        <v>0</v>
      </c>
      <c r="N386" s="10">
        <f t="shared" ref="N386:N434" si="109">M386*L386</f>
        <v>0</v>
      </c>
      <c r="O386" s="10">
        <f t="shared" ref="O386:O434" si="110">L386+N386</f>
        <v>68.62</v>
      </c>
      <c r="P386" s="11">
        <f t="shared" ref="P386:P434" si="111">IFERROR(O386/Q386,"")</f>
        <v>0.10968319427128287</v>
      </c>
      <c r="Q386" s="10">
        <f t="shared" ref="Q386:Q434" si="112">SUMIFS(O:O,T:T,T386,B:B,B386,A:A,A386,G:G,G386,E:E,E386)</f>
        <v>625.62000000000012</v>
      </c>
      <c r="R386" s="10">
        <f t="shared" ref="R386:R434" si="113">V386-SUMIFS(Q:Q,A:A,A386,B:B,B386,G:G,G386,E:E,E386,T:T,"Fixed Price ( Base Price with GST)")</f>
        <v>3454.9959999999996</v>
      </c>
      <c r="S386" s="10">
        <f t="shared" ref="S386:S434" si="114">IF(T386="Fixed Price ( Base Price with GST)",O386,P386*R386)</f>
        <v>378.95499747450521</v>
      </c>
      <c r="T386" s="9" t="s">
        <v>76</v>
      </c>
      <c r="U386" s="10">
        <v>5699</v>
      </c>
      <c r="V386" s="10">
        <f t="shared" ref="V386:V449" si="115">IFERROR(U386*(1-30%),0)</f>
        <v>3989.2999999999997</v>
      </c>
      <c r="W386" s="166">
        <v>490110</v>
      </c>
      <c r="X386" s="12" t="s">
        <v>27</v>
      </c>
      <c r="Y386" s="12">
        <f t="shared" ref="Y386:Y449" si="116">IFERROR(S386,0)</f>
        <v>378.95499747450521</v>
      </c>
      <c r="Z386" s="13">
        <f t="shared" ref="Z386:Z449" si="117">IF(ISNUMBER(S386),S386,0)</f>
        <v>378.95499747450521</v>
      </c>
      <c r="AA386" s="13">
        <f t="shared" ref="AA386:AA449" si="118">IFERROR(Z386/(1+M386),Z386)</f>
        <v>378.95499747450521</v>
      </c>
      <c r="AB386" s="13">
        <f t="shared" ref="AB386:AB449" si="119">IF(ISNUMBER(J386),J386,0)</f>
        <v>68.62</v>
      </c>
      <c r="AC386" s="13">
        <f t="shared" ref="AC386:AC449" si="120">AA386-AB386</f>
        <v>310.3349974745052</v>
      </c>
      <c r="AD386" s="14">
        <f t="shared" ref="AD386:AD449" si="121">IFERROR(AC386/AA386,0)</f>
        <v>0.81892308992542973</v>
      </c>
      <c r="AE386" s="14">
        <f t="shared" ref="AE386:AE449" si="122">IFERROR(AC386/AB386,0)</f>
        <v>4.52251526485726</v>
      </c>
      <c r="AF386" s="13" t="str">
        <f>IF(AD386&gt;=Assumptions!$B$3,"OK","Review")</f>
        <v>OK</v>
      </c>
      <c r="AG386" s="13">
        <f>IFERROR(IF(Assumptions!$B$13="Cost Price",AB386,AA386)*SUMIF(Assumptions!$A$6:$A$10,X386,Assumptions!$B$6:$B$10),0)</f>
        <v>30.316399797960418</v>
      </c>
      <c r="AH386" s="13">
        <f>IFERROR(IF(Assumptions!$B$13="Cost Price",AB386,AA386)*SUMIF(Assumptions!$A$6:$A$10,X386,Assumptions!$C$6:$C$10),0)</f>
        <v>18.947749873725261</v>
      </c>
      <c r="AI386" s="13">
        <f>IFERROR(IF(Assumptions!$B$13="Cost Price",AB386,AA386)*SUMIF(Assumptions!$A$6:$A$10,X386,Assumptions!$D$6:$D$10),0)</f>
        <v>37.895499747450522</v>
      </c>
      <c r="AJ386" s="13">
        <v>37.895499747450522</v>
      </c>
      <c r="AK386" s="13">
        <f t="shared" ref="AK386:AK449" si="123">SUM(AG386:AJ386)</f>
        <v>125.05514916658672</v>
      </c>
      <c r="AL386" s="14">
        <v>0.33</v>
      </c>
      <c r="AM386" s="13">
        <f t="shared" ref="AM386:AM449" si="124">AC386-AK386</f>
        <v>185.27984830791848</v>
      </c>
      <c r="AN386" s="14">
        <f t="shared" ref="AN386:AN449" si="125">IFERROR(AM386/AA386,0)</f>
        <v>0.48892308992542965</v>
      </c>
      <c r="AO386" t="str">
        <f>IF(AN386&gt;=Assumptions!$B$3,"OK","Review")</f>
        <v>OK</v>
      </c>
    </row>
    <row r="387" spans="1:41" ht="15" customHeight="1">
      <c r="A387" s="9" t="s">
        <v>256</v>
      </c>
      <c r="B387" s="9" t="s">
        <v>42</v>
      </c>
      <c r="C387" s="9" t="s">
        <v>78</v>
      </c>
      <c r="D387" s="9" t="s">
        <v>194</v>
      </c>
      <c r="E387" s="9" t="s">
        <v>73</v>
      </c>
      <c r="F387" s="9" t="s">
        <v>74</v>
      </c>
      <c r="G387" s="9" t="s">
        <v>24</v>
      </c>
      <c r="H387" s="9" t="s">
        <v>84</v>
      </c>
      <c r="I387" s="9">
        <v>4000011862</v>
      </c>
      <c r="J387" s="10">
        <v>64.13</v>
      </c>
      <c r="K387" s="10"/>
      <c r="L387" s="10">
        <f t="shared" si="108"/>
        <v>64.13</v>
      </c>
      <c r="M387" s="11">
        <v>0</v>
      </c>
      <c r="N387" s="10">
        <f t="shared" si="109"/>
        <v>0</v>
      </c>
      <c r="O387" s="10">
        <f t="shared" si="110"/>
        <v>64.13</v>
      </c>
      <c r="P387" s="11">
        <f t="shared" si="111"/>
        <v>0.10250631373677309</v>
      </c>
      <c r="Q387" s="10">
        <f t="shared" si="112"/>
        <v>625.62000000000012</v>
      </c>
      <c r="R387" s="10">
        <f t="shared" si="113"/>
        <v>3454.9959999999996</v>
      </c>
      <c r="S387" s="10">
        <f t="shared" si="114"/>
        <v>354.15890393529605</v>
      </c>
      <c r="T387" s="9" t="s">
        <v>76</v>
      </c>
      <c r="U387" s="10">
        <v>5699</v>
      </c>
      <c r="V387" s="10">
        <f t="shared" si="115"/>
        <v>3989.2999999999997</v>
      </c>
      <c r="W387" s="166">
        <v>490110</v>
      </c>
      <c r="X387" s="12" t="s">
        <v>27</v>
      </c>
      <c r="Y387" s="12">
        <f t="shared" si="116"/>
        <v>354.15890393529605</v>
      </c>
      <c r="Z387" s="13">
        <f t="shared" si="117"/>
        <v>354.15890393529605</v>
      </c>
      <c r="AA387" s="13">
        <f t="shared" si="118"/>
        <v>354.15890393529605</v>
      </c>
      <c r="AB387" s="13">
        <f t="shared" si="119"/>
        <v>64.13</v>
      </c>
      <c r="AC387" s="13">
        <f t="shared" si="120"/>
        <v>290.02890393529606</v>
      </c>
      <c r="AD387" s="14">
        <f t="shared" si="121"/>
        <v>0.81892308992542961</v>
      </c>
      <c r="AE387" s="14">
        <f t="shared" si="122"/>
        <v>4.52251526485726</v>
      </c>
      <c r="AF387" s="13" t="str">
        <f>IF(AD387&gt;=Assumptions!$B$3,"OK","Review")</f>
        <v>OK</v>
      </c>
      <c r="AG387" s="13">
        <f>IFERROR(IF(Assumptions!$B$13="Cost Price",AB387,AA387)*SUMIF(Assumptions!$A$6:$A$10,X387,Assumptions!$B$6:$B$10),0)</f>
        <v>28.332712314823684</v>
      </c>
      <c r="AH387" s="13">
        <f>IFERROR(IF(Assumptions!$B$13="Cost Price",AB387,AA387)*SUMIF(Assumptions!$A$6:$A$10,X387,Assumptions!$C$6:$C$10),0)</f>
        <v>17.707945196764804</v>
      </c>
      <c r="AI387" s="13">
        <f>IFERROR(IF(Assumptions!$B$13="Cost Price",AB387,AA387)*SUMIF(Assumptions!$A$6:$A$10,X387,Assumptions!$D$6:$D$10),0)</f>
        <v>35.415890393529608</v>
      </c>
      <c r="AJ387" s="13">
        <v>52.941394853105706</v>
      </c>
      <c r="AK387" s="13">
        <f t="shared" si="123"/>
        <v>134.39794275822379</v>
      </c>
      <c r="AL387" s="14">
        <v>0.33</v>
      </c>
      <c r="AM387" s="13">
        <f t="shared" si="124"/>
        <v>155.63096117707227</v>
      </c>
      <c r="AN387" s="14">
        <f t="shared" si="125"/>
        <v>0.43943822800373716</v>
      </c>
      <c r="AO387" t="str">
        <f>IF(AN387&gt;=Assumptions!$B$3,"OK","Review")</f>
        <v>OK</v>
      </c>
    </row>
    <row r="388" spans="1:41" ht="15" customHeight="1">
      <c r="A388" s="9" t="s">
        <v>256</v>
      </c>
      <c r="B388" s="9" t="s">
        <v>42</v>
      </c>
      <c r="C388" s="9" t="s">
        <v>78</v>
      </c>
      <c r="D388" s="9" t="s">
        <v>195</v>
      </c>
      <c r="E388" s="9" t="s">
        <v>73</v>
      </c>
      <c r="F388" s="9" t="s">
        <v>74</v>
      </c>
      <c r="G388" s="9" t="s">
        <v>24</v>
      </c>
      <c r="H388" s="9" t="s">
        <v>84</v>
      </c>
      <c r="I388" s="9">
        <v>4000011863</v>
      </c>
      <c r="J388" s="10">
        <v>16.48</v>
      </c>
      <c r="K388" s="10"/>
      <c r="L388" s="10">
        <f t="shared" si="108"/>
        <v>16.48</v>
      </c>
      <c r="M388" s="11">
        <v>0</v>
      </c>
      <c r="N388" s="10">
        <f t="shared" si="109"/>
        <v>0</v>
      </c>
      <c r="O388" s="10">
        <f t="shared" si="110"/>
        <v>16.48</v>
      </c>
      <c r="P388" s="11">
        <f t="shared" si="111"/>
        <v>2.634186886608484E-2</v>
      </c>
      <c r="Q388" s="10">
        <f t="shared" si="112"/>
        <v>625.62000000000012</v>
      </c>
      <c r="R388" s="10">
        <f t="shared" si="113"/>
        <v>3454.9959999999996</v>
      </c>
      <c r="S388" s="10">
        <f t="shared" si="114"/>
        <v>91.011051564847648</v>
      </c>
      <c r="T388" s="9" t="s">
        <v>76</v>
      </c>
      <c r="U388" s="10">
        <v>5699</v>
      </c>
      <c r="V388" s="10">
        <f t="shared" si="115"/>
        <v>3989.2999999999997</v>
      </c>
      <c r="W388" s="166">
        <v>490110</v>
      </c>
      <c r="X388" s="12" t="s">
        <v>27</v>
      </c>
      <c r="Y388" s="12">
        <f t="shared" si="116"/>
        <v>91.011051564847648</v>
      </c>
      <c r="Z388" s="13">
        <f t="shared" si="117"/>
        <v>91.011051564847648</v>
      </c>
      <c r="AA388" s="13">
        <f t="shared" si="118"/>
        <v>91.011051564847648</v>
      </c>
      <c r="AB388" s="13">
        <f t="shared" si="119"/>
        <v>16.48</v>
      </c>
      <c r="AC388" s="13">
        <f t="shared" si="120"/>
        <v>74.531051564847644</v>
      </c>
      <c r="AD388" s="14">
        <f t="shared" si="121"/>
        <v>0.81892308992542961</v>
      </c>
      <c r="AE388" s="14">
        <f t="shared" si="122"/>
        <v>4.52251526485726</v>
      </c>
      <c r="AF388" s="13" t="str">
        <f>IF(AD388&gt;=Assumptions!$B$3,"OK","Review")</f>
        <v>OK</v>
      </c>
      <c r="AG388" s="13">
        <f>IFERROR(IF(Assumptions!$B$13="Cost Price",AB388,AA388)*SUMIF(Assumptions!$A$6:$A$10,X388,Assumptions!$B$6:$B$10),0)</f>
        <v>7.2808841251878116</v>
      </c>
      <c r="AH388" s="13">
        <f>IFERROR(IF(Assumptions!$B$13="Cost Price",AB388,AA388)*SUMIF(Assumptions!$A$6:$A$10,X388,Assumptions!$C$6:$C$10),0)</f>
        <v>4.5505525782423826</v>
      </c>
      <c r="AI388" s="13">
        <f>IFERROR(IF(Assumptions!$B$13="Cost Price",AB388,AA388)*SUMIF(Assumptions!$A$6:$A$10,X388,Assumptions!$D$6:$D$10),0)</f>
        <v>9.1011051564847651</v>
      </c>
      <c r="AJ388" s="13">
        <v>13.604774476519291</v>
      </c>
      <c r="AK388" s="13">
        <f t="shared" si="123"/>
        <v>34.537316336434252</v>
      </c>
      <c r="AL388" s="14">
        <v>0.33</v>
      </c>
      <c r="AM388" s="13">
        <f t="shared" si="124"/>
        <v>39.993735228413392</v>
      </c>
      <c r="AN388" s="14">
        <f t="shared" si="125"/>
        <v>0.43943822800373705</v>
      </c>
      <c r="AO388" t="str">
        <f>IF(AN388&gt;=Assumptions!$B$3,"OK","Review")</f>
        <v>OK</v>
      </c>
    </row>
    <row r="389" spans="1:41" ht="15" customHeight="1">
      <c r="A389" s="9" t="s">
        <v>256</v>
      </c>
      <c r="B389" s="9" t="s">
        <v>42</v>
      </c>
      <c r="C389" s="9" t="s">
        <v>161</v>
      </c>
      <c r="D389" s="9" t="s">
        <v>196</v>
      </c>
      <c r="E389" s="9" t="s">
        <v>73</v>
      </c>
      <c r="F389" s="9" t="s">
        <v>74</v>
      </c>
      <c r="G389" s="9" t="s">
        <v>24</v>
      </c>
      <c r="H389" s="9" t="s">
        <v>84</v>
      </c>
      <c r="I389" s="9">
        <v>4000011864</v>
      </c>
      <c r="J389" s="10">
        <v>77</v>
      </c>
      <c r="K389" s="10"/>
      <c r="L389" s="10">
        <f t="shared" si="108"/>
        <v>77</v>
      </c>
      <c r="M389" s="11">
        <v>0</v>
      </c>
      <c r="N389" s="10">
        <f t="shared" si="109"/>
        <v>0</v>
      </c>
      <c r="O389" s="10">
        <f t="shared" si="110"/>
        <v>77</v>
      </c>
      <c r="P389" s="11">
        <f t="shared" si="111"/>
        <v>0.12307790671653718</v>
      </c>
      <c r="Q389" s="10">
        <f t="shared" si="112"/>
        <v>625.62000000000012</v>
      </c>
      <c r="R389" s="10">
        <f t="shared" si="113"/>
        <v>3454.9959999999996</v>
      </c>
      <c r="S389" s="10">
        <f t="shared" si="114"/>
        <v>425.23367539400903</v>
      </c>
      <c r="T389" s="9" t="s">
        <v>76</v>
      </c>
      <c r="U389" s="10">
        <v>5699</v>
      </c>
      <c r="V389" s="10">
        <f t="shared" si="115"/>
        <v>3989.2999999999997</v>
      </c>
      <c r="W389" s="166">
        <v>490110</v>
      </c>
      <c r="X389" s="12" t="s">
        <v>27</v>
      </c>
      <c r="Y389" s="12">
        <f t="shared" si="116"/>
        <v>425.23367539400903</v>
      </c>
      <c r="Z389" s="13">
        <f t="shared" si="117"/>
        <v>425.23367539400903</v>
      </c>
      <c r="AA389" s="13">
        <f t="shared" si="118"/>
        <v>425.23367539400903</v>
      </c>
      <c r="AB389" s="13">
        <f t="shared" si="119"/>
        <v>77</v>
      </c>
      <c r="AC389" s="13">
        <f t="shared" si="120"/>
        <v>348.23367539400903</v>
      </c>
      <c r="AD389" s="14">
        <f t="shared" si="121"/>
        <v>0.81892308992542973</v>
      </c>
      <c r="AE389" s="14">
        <f t="shared" si="122"/>
        <v>4.52251526485726</v>
      </c>
      <c r="AF389" s="13" t="str">
        <f>IF(AD389&gt;=Assumptions!$B$3,"OK","Review")</f>
        <v>OK</v>
      </c>
      <c r="AG389" s="13">
        <f>IFERROR(IF(Assumptions!$B$13="Cost Price",AB389,AA389)*SUMIF(Assumptions!$A$6:$A$10,X389,Assumptions!$B$6:$B$10),0)</f>
        <v>34.018694031520724</v>
      </c>
      <c r="AH389" s="13">
        <f>IFERROR(IF(Assumptions!$B$13="Cost Price",AB389,AA389)*SUMIF(Assumptions!$A$6:$A$10,X389,Assumptions!$C$6:$C$10),0)</f>
        <v>21.261683769700454</v>
      </c>
      <c r="AI389" s="13">
        <f>IFERROR(IF(Assumptions!$B$13="Cost Price",AB389,AA389)*SUMIF(Assumptions!$A$6:$A$10,X389,Assumptions!$D$6:$D$10),0)</f>
        <v>42.523367539400908</v>
      </c>
      <c r="AJ389" s="13">
        <v>63.565997250727264</v>
      </c>
      <c r="AK389" s="13">
        <f t="shared" si="123"/>
        <v>161.36974259134934</v>
      </c>
      <c r="AL389" s="14">
        <v>0.33</v>
      </c>
      <c r="AM389" s="13">
        <f t="shared" si="124"/>
        <v>186.86393280265969</v>
      </c>
      <c r="AN389" s="14">
        <f t="shared" si="125"/>
        <v>0.43943822800373716</v>
      </c>
      <c r="AO389" t="str">
        <f>IF(AN389&gt;=Assumptions!$B$3,"OK","Review")</f>
        <v>OK</v>
      </c>
    </row>
    <row r="390" spans="1:41" ht="15" customHeight="1">
      <c r="A390" s="9" t="s">
        <v>256</v>
      </c>
      <c r="B390" s="9" t="s">
        <v>42</v>
      </c>
      <c r="C390" s="9" t="s">
        <v>243</v>
      </c>
      <c r="D390" s="9" t="s">
        <v>251</v>
      </c>
      <c r="E390" s="9" t="s">
        <v>73</v>
      </c>
      <c r="F390" s="9" t="s">
        <v>90</v>
      </c>
      <c r="G390" s="9" t="s">
        <v>24</v>
      </c>
      <c r="H390" s="9" t="s">
        <v>75</v>
      </c>
      <c r="I390" s="9">
        <v>7000001008</v>
      </c>
      <c r="J390" s="10">
        <v>120.4</v>
      </c>
      <c r="K390" s="10">
        <v>10</v>
      </c>
      <c r="L390" s="10">
        <f t="shared" si="108"/>
        <v>130.4</v>
      </c>
      <c r="M390" s="11">
        <v>0.18</v>
      </c>
      <c r="N390" s="10">
        <f t="shared" si="109"/>
        <v>23.472000000000001</v>
      </c>
      <c r="O390" s="10">
        <f t="shared" si="110"/>
        <v>153.87200000000001</v>
      </c>
      <c r="P390" s="11">
        <f t="shared" si="111"/>
        <v>0.57597173144876324</v>
      </c>
      <c r="Q390" s="10">
        <f t="shared" si="112"/>
        <v>267.15200000000004</v>
      </c>
      <c r="R390" s="10">
        <f t="shared" si="113"/>
        <v>3454.9959999999996</v>
      </c>
      <c r="S390" s="10">
        <f t="shared" si="114"/>
        <v>153.87200000000001</v>
      </c>
      <c r="T390" s="9" t="s">
        <v>91</v>
      </c>
      <c r="U390" s="10">
        <v>5699</v>
      </c>
      <c r="V390" s="10">
        <f t="shared" si="115"/>
        <v>3989.2999999999997</v>
      </c>
      <c r="W390" s="166">
        <v>49119990</v>
      </c>
      <c r="X390" s="12" t="s">
        <v>27</v>
      </c>
      <c r="Y390" s="12">
        <f t="shared" si="116"/>
        <v>153.87200000000001</v>
      </c>
      <c r="Z390" s="13">
        <f t="shared" si="117"/>
        <v>153.87200000000001</v>
      </c>
      <c r="AA390" s="13">
        <f t="shared" si="118"/>
        <v>130.4</v>
      </c>
      <c r="AB390" s="13">
        <f t="shared" si="119"/>
        <v>120.4</v>
      </c>
      <c r="AC390" s="13">
        <f t="shared" si="120"/>
        <v>10</v>
      </c>
      <c r="AD390" s="14">
        <f t="shared" si="121"/>
        <v>7.6687116564417179E-2</v>
      </c>
      <c r="AE390" s="14">
        <f t="shared" si="122"/>
        <v>8.3056478405315617E-2</v>
      </c>
      <c r="AF390" s="13" t="str">
        <f>IF(AD390&gt;=Assumptions!$B$3,"OK","Review")</f>
        <v>Review</v>
      </c>
      <c r="AG390" s="13">
        <f>IFERROR(IF(Assumptions!$B$13="Cost Price",AB390,AA390)*SUMIF(Assumptions!$A$6:$A$10,X390,Assumptions!$B$6:$B$10),0)</f>
        <v>10.432</v>
      </c>
      <c r="AH390" s="13">
        <f>IFERROR(IF(Assumptions!$B$13="Cost Price",AB390,AA390)*SUMIF(Assumptions!$A$6:$A$10,X390,Assumptions!$C$6:$C$10),0)</f>
        <v>6.5200000000000005</v>
      </c>
      <c r="AI390" s="13">
        <f>IFERROR(IF(Assumptions!$B$13="Cost Price",AB390,AA390)*SUMIF(Assumptions!$A$6:$A$10,X390,Assumptions!$D$6:$D$10),0)</f>
        <v>13.040000000000001</v>
      </c>
      <c r="AJ390" s="13">
        <v>13.040000000000001</v>
      </c>
      <c r="AK390" s="13">
        <f t="shared" si="123"/>
        <v>43.032000000000004</v>
      </c>
      <c r="AL390" s="14">
        <v>0.33</v>
      </c>
      <c r="AM390" s="13">
        <f t="shared" si="124"/>
        <v>-33.032000000000004</v>
      </c>
      <c r="AN390" s="14">
        <f t="shared" si="125"/>
        <v>-0.25331288343558284</v>
      </c>
      <c r="AO390" t="str">
        <f>IF(AN390&gt;=Assumptions!$B$3,"OK","Review")</f>
        <v>Review</v>
      </c>
    </row>
    <row r="391" spans="1:41" ht="15" customHeight="1">
      <c r="A391" s="9" t="s">
        <v>256</v>
      </c>
      <c r="B391" s="9" t="s">
        <v>42</v>
      </c>
      <c r="C391" s="9" t="s">
        <v>92</v>
      </c>
      <c r="D391" s="9" t="s">
        <v>93</v>
      </c>
      <c r="E391" s="9" t="s">
        <v>73</v>
      </c>
      <c r="F391" s="9" t="s">
        <v>94</v>
      </c>
      <c r="G391" s="9" t="s">
        <v>24</v>
      </c>
      <c r="H391" s="9" t="s">
        <v>75</v>
      </c>
      <c r="I391" s="9">
        <v>8400007</v>
      </c>
      <c r="J391" s="10">
        <v>96</v>
      </c>
      <c r="K391" s="10"/>
      <c r="L391" s="10">
        <f t="shared" si="108"/>
        <v>96</v>
      </c>
      <c r="M391" s="11">
        <v>0.18</v>
      </c>
      <c r="N391" s="10">
        <f t="shared" si="109"/>
        <v>17.28</v>
      </c>
      <c r="O391" s="10">
        <f t="shared" si="110"/>
        <v>113.28</v>
      </c>
      <c r="P391" s="11">
        <f t="shared" si="111"/>
        <v>0.42402826855123671</v>
      </c>
      <c r="Q391" s="10">
        <f t="shared" si="112"/>
        <v>267.15200000000004</v>
      </c>
      <c r="R391" s="10">
        <f t="shared" si="113"/>
        <v>3454.9959999999996</v>
      </c>
      <c r="S391" s="10">
        <f t="shared" si="114"/>
        <v>113.28</v>
      </c>
      <c r="T391" s="9" t="s">
        <v>91</v>
      </c>
      <c r="U391" s="10">
        <v>5699</v>
      </c>
      <c r="V391" s="10">
        <f t="shared" si="115"/>
        <v>3989.2999999999997</v>
      </c>
      <c r="W391" s="166">
        <v>999299</v>
      </c>
      <c r="X391" s="12" t="s">
        <v>27</v>
      </c>
      <c r="Y391" s="12">
        <f t="shared" si="116"/>
        <v>113.28</v>
      </c>
      <c r="Z391" s="13">
        <f t="shared" si="117"/>
        <v>113.28</v>
      </c>
      <c r="AA391" s="13">
        <f t="shared" si="118"/>
        <v>96</v>
      </c>
      <c r="AB391" s="13">
        <f t="shared" si="119"/>
        <v>96</v>
      </c>
      <c r="AC391" s="13">
        <f t="shared" si="120"/>
        <v>0</v>
      </c>
      <c r="AD391" s="14">
        <f t="shared" si="121"/>
        <v>0</v>
      </c>
      <c r="AE391" s="14">
        <f t="shared" si="122"/>
        <v>0</v>
      </c>
      <c r="AF391" s="13" t="str">
        <f>IF(AD391&gt;=Assumptions!$B$3,"OK","Review")</f>
        <v>Review</v>
      </c>
      <c r="AG391" s="13">
        <f>IFERROR(IF(Assumptions!$B$13="Cost Price",AB391,AA391)*SUMIF(Assumptions!$A$6:$A$10,X391,Assumptions!$B$6:$B$10),0)</f>
        <v>7.68</v>
      </c>
      <c r="AH391" s="13">
        <f>IFERROR(IF(Assumptions!$B$13="Cost Price",AB391,AA391)*SUMIF(Assumptions!$A$6:$A$10,X391,Assumptions!$C$6:$C$10),0)</f>
        <v>4.8000000000000007</v>
      </c>
      <c r="AI391" s="13">
        <f>IFERROR(IF(Assumptions!$B$13="Cost Price",AB391,AA391)*SUMIF(Assumptions!$A$6:$A$10,X391,Assumptions!$D$6:$D$10),0)</f>
        <v>9.6000000000000014</v>
      </c>
      <c r="AJ391" s="13">
        <v>9.6000000000000014</v>
      </c>
      <c r="AK391" s="13">
        <f t="shared" si="123"/>
        <v>31.680000000000003</v>
      </c>
      <c r="AL391" s="14">
        <v>0.33</v>
      </c>
      <c r="AM391" s="13">
        <f t="shared" si="124"/>
        <v>-31.680000000000003</v>
      </c>
      <c r="AN391" s="14">
        <f t="shared" si="125"/>
        <v>-0.33</v>
      </c>
      <c r="AO391" t="str">
        <f>IF(AN391&gt;=Assumptions!$B$3,"OK","Review")</f>
        <v>Review</v>
      </c>
    </row>
    <row r="392" spans="1:41" ht="15" customHeight="1">
      <c r="A392" s="9" t="s">
        <v>256</v>
      </c>
      <c r="B392" s="9" t="s">
        <v>43</v>
      </c>
      <c r="C392" s="9" t="s">
        <v>198</v>
      </c>
      <c r="D392" s="9" t="s">
        <v>199</v>
      </c>
      <c r="E392" s="9" t="s">
        <v>73</v>
      </c>
      <c r="F392" s="9" t="s">
        <v>74</v>
      </c>
      <c r="G392" s="9" t="s">
        <v>24</v>
      </c>
      <c r="H392" s="9" t="s">
        <v>75</v>
      </c>
      <c r="I392" s="9">
        <v>4000011865</v>
      </c>
      <c r="J392" s="10">
        <v>22.9</v>
      </c>
      <c r="K392" s="10"/>
      <c r="L392" s="10">
        <f t="shared" si="108"/>
        <v>22.9</v>
      </c>
      <c r="M392" s="11">
        <v>0</v>
      </c>
      <c r="N392" s="10">
        <f t="shared" si="109"/>
        <v>0</v>
      </c>
      <c r="O392" s="10">
        <f t="shared" si="110"/>
        <v>22.9</v>
      </c>
      <c r="P392" s="11">
        <f t="shared" si="111"/>
        <v>8.4405292838450469E-2</v>
      </c>
      <c r="Q392" s="10">
        <f t="shared" si="112"/>
        <v>271.31</v>
      </c>
      <c r="R392" s="10">
        <f t="shared" si="113"/>
        <v>2041.5039999999997</v>
      </c>
      <c r="S392" s="10">
        <f t="shared" si="114"/>
        <v>172.31374295086795</v>
      </c>
      <c r="T392" s="9" t="s">
        <v>76</v>
      </c>
      <c r="U392" s="10">
        <v>3999</v>
      </c>
      <c r="V392" s="10">
        <f t="shared" si="115"/>
        <v>2799.2999999999997</v>
      </c>
      <c r="W392" s="166">
        <v>490110</v>
      </c>
      <c r="X392" s="12" t="s">
        <v>27</v>
      </c>
      <c r="Y392" s="12">
        <f t="shared" si="116"/>
        <v>172.31374295086795</v>
      </c>
      <c r="Z392" s="13">
        <f t="shared" si="117"/>
        <v>172.31374295086795</v>
      </c>
      <c r="AA392" s="13">
        <f t="shared" si="118"/>
        <v>172.31374295086795</v>
      </c>
      <c r="AB392" s="13">
        <f t="shared" si="119"/>
        <v>22.9</v>
      </c>
      <c r="AC392" s="13">
        <f t="shared" si="120"/>
        <v>149.41374295086794</v>
      </c>
      <c r="AD392" s="14">
        <f t="shared" si="121"/>
        <v>0.86710288101321376</v>
      </c>
      <c r="AE392" s="14">
        <f t="shared" si="122"/>
        <v>6.5246175961077704</v>
      </c>
      <c r="AF392" s="13" t="str">
        <f>IF(AD392&gt;=Assumptions!$B$3,"OK","Review")</f>
        <v>OK</v>
      </c>
      <c r="AG392" s="13">
        <f>IFERROR(IF(Assumptions!$B$13="Cost Price",AB392,AA392)*SUMIF(Assumptions!$A$6:$A$10,X392,Assumptions!$B$6:$B$10),0)</f>
        <v>13.785099436069435</v>
      </c>
      <c r="AH392" s="13">
        <f>IFERROR(IF(Assumptions!$B$13="Cost Price",AB392,AA392)*SUMIF(Assumptions!$A$6:$A$10,X392,Assumptions!$C$6:$C$10),0)</f>
        <v>8.6156871475433974</v>
      </c>
      <c r="AI392" s="13">
        <f>IFERROR(IF(Assumptions!$B$13="Cost Price",AB392,AA392)*SUMIF(Assumptions!$A$6:$A$10,X392,Assumptions!$D$6:$D$10),0)</f>
        <v>17.231374295086795</v>
      </c>
      <c r="AJ392" s="13">
        <v>27.357477276915702</v>
      </c>
      <c r="AK392" s="13">
        <f t="shared" si="123"/>
        <v>66.989638155615324</v>
      </c>
      <c r="AL392" s="14">
        <v>0.33</v>
      </c>
      <c r="AM392" s="13">
        <f t="shared" si="124"/>
        <v>82.424104795252617</v>
      </c>
      <c r="AN392" s="14">
        <f t="shared" si="125"/>
        <v>0.47833738263554704</v>
      </c>
      <c r="AO392" t="str">
        <f>IF(AN392&gt;=Assumptions!$B$3,"OK","Review")</f>
        <v>OK</v>
      </c>
    </row>
    <row r="393" spans="1:41" ht="15" customHeight="1">
      <c r="A393" s="9" t="s">
        <v>256</v>
      </c>
      <c r="B393" s="9" t="s">
        <v>43</v>
      </c>
      <c r="C393" s="9" t="s">
        <v>200</v>
      </c>
      <c r="D393" s="9" t="s">
        <v>201</v>
      </c>
      <c r="E393" s="9" t="s">
        <v>73</v>
      </c>
      <c r="F393" s="9" t="s">
        <v>74</v>
      </c>
      <c r="G393" s="9" t="s">
        <v>24</v>
      </c>
      <c r="H393" s="9" t="s">
        <v>75</v>
      </c>
      <c r="I393" s="9">
        <v>4000011866</v>
      </c>
      <c r="J393" s="10">
        <v>12.46</v>
      </c>
      <c r="K393" s="10"/>
      <c r="L393" s="10">
        <f t="shared" si="108"/>
        <v>12.46</v>
      </c>
      <c r="M393" s="11">
        <v>0</v>
      </c>
      <c r="N393" s="10">
        <f t="shared" si="109"/>
        <v>0</v>
      </c>
      <c r="O393" s="10">
        <f t="shared" si="110"/>
        <v>12.46</v>
      </c>
      <c r="P393" s="11">
        <f t="shared" si="111"/>
        <v>4.5925325273672185E-2</v>
      </c>
      <c r="Q393" s="10">
        <f t="shared" si="112"/>
        <v>271.31</v>
      </c>
      <c r="R393" s="10">
        <f t="shared" si="113"/>
        <v>2041.5039999999997</v>
      </c>
      <c r="S393" s="10">
        <f t="shared" si="114"/>
        <v>93.756735247502846</v>
      </c>
      <c r="T393" s="9" t="s">
        <v>76</v>
      </c>
      <c r="U393" s="10">
        <v>3999</v>
      </c>
      <c r="V393" s="10">
        <f t="shared" si="115"/>
        <v>2799.2999999999997</v>
      </c>
      <c r="W393" s="166">
        <v>490110</v>
      </c>
      <c r="X393" s="12" t="s">
        <v>27</v>
      </c>
      <c r="Y393" s="12">
        <f t="shared" si="116"/>
        <v>93.756735247502846</v>
      </c>
      <c r="Z393" s="13">
        <f t="shared" si="117"/>
        <v>93.756735247502846</v>
      </c>
      <c r="AA393" s="13">
        <f t="shared" si="118"/>
        <v>93.756735247502846</v>
      </c>
      <c r="AB393" s="13">
        <f t="shared" si="119"/>
        <v>12.46</v>
      </c>
      <c r="AC393" s="13">
        <f t="shared" si="120"/>
        <v>81.296735247502852</v>
      </c>
      <c r="AD393" s="14">
        <f t="shared" si="121"/>
        <v>0.86710288101321387</v>
      </c>
      <c r="AE393" s="14">
        <f t="shared" si="122"/>
        <v>6.5246175961077721</v>
      </c>
      <c r="AF393" s="13" t="str">
        <f>IF(AD393&gt;=Assumptions!$B$3,"OK","Review")</f>
        <v>OK</v>
      </c>
      <c r="AG393" s="13">
        <f>IFERROR(IF(Assumptions!$B$13="Cost Price",AB393,AA393)*SUMIF(Assumptions!$A$6:$A$10,X393,Assumptions!$B$6:$B$10),0)</f>
        <v>7.5005388198002274</v>
      </c>
      <c r="AH393" s="13">
        <f>IFERROR(IF(Assumptions!$B$13="Cost Price",AB393,AA393)*SUMIF(Assumptions!$A$6:$A$10,X393,Assumptions!$C$6:$C$10),0)</f>
        <v>4.6878367623751425</v>
      </c>
      <c r="AI393" s="13">
        <f>IFERROR(IF(Assumptions!$B$13="Cost Price",AB393,AA393)*SUMIF(Assumptions!$A$6:$A$10,X393,Assumptions!$D$6:$D$10),0)</f>
        <v>9.3756735247502849</v>
      </c>
      <c r="AJ393" s="13">
        <v>14.885334797832739</v>
      </c>
      <c r="AK393" s="13">
        <f t="shared" si="123"/>
        <v>36.449383904758392</v>
      </c>
      <c r="AL393" s="14">
        <v>0.33</v>
      </c>
      <c r="AM393" s="13">
        <f t="shared" si="124"/>
        <v>44.84735134274446</v>
      </c>
      <c r="AN393" s="14">
        <f t="shared" si="125"/>
        <v>0.47833738263554715</v>
      </c>
      <c r="AO393" t="str">
        <f>IF(AN393&gt;=Assumptions!$B$3,"OK","Review")</f>
        <v>OK</v>
      </c>
    </row>
    <row r="394" spans="1:41" ht="15" customHeight="1">
      <c r="A394" s="9" t="s">
        <v>256</v>
      </c>
      <c r="B394" s="9" t="s">
        <v>43</v>
      </c>
      <c r="C394" s="9" t="s">
        <v>202</v>
      </c>
      <c r="D394" s="9" t="s">
        <v>203</v>
      </c>
      <c r="E394" s="9" t="s">
        <v>73</v>
      </c>
      <c r="F394" s="9" t="s">
        <v>81</v>
      </c>
      <c r="G394" s="9" t="s">
        <v>24</v>
      </c>
      <c r="H394" s="9" t="s">
        <v>75</v>
      </c>
      <c r="I394" s="9">
        <v>4000011867</v>
      </c>
      <c r="J394" s="10">
        <v>42.11</v>
      </c>
      <c r="K394" s="10"/>
      <c r="L394" s="10">
        <f t="shared" si="108"/>
        <v>42.11</v>
      </c>
      <c r="M394" s="11">
        <v>0</v>
      </c>
      <c r="N394" s="10">
        <f t="shared" si="109"/>
        <v>0</v>
      </c>
      <c r="O394" s="10">
        <f t="shared" si="110"/>
        <v>42.11</v>
      </c>
      <c r="P394" s="11">
        <f t="shared" si="111"/>
        <v>0.15520990748590174</v>
      </c>
      <c r="Q394" s="10">
        <f t="shared" si="112"/>
        <v>271.31</v>
      </c>
      <c r="R394" s="10">
        <f t="shared" si="113"/>
        <v>2041.5039999999997</v>
      </c>
      <c r="S394" s="10">
        <f t="shared" si="114"/>
        <v>316.8616469720983</v>
      </c>
      <c r="T394" s="9" t="s">
        <v>76</v>
      </c>
      <c r="U394" s="10">
        <v>3999</v>
      </c>
      <c r="V394" s="10">
        <f t="shared" si="115"/>
        <v>2799.2999999999997</v>
      </c>
      <c r="W394" s="166">
        <v>490110</v>
      </c>
      <c r="X394" s="12" t="s">
        <v>27</v>
      </c>
      <c r="Y394" s="12">
        <f t="shared" si="116"/>
        <v>316.8616469720983</v>
      </c>
      <c r="Z394" s="13">
        <f t="shared" si="117"/>
        <v>316.8616469720983</v>
      </c>
      <c r="AA394" s="13">
        <f t="shared" si="118"/>
        <v>316.8616469720983</v>
      </c>
      <c r="AB394" s="13">
        <f t="shared" si="119"/>
        <v>42.11</v>
      </c>
      <c r="AC394" s="13">
        <f t="shared" si="120"/>
        <v>274.75164697209829</v>
      </c>
      <c r="AD394" s="14">
        <f t="shared" si="121"/>
        <v>0.86710288101321376</v>
      </c>
      <c r="AE394" s="14">
        <f t="shared" si="122"/>
        <v>6.5246175961077721</v>
      </c>
      <c r="AF394" s="13" t="str">
        <f>IF(AD394&gt;=Assumptions!$B$3,"OK","Review")</f>
        <v>OK</v>
      </c>
      <c r="AG394" s="13">
        <f>IFERROR(IF(Assumptions!$B$13="Cost Price",AB394,AA394)*SUMIF(Assumptions!$A$6:$A$10,X394,Assumptions!$B$6:$B$10),0)</f>
        <v>25.348931757767865</v>
      </c>
      <c r="AH394" s="13">
        <f>IFERROR(IF(Assumptions!$B$13="Cost Price",AB394,AA394)*SUMIF(Assumptions!$A$6:$A$10,X394,Assumptions!$C$6:$C$10),0)</f>
        <v>15.843082348604916</v>
      </c>
      <c r="AI394" s="13">
        <f>IFERROR(IF(Assumptions!$B$13="Cost Price",AB394,AA394)*SUMIF(Assumptions!$A$6:$A$10,X394,Assumptions!$D$6:$D$10),0)</f>
        <v>31.686164697209833</v>
      </c>
      <c r="AJ394" s="13">
        <v>50.306697298293471</v>
      </c>
      <c r="AK394" s="13">
        <f t="shared" si="123"/>
        <v>123.18487610187609</v>
      </c>
      <c r="AL394" s="14">
        <v>0.33</v>
      </c>
      <c r="AM394" s="13">
        <f t="shared" si="124"/>
        <v>151.5667708702222</v>
      </c>
      <c r="AN394" s="14">
        <f t="shared" si="125"/>
        <v>0.47833738263554704</v>
      </c>
      <c r="AO394" t="str">
        <f>IF(AN394&gt;=Assumptions!$B$3,"OK","Review")</f>
        <v>OK</v>
      </c>
    </row>
    <row r="395" spans="1:41" ht="15" customHeight="1">
      <c r="A395" s="9" t="s">
        <v>256</v>
      </c>
      <c r="B395" s="9" t="s">
        <v>43</v>
      </c>
      <c r="C395" s="9" t="s">
        <v>202</v>
      </c>
      <c r="D395" s="9" t="s">
        <v>204</v>
      </c>
      <c r="E395" s="9" t="s">
        <v>73</v>
      </c>
      <c r="F395" s="9" t="s">
        <v>74</v>
      </c>
      <c r="G395" s="9" t="s">
        <v>24</v>
      </c>
      <c r="H395" s="9" t="s">
        <v>75</v>
      </c>
      <c r="I395" s="9">
        <v>4000011868</v>
      </c>
      <c r="J395" s="10">
        <v>16.7</v>
      </c>
      <c r="K395" s="10"/>
      <c r="L395" s="10">
        <f t="shared" si="108"/>
        <v>16.7</v>
      </c>
      <c r="M395" s="11">
        <v>0</v>
      </c>
      <c r="N395" s="10">
        <f t="shared" si="109"/>
        <v>0</v>
      </c>
      <c r="O395" s="10">
        <f t="shared" si="110"/>
        <v>16.7</v>
      </c>
      <c r="P395" s="11">
        <f t="shared" si="111"/>
        <v>6.1553204821053406E-2</v>
      </c>
      <c r="Q395" s="10">
        <f t="shared" si="112"/>
        <v>271.31</v>
      </c>
      <c r="R395" s="10">
        <f t="shared" si="113"/>
        <v>2041.5039999999997</v>
      </c>
      <c r="S395" s="10">
        <f t="shared" si="114"/>
        <v>125.6611138549998</v>
      </c>
      <c r="T395" s="9" t="s">
        <v>76</v>
      </c>
      <c r="U395" s="10">
        <v>3999</v>
      </c>
      <c r="V395" s="10">
        <f t="shared" si="115"/>
        <v>2799.2999999999997</v>
      </c>
      <c r="W395" s="166">
        <v>490110</v>
      </c>
      <c r="X395" s="12" t="s">
        <v>27</v>
      </c>
      <c r="Y395" s="12">
        <f t="shared" si="116"/>
        <v>125.6611138549998</v>
      </c>
      <c r="Z395" s="13">
        <f t="shared" si="117"/>
        <v>125.6611138549998</v>
      </c>
      <c r="AA395" s="13">
        <f t="shared" si="118"/>
        <v>125.6611138549998</v>
      </c>
      <c r="AB395" s="13">
        <f t="shared" si="119"/>
        <v>16.7</v>
      </c>
      <c r="AC395" s="13">
        <f t="shared" si="120"/>
        <v>108.96111385499979</v>
      </c>
      <c r="AD395" s="14">
        <f t="shared" si="121"/>
        <v>0.86710288101321376</v>
      </c>
      <c r="AE395" s="14">
        <f t="shared" si="122"/>
        <v>6.5246175961077721</v>
      </c>
      <c r="AF395" s="13" t="str">
        <f>IF(AD395&gt;=Assumptions!$B$3,"OK","Review")</f>
        <v>OK</v>
      </c>
      <c r="AG395" s="13">
        <f>IFERROR(IF(Assumptions!$B$13="Cost Price",AB395,AA395)*SUMIF(Assumptions!$A$6:$A$10,X395,Assumptions!$B$6:$B$10),0)</f>
        <v>10.052889108399985</v>
      </c>
      <c r="AH395" s="13">
        <f>IFERROR(IF(Assumptions!$B$13="Cost Price",AB395,AA395)*SUMIF(Assumptions!$A$6:$A$10,X395,Assumptions!$C$6:$C$10),0)</f>
        <v>6.2830556927499899</v>
      </c>
      <c r="AI395" s="13">
        <f>IFERROR(IF(Assumptions!$B$13="Cost Price",AB395,AA395)*SUMIF(Assumptions!$A$6:$A$10,X395,Assumptions!$D$6:$D$10),0)</f>
        <v>12.56611138549998</v>
      </c>
      <c r="AJ395" s="13">
        <v>19.950649367881759</v>
      </c>
      <c r="AK395" s="13">
        <f t="shared" si="123"/>
        <v>48.85270555453171</v>
      </c>
      <c r="AL395" s="14">
        <v>0.33</v>
      </c>
      <c r="AM395" s="13">
        <f t="shared" si="124"/>
        <v>60.108408300468085</v>
      </c>
      <c r="AN395" s="14">
        <f t="shared" si="125"/>
        <v>0.47833738263554709</v>
      </c>
      <c r="AO395" t="str">
        <f>IF(AN395&gt;=Assumptions!$B$3,"OK","Review")</f>
        <v>OK</v>
      </c>
    </row>
    <row r="396" spans="1:41" ht="15" customHeight="1">
      <c r="A396" s="9" t="s">
        <v>256</v>
      </c>
      <c r="B396" s="9" t="s">
        <v>43</v>
      </c>
      <c r="C396" s="9" t="s">
        <v>205</v>
      </c>
      <c r="D396" s="9" t="s">
        <v>206</v>
      </c>
      <c r="E396" s="9" t="s">
        <v>73</v>
      </c>
      <c r="F396" s="9" t="s">
        <v>74</v>
      </c>
      <c r="G396" s="9" t="s">
        <v>24</v>
      </c>
      <c r="H396" s="9" t="s">
        <v>75</v>
      </c>
      <c r="I396" s="9">
        <v>4000011869</v>
      </c>
      <c r="J396" s="10">
        <v>37.69</v>
      </c>
      <c r="K396" s="10"/>
      <c r="L396" s="10">
        <f t="shared" si="108"/>
        <v>37.69</v>
      </c>
      <c r="M396" s="11">
        <v>0</v>
      </c>
      <c r="N396" s="10">
        <f t="shared" si="109"/>
        <v>0</v>
      </c>
      <c r="O396" s="10">
        <f t="shared" si="110"/>
        <v>37.69</v>
      </c>
      <c r="P396" s="11">
        <f t="shared" si="111"/>
        <v>0.13891858022188638</v>
      </c>
      <c r="Q396" s="10">
        <f t="shared" si="112"/>
        <v>271.31</v>
      </c>
      <c r="R396" s="10">
        <f t="shared" si="113"/>
        <v>2041.5039999999997</v>
      </c>
      <c r="S396" s="10">
        <f t="shared" si="114"/>
        <v>283.60283719730188</v>
      </c>
      <c r="T396" s="9" t="s">
        <v>76</v>
      </c>
      <c r="U396" s="10">
        <v>3999</v>
      </c>
      <c r="V396" s="10">
        <f t="shared" si="115"/>
        <v>2799.2999999999997</v>
      </c>
      <c r="W396" s="166">
        <v>490110</v>
      </c>
      <c r="X396" s="12" t="s">
        <v>27</v>
      </c>
      <c r="Y396" s="12">
        <f t="shared" si="116"/>
        <v>283.60283719730188</v>
      </c>
      <c r="Z396" s="13">
        <f t="shared" si="117"/>
        <v>283.60283719730188</v>
      </c>
      <c r="AA396" s="13">
        <f t="shared" si="118"/>
        <v>283.60283719730188</v>
      </c>
      <c r="AB396" s="13">
        <f t="shared" si="119"/>
        <v>37.69</v>
      </c>
      <c r="AC396" s="13">
        <f t="shared" si="120"/>
        <v>245.91283719730188</v>
      </c>
      <c r="AD396" s="14">
        <f t="shared" si="121"/>
        <v>0.86710288101321376</v>
      </c>
      <c r="AE396" s="14">
        <f t="shared" si="122"/>
        <v>6.5246175961077713</v>
      </c>
      <c r="AF396" s="13" t="str">
        <f>IF(AD396&gt;=Assumptions!$B$3,"OK","Review")</f>
        <v>OK</v>
      </c>
      <c r="AG396" s="13">
        <f>IFERROR(IF(Assumptions!$B$13="Cost Price",AB396,AA396)*SUMIF(Assumptions!$A$6:$A$10,X396,Assumptions!$B$6:$B$10),0)</f>
        <v>22.688226975784151</v>
      </c>
      <c r="AH396" s="13">
        <f>IFERROR(IF(Assumptions!$B$13="Cost Price",AB396,AA396)*SUMIF(Assumptions!$A$6:$A$10,X396,Assumptions!$C$6:$C$10),0)</f>
        <v>14.180141859865095</v>
      </c>
      <c r="AI396" s="13">
        <f>IFERROR(IF(Assumptions!$B$13="Cost Price",AB396,AA396)*SUMIF(Assumptions!$A$6:$A$10,X396,Assumptions!$D$6:$D$10),0)</f>
        <v>28.360283719730191</v>
      </c>
      <c r="AJ396" s="13">
        <v>45.026345788949904</v>
      </c>
      <c r="AK396" s="13">
        <f t="shared" si="123"/>
        <v>110.25499834432935</v>
      </c>
      <c r="AL396" s="14">
        <v>0.33</v>
      </c>
      <c r="AM396" s="13">
        <f t="shared" si="124"/>
        <v>135.65783885297253</v>
      </c>
      <c r="AN396" s="14">
        <f t="shared" si="125"/>
        <v>0.47833738263554698</v>
      </c>
      <c r="AO396" t="str">
        <f>IF(AN396&gt;=Assumptions!$B$3,"OK","Review")</f>
        <v>OK</v>
      </c>
    </row>
    <row r="397" spans="1:41" ht="15" customHeight="1">
      <c r="A397" s="9" t="s">
        <v>256</v>
      </c>
      <c r="B397" s="9" t="s">
        <v>43</v>
      </c>
      <c r="C397" s="9" t="s">
        <v>205</v>
      </c>
      <c r="D397" s="9" t="s">
        <v>207</v>
      </c>
      <c r="E397" s="9" t="s">
        <v>73</v>
      </c>
      <c r="F397" s="9" t="s">
        <v>81</v>
      </c>
      <c r="G397" s="9" t="s">
        <v>24</v>
      </c>
      <c r="H397" s="9" t="s">
        <v>75</v>
      </c>
      <c r="I397" s="9">
        <v>4000011870</v>
      </c>
      <c r="J397" s="10">
        <v>18.13</v>
      </c>
      <c r="K397" s="10"/>
      <c r="L397" s="10">
        <f t="shared" si="108"/>
        <v>18.13</v>
      </c>
      <c r="M397" s="11">
        <v>0</v>
      </c>
      <c r="N397" s="10">
        <f t="shared" si="109"/>
        <v>0</v>
      </c>
      <c r="O397" s="10">
        <f t="shared" si="110"/>
        <v>18.13</v>
      </c>
      <c r="P397" s="11">
        <f t="shared" si="111"/>
        <v>6.6823928347646597E-2</v>
      </c>
      <c r="Q397" s="10">
        <f t="shared" si="112"/>
        <v>271.31</v>
      </c>
      <c r="R397" s="10">
        <f t="shared" si="113"/>
        <v>2041.5039999999997</v>
      </c>
      <c r="S397" s="10">
        <f t="shared" si="114"/>
        <v>136.42131701743389</v>
      </c>
      <c r="T397" s="9" t="s">
        <v>76</v>
      </c>
      <c r="U397" s="10">
        <v>3999</v>
      </c>
      <c r="V397" s="10">
        <f t="shared" si="115"/>
        <v>2799.2999999999997</v>
      </c>
      <c r="W397" s="166">
        <v>490110</v>
      </c>
      <c r="X397" s="12" t="s">
        <v>27</v>
      </c>
      <c r="Y397" s="12">
        <f t="shared" si="116"/>
        <v>136.42131701743389</v>
      </c>
      <c r="Z397" s="13">
        <f t="shared" si="117"/>
        <v>136.42131701743389</v>
      </c>
      <c r="AA397" s="13">
        <f t="shared" si="118"/>
        <v>136.42131701743389</v>
      </c>
      <c r="AB397" s="13">
        <f t="shared" si="119"/>
        <v>18.13</v>
      </c>
      <c r="AC397" s="13">
        <f t="shared" si="120"/>
        <v>118.2913170174339</v>
      </c>
      <c r="AD397" s="14">
        <f t="shared" si="121"/>
        <v>0.86710288101321376</v>
      </c>
      <c r="AE397" s="14">
        <f t="shared" si="122"/>
        <v>6.5246175961077721</v>
      </c>
      <c r="AF397" s="13" t="str">
        <f>IF(AD397&gt;=Assumptions!$B$3,"OK","Review")</f>
        <v>OK</v>
      </c>
      <c r="AG397" s="13">
        <f>IFERROR(IF(Assumptions!$B$13="Cost Price",AB397,AA397)*SUMIF(Assumptions!$A$6:$A$10,X397,Assumptions!$B$6:$B$10),0)</f>
        <v>10.913705361394712</v>
      </c>
      <c r="AH397" s="13">
        <f>IFERROR(IF(Assumptions!$B$13="Cost Price",AB397,AA397)*SUMIF(Assumptions!$A$6:$A$10,X397,Assumptions!$C$6:$C$10),0)</f>
        <v>6.8210658508716948</v>
      </c>
      <c r="AI397" s="13">
        <f>IFERROR(IF(Assumptions!$B$13="Cost Price",AB397,AA397)*SUMIF(Assumptions!$A$6:$A$10,X397,Assumptions!$D$6:$D$10),0)</f>
        <v>13.64213170174339</v>
      </c>
      <c r="AJ397" s="13">
        <v>21.658998385610555</v>
      </c>
      <c r="AK397" s="13">
        <f t="shared" si="123"/>
        <v>53.035901299620349</v>
      </c>
      <c r="AL397" s="14">
        <v>0.33</v>
      </c>
      <c r="AM397" s="13">
        <f t="shared" si="124"/>
        <v>65.255415717813548</v>
      </c>
      <c r="AN397" s="14">
        <f t="shared" si="125"/>
        <v>0.47833738263554709</v>
      </c>
      <c r="AO397" t="str">
        <f>IF(AN397&gt;=Assumptions!$B$3,"OK","Review")</f>
        <v>OK</v>
      </c>
    </row>
    <row r="398" spans="1:41" ht="15" customHeight="1">
      <c r="A398" s="9" t="s">
        <v>256</v>
      </c>
      <c r="B398" s="9" t="s">
        <v>43</v>
      </c>
      <c r="C398" s="9" t="s">
        <v>202</v>
      </c>
      <c r="D398" s="9" t="s">
        <v>208</v>
      </c>
      <c r="E398" s="9" t="s">
        <v>73</v>
      </c>
      <c r="F398" s="9" t="s">
        <v>74</v>
      </c>
      <c r="G398" s="9" t="s">
        <v>24</v>
      </c>
      <c r="H398" s="9" t="s">
        <v>84</v>
      </c>
      <c r="I398" s="9">
        <v>4000011871</v>
      </c>
      <c r="J398" s="10">
        <v>42.11</v>
      </c>
      <c r="K398" s="10"/>
      <c r="L398" s="10">
        <f t="shared" si="108"/>
        <v>42.11</v>
      </c>
      <c r="M398" s="11">
        <v>0</v>
      </c>
      <c r="N398" s="10">
        <f t="shared" si="109"/>
        <v>0</v>
      </c>
      <c r="O398" s="10">
        <f t="shared" si="110"/>
        <v>42.11</v>
      </c>
      <c r="P398" s="11">
        <f t="shared" si="111"/>
        <v>0.15520990748590174</v>
      </c>
      <c r="Q398" s="10">
        <f t="shared" si="112"/>
        <v>271.31</v>
      </c>
      <c r="R398" s="10">
        <f t="shared" si="113"/>
        <v>2041.5039999999997</v>
      </c>
      <c r="S398" s="10">
        <f t="shared" si="114"/>
        <v>316.8616469720983</v>
      </c>
      <c r="T398" s="9" t="s">
        <v>76</v>
      </c>
      <c r="U398" s="10">
        <v>3999</v>
      </c>
      <c r="V398" s="10">
        <f t="shared" si="115"/>
        <v>2799.2999999999997</v>
      </c>
      <c r="W398" s="166">
        <v>490110</v>
      </c>
      <c r="X398" s="12" t="s">
        <v>27</v>
      </c>
      <c r="Y398" s="12">
        <f t="shared" si="116"/>
        <v>316.8616469720983</v>
      </c>
      <c r="Z398" s="13">
        <f t="shared" si="117"/>
        <v>316.8616469720983</v>
      </c>
      <c r="AA398" s="13">
        <f t="shared" si="118"/>
        <v>316.8616469720983</v>
      </c>
      <c r="AB398" s="13">
        <f t="shared" si="119"/>
        <v>42.11</v>
      </c>
      <c r="AC398" s="13">
        <f t="shared" si="120"/>
        <v>274.75164697209829</v>
      </c>
      <c r="AD398" s="14">
        <f t="shared" si="121"/>
        <v>0.86710288101321376</v>
      </c>
      <c r="AE398" s="14">
        <f t="shared" si="122"/>
        <v>6.5246175961077721</v>
      </c>
      <c r="AF398" s="13" t="str">
        <f>IF(AD398&gt;=Assumptions!$B$3,"OK","Review")</f>
        <v>OK</v>
      </c>
      <c r="AG398" s="13">
        <f>IFERROR(IF(Assumptions!$B$13="Cost Price",AB398,AA398)*SUMIF(Assumptions!$A$6:$A$10,X398,Assumptions!$B$6:$B$10),0)</f>
        <v>25.348931757767865</v>
      </c>
      <c r="AH398" s="13">
        <f>IFERROR(IF(Assumptions!$B$13="Cost Price",AB398,AA398)*SUMIF(Assumptions!$A$6:$A$10,X398,Assumptions!$C$6:$C$10),0)</f>
        <v>15.843082348604916</v>
      </c>
      <c r="AI398" s="13">
        <f>IFERROR(IF(Assumptions!$B$13="Cost Price",AB398,AA398)*SUMIF(Assumptions!$A$6:$A$10,X398,Assumptions!$D$6:$D$10),0)</f>
        <v>31.686164697209833</v>
      </c>
      <c r="AJ398" s="13">
        <v>50.306697298293471</v>
      </c>
      <c r="AK398" s="13">
        <f t="shared" si="123"/>
        <v>123.18487610187609</v>
      </c>
      <c r="AL398" s="14">
        <v>0.33</v>
      </c>
      <c r="AM398" s="13">
        <f t="shared" si="124"/>
        <v>151.5667708702222</v>
      </c>
      <c r="AN398" s="14">
        <f t="shared" si="125"/>
        <v>0.47833738263554704</v>
      </c>
      <c r="AO398" t="str">
        <f>IF(AN398&gt;=Assumptions!$B$3,"OK","Review")</f>
        <v>OK</v>
      </c>
    </row>
    <row r="399" spans="1:41" ht="15" customHeight="1">
      <c r="A399" s="9" t="s">
        <v>256</v>
      </c>
      <c r="B399" s="9" t="s">
        <v>43</v>
      </c>
      <c r="C399" s="9" t="s">
        <v>202</v>
      </c>
      <c r="D399" s="9" t="s">
        <v>209</v>
      </c>
      <c r="E399" s="9" t="s">
        <v>73</v>
      </c>
      <c r="F399" s="9" t="s">
        <v>74</v>
      </c>
      <c r="G399" s="9" t="s">
        <v>24</v>
      </c>
      <c r="H399" s="9" t="s">
        <v>84</v>
      </c>
      <c r="I399" s="9">
        <v>4000011873</v>
      </c>
      <c r="J399" s="10">
        <v>18.13</v>
      </c>
      <c r="K399" s="10"/>
      <c r="L399" s="10">
        <f t="shared" si="108"/>
        <v>18.13</v>
      </c>
      <c r="M399" s="11">
        <v>0</v>
      </c>
      <c r="N399" s="10">
        <f t="shared" si="109"/>
        <v>0</v>
      </c>
      <c r="O399" s="10">
        <f t="shared" si="110"/>
        <v>18.13</v>
      </c>
      <c r="P399" s="11">
        <f t="shared" si="111"/>
        <v>6.6823928347646597E-2</v>
      </c>
      <c r="Q399" s="10">
        <f t="shared" si="112"/>
        <v>271.31</v>
      </c>
      <c r="R399" s="10">
        <f t="shared" si="113"/>
        <v>2041.5039999999997</v>
      </c>
      <c r="S399" s="10">
        <f t="shared" si="114"/>
        <v>136.42131701743389</v>
      </c>
      <c r="T399" s="9" t="s">
        <v>76</v>
      </c>
      <c r="U399" s="10">
        <v>3999</v>
      </c>
      <c r="V399" s="10">
        <f t="shared" si="115"/>
        <v>2799.2999999999997</v>
      </c>
      <c r="W399" s="166">
        <v>490110</v>
      </c>
      <c r="X399" s="12" t="s">
        <v>27</v>
      </c>
      <c r="Y399" s="12">
        <f t="shared" si="116"/>
        <v>136.42131701743389</v>
      </c>
      <c r="Z399" s="13">
        <f t="shared" si="117"/>
        <v>136.42131701743389</v>
      </c>
      <c r="AA399" s="13">
        <f t="shared" si="118"/>
        <v>136.42131701743389</v>
      </c>
      <c r="AB399" s="13">
        <f t="shared" si="119"/>
        <v>18.13</v>
      </c>
      <c r="AC399" s="13">
        <f t="shared" si="120"/>
        <v>118.2913170174339</v>
      </c>
      <c r="AD399" s="14">
        <f t="shared" si="121"/>
        <v>0.86710288101321376</v>
      </c>
      <c r="AE399" s="14">
        <f t="shared" si="122"/>
        <v>6.5246175961077721</v>
      </c>
      <c r="AF399" s="13" t="str">
        <f>IF(AD399&gt;=Assumptions!$B$3,"OK","Review")</f>
        <v>OK</v>
      </c>
      <c r="AG399" s="13">
        <f>IFERROR(IF(Assumptions!$B$13="Cost Price",AB399,AA399)*SUMIF(Assumptions!$A$6:$A$10,X399,Assumptions!$B$6:$B$10),0)</f>
        <v>10.913705361394712</v>
      </c>
      <c r="AH399" s="13">
        <f>IFERROR(IF(Assumptions!$B$13="Cost Price",AB399,AA399)*SUMIF(Assumptions!$A$6:$A$10,X399,Assumptions!$C$6:$C$10),0)</f>
        <v>6.8210658508716948</v>
      </c>
      <c r="AI399" s="13">
        <f>IFERROR(IF(Assumptions!$B$13="Cost Price",AB399,AA399)*SUMIF(Assumptions!$A$6:$A$10,X399,Assumptions!$D$6:$D$10),0)</f>
        <v>13.64213170174339</v>
      </c>
      <c r="AJ399" s="13">
        <v>21.658998385610555</v>
      </c>
      <c r="AK399" s="13">
        <f t="shared" si="123"/>
        <v>53.035901299620349</v>
      </c>
      <c r="AL399" s="14">
        <v>0.33</v>
      </c>
      <c r="AM399" s="13">
        <f t="shared" si="124"/>
        <v>65.255415717813548</v>
      </c>
      <c r="AN399" s="14">
        <f t="shared" si="125"/>
        <v>0.47833738263554709</v>
      </c>
      <c r="AO399" t="str">
        <f>IF(AN399&gt;=Assumptions!$B$3,"OK","Review")</f>
        <v>OK</v>
      </c>
    </row>
    <row r="400" spans="1:41" ht="15" customHeight="1">
      <c r="A400" s="9" t="s">
        <v>256</v>
      </c>
      <c r="B400" s="9" t="s">
        <v>43</v>
      </c>
      <c r="C400" s="9" t="s">
        <v>205</v>
      </c>
      <c r="D400" s="9" t="s">
        <v>210</v>
      </c>
      <c r="E400" s="9" t="s">
        <v>73</v>
      </c>
      <c r="F400" s="9" t="s">
        <v>81</v>
      </c>
      <c r="G400" s="9" t="s">
        <v>24</v>
      </c>
      <c r="H400" s="9" t="s">
        <v>84</v>
      </c>
      <c r="I400" s="9">
        <v>4000011874</v>
      </c>
      <c r="J400" s="10">
        <v>44.38</v>
      </c>
      <c r="K400" s="10"/>
      <c r="L400" s="10">
        <f t="shared" si="108"/>
        <v>44.38</v>
      </c>
      <c r="M400" s="11">
        <v>0</v>
      </c>
      <c r="N400" s="10">
        <f t="shared" si="109"/>
        <v>0</v>
      </c>
      <c r="O400" s="10">
        <f t="shared" si="110"/>
        <v>44.38</v>
      </c>
      <c r="P400" s="11">
        <f t="shared" si="111"/>
        <v>0.16357672035678744</v>
      </c>
      <c r="Q400" s="10">
        <f t="shared" si="112"/>
        <v>271.31</v>
      </c>
      <c r="R400" s="10">
        <f t="shared" si="113"/>
        <v>2041.5039999999997</v>
      </c>
      <c r="S400" s="10">
        <f t="shared" si="114"/>
        <v>333.94252891526293</v>
      </c>
      <c r="T400" s="9" t="s">
        <v>76</v>
      </c>
      <c r="U400" s="10">
        <v>3999</v>
      </c>
      <c r="V400" s="10">
        <f t="shared" si="115"/>
        <v>2799.2999999999997</v>
      </c>
      <c r="W400" s="166">
        <v>490110</v>
      </c>
      <c r="X400" s="12" t="s">
        <v>27</v>
      </c>
      <c r="Y400" s="12">
        <f t="shared" si="116"/>
        <v>333.94252891526293</v>
      </c>
      <c r="Z400" s="13">
        <f t="shared" si="117"/>
        <v>333.94252891526293</v>
      </c>
      <c r="AA400" s="13">
        <f t="shared" si="118"/>
        <v>333.94252891526293</v>
      </c>
      <c r="AB400" s="13">
        <f t="shared" si="119"/>
        <v>44.38</v>
      </c>
      <c r="AC400" s="13">
        <f t="shared" si="120"/>
        <v>289.56252891526293</v>
      </c>
      <c r="AD400" s="14">
        <f t="shared" si="121"/>
        <v>0.86710288101321376</v>
      </c>
      <c r="AE400" s="14">
        <f t="shared" si="122"/>
        <v>6.5246175961077721</v>
      </c>
      <c r="AF400" s="13" t="str">
        <f>IF(AD400&gt;=Assumptions!$B$3,"OK","Review")</f>
        <v>OK</v>
      </c>
      <c r="AG400" s="13">
        <f>IFERROR(IF(Assumptions!$B$13="Cost Price",AB400,AA400)*SUMIF(Assumptions!$A$6:$A$10,X400,Assumptions!$B$6:$B$10),0)</f>
        <v>26.715402313221034</v>
      </c>
      <c r="AH400" s="13">
        <f>IFERROR(IF(Assumptions!$B$13="Cost Price",AB400,AA400)*SUMIF(Assumptions!$A$6:$A$10,X400,Assumptions!$C$6:$C$10),0)</f>
        <v>16.697126445763146</v>
      </c>
      <c r="AI400" s="13">
        <f>IFERROR(IF(Assumptions!$B$13="Cost Price",AB400,AA400)*SUMIF(Assumptions!$A$6:$A$10,X400,Assumptions!$D$6:$D$10),0)</f>
        <v>33.394252891526293</v>
      </c>
      <c r="AJ400" s="13">
        <v>53.018552032730092</v>
      </c>
      <c r="AK400" s="13">
        <f t="shared" si="123"/>
        <v>129.82533368324056</v>
      </c>
      <c r="AL400" s="14">
        <v>0.33</v>
      </c>
      <c r="AM400" s="13">
        <f t="shared" si="124"/>
        <v>159.73719523202237</v>
      </c>
      <c r="AN400" s="14">
        <f t="shared" si="125"/>
        <v>0.47833738263554709</v>
      </c>
      <c r="AO400" t="str">
        <f>IF(AN400&gt;=Assumptions!$B$3,"OK","Review")</f>
        <v>OK</v>
      </c>
    </row>
    <row r="401" spans="1:41" ht="15" customHeight="1">
      <c r="A401" s="9" t="s">
        <v>256</v>
      </c>
      <c r="B401" s="9" t="s">
        <v>43</v>
      </c>
      <c r="C401" s="9" t="s">
        <v>205</v>
      </c>
      <c r="D401" s="9" t="s">
        <v>211</v>
      </c>
      <c r="E401" s="9" t="s">
        <v>73</v>
      </c>
      <c r="F401" s="9" t="s">
        <v>81</v>
      </c>
      <c r="G401" s="9" t="s">
        <v>24</v>
      </c>
      <c r="H401" s="9" t="s">
        <v>84</v>
      </c>
      <c r="I401" s="9">
        <v>4000011875</v>
      </c>
      <c r="J401" s="10">
        <v>16.7</v>
      </c>
      <c r="K401" s="10"/>
      <c r="L401" s="10">
        <f t="shared" si="108"/>
        <v>16.7</v>
      </c>
      <c r="M401" s="11">
        <v>0</v>
      </c>
      <c r="N401" s="10">
        <f t="shared" si="109"/>
        <v>0</v>
      </c>
      <c r="O401" s="10">
        <f t="shared" si="110"/>
        <v>16.7</v>
      </c>
      <c r="P401" s="11">
        <f t="shared" si="111"/>
        <v>6.1553204821053406E-2</v>
      </c>
      <c r="Q401" s="10">
        <f t="shared" si="112"/>
        <v>271.31</v>
      </c>
      <c r="R401" s="10">
        <f t="shared" si="113"/>
        <v>2041.5039999999997</v>
      </c>
      <c r="S401" s="10">
        <f t="shared" si="114"/>
        <v>125.6611138549998</v>
      </c>
      <c r="T401" s="9" t="s">
        <v>76</v>
      </c>
      <c r="U401" s="10">
        <v>3999</v>
      </c>
      <c r="V401" s="10">
        <f t="shared" si="115"/>
        <v>2799.2999999999997</v>
      </c>
      <c r="W401" s="166">
        <v>490110</v>
      </c>
      <c r="X401" s="12" t="s">
        <v>27</v>
      </c>
      <c r="Y401" s="12">
        <f t="shared" si="116"/>
        <v>125.6611138549998</v>
      </c>
      <c r="Z401" s="13">
        <f t="shared" si="117"/>
        <v>125.6611138549998</v>
      </c>
      <c r="AA401" s="13">
        <f t="shared" si="118"/>
        <v>125.6611138549998</v>
      </c>
      <c r="AB401" s="13">
        <f t="shared" si="119"/>
        <v>16.7</v>
      </c>
      <c r="AC401" s="13">
        <f t="shared" si="120"/>
        <v>108.96111385499979</v>
      </c>
      <c r="AD401" s="14">
        <f t="shared" si="121"/>
        <v>0.86710288101321376</v>
      </c>
      <c r="AE401" s="14">
        <f t="shared" si="122"/>
        <v>6.5246175961077721</v>
      </c>
      <c r="AF401" s="13" t="str">
        <f>IF(AD401&gt;=Assumptions!$B$3,"OK","Review")</f>
        <v>OK</v>
      </c>
      <c r="AG401" s="13">
        <f>IFERROR(IF(Assumptions!$B$13="Cost Price",AB401,AA401)*SUMIF(Assumptions!$A$6:$A$10,X401,Assumptions!$B$6:$B$10),0)</f>
        <v>10.052889108399985</v>
      </c>
      <c r="AH401" s="13">
        <f>IFERROR(IF(Assumptions!$B$13="Cost Price",AB401,AA401)*SUMIF(Assumptions!$A$6:$A$10,X401,Assumptions!$C$6:$C$10),0)</f>
        <v>6.2830556927499899</v>
      </c>
      <c r="AI401" s="13">
        <f>IFERROR(IF(Assumptions!$B$13="Cost Price",AB401,AA401)*SUMIF(Assumptions!$A$6:$A$10,X401,Assumptions!$D$6:$D$10),0)</f>
        <v>12.56611138549998</v>
      </c>
      <c r="AJ401" s="13">
        <v>19.950649367881759</v>
      </c>
      <c r="AK401" s="13">
        <f t="shared" si="123"/>
        <v>48.85270555453171</v>
      </c>
      <c r="AL401" s="14">
        <v>0.33</v>
      </c>
      <c r="AM401" s="13">
        <f t="shared" si="124"/>
        <v>60.108408300468085</v>
      </c>
      <c r="AN401" s="14">
        <f t="shared" si="125"/>
        <v>0.47833738263554709</v>
      </c>
      <c r="AO401" t="str">
        <f>IF(AN401&gt;=Assumptions!$B$3,"OK","Review")</f>
        <v>OK</v>
      </c>
    </row>
    <row r="402" spans="1:41" ht="15" customHeight="1">
      <c r="A402" s="9" t="s">
        <v>256</v>
      </c>
      <c r="B402" s="9" t="s">
        <v>43</v>
      </c>
      <c r="C402" s="9" t="s">
        <v>243</v>
      </c>
      <c r="D402" s="9" t="s">
        <v>252</v>
      </c>
      <c r="E402" s="9" t="s">
        <v>73</v>
      </c>
      <c r="F402" s="9" t="s">
        <v>90</v>
      </c>
      <c r="G402" s="9" t="s">
        <v>24</v>
      </c>
      <c r="H402" s="9" t="s">
        <v>75</v>
      </c>
      <c r="I402" s="9">
        <v>7000001010</v>
      </c>
      <c r="J402" s="10">
        <v>215.1</v>
      </c>
      <c r="K402" s="10">
        <v>10</v>
      </c>
      <c r="L402" s="10">
        <f t="shared" si="108"/>
        <v>225.1</v>
      </c>
      <c r="M402" s="11">
        <v>0.18</v>
      </c>
      <c r="N402" s="10">
        <f t="shared" si="109"/>
        <v>40.518000000000001</v>
      </c>
      <c r="O402" s="10">
        <f t="shared" si="110"/>
        <v>265.61799999999999</v>
      </c>
      <c r="P402" s="11">
        <f t="shared" si="111"/>
        <v>0.70102771722204915</v>
      </c>
      <c r="Q402" s="10">
        <f t="shared" si="112"/>
        <v>378.89800000000002</v>
      </c>
      <c r="R402" s="10">
        <f t="shared" si="113"/>
        <v>2041.5039999999997</v>
      </c>
      <c r="S402" s="10">
        <f t="shared" si="114"/>
        <v>265.61799999999999</v>
      </c>
      <c r="T402" s="9" t="s">
        <v>91</v>
      </c>
      <c r="U402" s="10">
        <v>3999</v>
      </c>
      <c r="V402" s="10">
        <f t="shared" si="115"/>
        <v>2799.2999999999997</v>
      </c>
      <c r="W402" s="166">
        <v>49119990</v>
      </c>
      <c r="X402" s="12" t="s">
        <v>27</v>
      </c>
      <c r="Y402" s="12">
        <f t="shared" si="116"/>
        <v>265.61799999999999</v>
      </c>
      <c r="Z402" s="13">
        <f t="shared" si="117"/>
        <v>265.61799999999999</v>
      </c>
      <c r="AA402" s="13">
        <f t="shared" si="118"/>
        <v>225.1</v>
      </c>
      <c r="AB402" s="13">
        <f t="shared" si="119"/>
        <v>215.1</v>
      </c>
      <c r="AC402" s="13">
        <f t="shared" si="120"/>
        <v>10</v>
      </c>
      <c r="AD402" s="14">
        <f t="shared" si="121"/>
        <v>4.4424700133274105E-2</v>
      </c>
      <c r="AE402" s="14">
        <f t="shared" si="122"/>
        <v>4.6490004649000466E-2</v>
      </c>
      <c r="AF402" s="13" t="str">
        <f>IF(AD402&gt;=Assumptions!$B$3,"OK","Review")</f>
        <v>Review</v>
      </c>
      <c r="AG402" s="13">
        <f>IFERROR(IF(Assumptions!$B$13="Cost Price",AB402,AA402)*SUMIF(Assumptions!$A$6:$A$10,X402,Assumptions!$B$6:$B$10),0)</f>
        <v>18.007999999999999</v>
      </c>
      <c r="AH402" s="13">
        <f>IFERROR(IF(Assumptions!$B$13="Cost Price",AB402,AA402)*SUMIF(Assumptions!$A$6:$A$10,X402,Assumptions!$C$6:$C$10),0)</f>
        <v>11.255000000000001</v>
      </c>
      <c r="AI402" s="13">
        <f>IFERROR(IF(Assumptions!$B$13="Cost Price",AB402,AA402)*SUMIF(Assumptions!$A$6:$A$10,X402,Assumptions!$D$6:$D$10),0)</f>
        <v>22.51</v>
      </c>
      <c r="AJ402" s="13">
        <v>22.51</v>
      </c>
      <c r="AK402" s="13">
        <f t="shared" si="123"/>
        <v>74.283000000000001</v>
      </c>
      <c r="AL402" s="14">
        <v>0.33</v>
      </c>
      <c r="AM402" s="13">
        <f t="shared" si="124"/>
        <v>-64.283000000000001</v>
      </c>
      <c r="AN402" s="14">
        <f t="shared" si="125"/>
        <v>-0.28557529986672592</v>
      </c>
      <c r="AO402" t="str">
        <f>IF(AN402&gt;=Assumptions!$B$3,"OK","Review")</f>
        <v>Review</v>
      </c>
    </row>
    <row r="403" spans="1:41" ht="15" customHeight="1">
      <c r="A403" s="9" t="s">
        <v>256</v>
      </c>
      <c r="B403" s="9" t="s">
        <v>43</v>
      </c>
      <c r="C403" s="9" t="s">
        <v>92</v>
      </c>
      <c r="D403" s="9" t="s">
        <v>93</v>
      </c>
      <c r="E403" s="9" t="s">
        <v>73</v>
      </c>
      <c r="F403" s="9" t="s">
        <v>94</v>
      </c>
      <c r="G403" s="9" t="s">
        <v>24</v>
      </c>
      <c r="H403" s="9" t="s">
        <v>75</v>
      </c>
      <c r="I403" s="9">
        <v>8400007</v>
      </c>
      <c r="J403" s="10">
        <v>96</v>
      </c>
      <c r="K403" s="10"/>
      <c r="L403" s="10">
        <f t="shared" si="108"/>
        <v>96</v>
      </c>
      <c r="M403" s="11">
        <v>0.18</v>
      </c>
      <c r="N403" s="10">
        <f t="shared" si="109"/>
        <v>17.28</v>
      </c>
      <c r="O403" s="10">
        <f t="shared" si="110"/>
        <v>113.28</v>
      </c>
      <c r="P403" s="11">
        <f t="shared" si="111"/>
        <v>0.29897228277795079</v>
      </c>
      <c r="Q403" s="10">
        <f t="shared" si="112"/>
        <v>378.89800000000002</v>
      </c>
      <c r="R403" s="10">
        <f t="shared" si="113"/>
        <v>2041.5039999999997</v>
      </c>
      <c r="S403" s="10">
        <f t="shared" si="114"/>
        <v>113.28</v>
      </c>
      <c r="T403" s="9" t="s">
        <v>91</v>
      </c>
      <c r="U403" s="10">
        <v>3999</v>
      </c>
      <c r="V403" s="10">
        <f t="shared" si="115"/>
        <v>2799.2999999999997</v>
      </c>
      <c r="W403" s="166">
        <v>999299</v>
      </c>
      <c r="X403" s="12" t="s">
        <v>27</v>
      </c>
      <c r="Y403" s="12">
        <f t="shared" si="116"/>
        <v>113.28</v>
      </c>
      <c r="Z403" s="13">
        <f t="shared" si="117"/>
        <v>113.28</v>
      </c>
      <c r="AA403" s="13">
        <f t="shared" si="118"/>
        <v>96</v>
      </c>
      <c r="AB403" s="13">
        <f t="shared" si="119"/>
        <v>96</v>
      </c>
      <c r="AC403" s="13">
        <f t="shared" si="120"/>
        <v>0</v>
      </c>
      <c r="AD403" s="14">
        <f t="shared" si="121"/>
        <v>0</v>
      </c>
      <c r="AE403" s="14">
        <f t="shared" si="122"/>
        <v>0</v>
      </c>
      <c r="AF403" s="13" t="str">
        <f>IF(AD403&gt;=Assumptions!$B$3,"OK","Review")</f>
        <v>Review</v>
      </c>
      <c r="AG403" s="13">
        <f>IFERROR(IF(Assumptions!$B$13="Cost Price",AB403,AA403)*SUMIF(Assumptions!$A$6:$A$10,X403,Assumptions!$B$6:$B$10),0)</f>
        <v>7.68</v>
      </c>
      <c r="AH403" s="13">
        <f>IFERROR(IF(Assumptions!$B$13="Cost Price",AB403,AA403)*SUMIF(Assumptions!$A$6:$A$10,X403,Assumptions!$C$6:$C$10),0)</f>
        <v>4.8000000000000007</v>
      </c>
      <c r="AI403" s="13">
        <f>IFERROR(IF(Assumptions!$B$13="Cost Price",AB403,AA403)*SUMIF(Assumptions!$A$6:$A$10,X403,Assumptions!$D$6:$D$10),0)</f>
        <v>9.6000000000000014</v>
      </c>
      <c r="AJ403" s="13">
        <v>9.6000000000000014</v>
      </c>
      <c r="AK403" s="13">
        <f t="shared" si="123"/>
        <v>31.680000000000003</v>
      </c>
      <c r="AL403" s="14">
        <v>0.33</v>
      </c>
      <c r="AM403" s="13">
        <f t="shared" si="124"/>
        <v>-31.680000000000003</v>
      </c>
      <c r="AN403" s="14">
        <f t="shared" si="125"/>
        <v>-0.33</v>
      </c>
      <c r="AO403" t="str">
        <f>IF(AN403&gt;=Assumptions!$B$3,"OK","Review")</f>
        <v>Review</v>
      </c>
    </row>
    <row r="404" spans="1:41" ht="15" customHeight="1">
      <c r="A404" s="9" t="s">
        <v>256</v>
      </c>
      <c r="B404" s="9" t="s">
        <v>44</v>
      </c>
      <c r="C404" s="9" t="s">
        <v>213</v>
      </c>
      <c r="D404" s="9" t="s">
        <v>214</v>
      </c>
      <c r="E404" s="9" t="s">
        <v>73</v>
      </c>
      <c r="F404" s="9" t="s">
        <v>74</v>
      </c>
      <c r="G404" s="9" t="s">
        <v>24</v>
      </c>
      <c r="H404" s="9" t="s">
        <v>75</v>
      </c>
      <c r="I404" s="9">
        <v>4000011876</v>
      </c>
      <c r="J404" s="10">
        <v>40.57</v>
      </c>
      <c r="K404" s="10"/>
      <c r="L404" s="10">
        <f t="shared" si="108"/>
        <v>40.57</v>
      </c>
      <c r="M404" s="11">
        <v>0</v>
      </c>
      <c r="N404" s="10">
        <f t="shared" si="109"/>
        <v>0</v>
      </c>
      <c r="O404" s="10">
        <f t="shared" si="110"/>
        <v>40.57</v>
      </c>
      <c r="P404" s="11">
        <f t="shared" si="111"/>
        <v>0.12725447758853237</v>
      </c>
      <c r="Q404" s="10">
        <f t="shared" si="112"/>
        <v>318.81</v>
      </c>
      <c r="R404" s="10">
        <f t="shared" si="113"/>
        <v>2102.3919999999998</v>
      </c>
      <c r="S404" s="10">
        <f t="shared" si="114"/>
        <v>267.53879564630972</v>
      </c>
      <c r="T404" s="9" t="s">
        <v>76</v>
      </c>
      <c r="U404" s="10">
        <v>3999</v>
      </c>
      <c r="V404" s="10">
        <f t="shared" si="115"/>
        <v>2799.2999999999997</v>
      </c>
      <c r="W404" s="166">
        <v>490110</v>
      </c>
      <c r="X404" s="12" t="s">
        <v>27</v>
      </c>
      <c r="Y404" s="12">
        <f t="shared" si="116"/>
        <v>267.53879564630972</v>
      </c>
      <c r="Z404" s="13">
        <f t="shared" si="117"/>
        <v>267.53879564630972</v>
      </c>
      <c r="AA404" s="13">
        <f t="shared" si="118"/>
        <v>267.53879564630972</v>
      </c>
      <c r="AB404" s="13">
        <f t="shared" si="119"/>
        <v>40.57</v>
      </c>
      <c r="AC404" s="13">
        <f t="shared" si="120"/>
        <v>226.96879564630973</v>
      </c>
      <c r="AD404" s="14">
        <f t="shared" si="121"/>
        <v>0.84835844124216608</v>
      </c>
      <c r="AE404" s="14">
        <f t="shared" si="122"/>
        <v>5.5944982905178637</v>
      </c>
      <c r="AF404" s="13" t="str">
        <f>IF(AD404&gt;=Assumptions!$B$3,"OK","Review")</f>
        <v>OK</v>
      </c>
      <c r="AG404" s="13">
        <f>IFERROR(IF(Assumptions!$B$13="Cost Price",AB404,AA404)*SUMIF(Assumptions!$A$6:$A$10,X404,Assumptions!$B$6:$B$10),0)</f>
        <v>21.403103651704779</v>
      </c>
      <c r="AH404" s="13">
        <f>IFERROR(IF(Assumptions!$B$13="Cost Price",AB404,AA404)*SUMIF(Assumptions!$A$6:$A$10,X404,Assumptions!$C$6:$C$10),0)</f>
        <v>13.376939782315487</v>
      </c>
      <c r="AI404" s="13">
        <f>IFERROR(IF(Assumptions!$B$13="Cost Price",AB404,AA404)*SUMIF(Assumptions!$A$6:$A$10,X404,Assumptions!$D$6:$D$10),0)</f>
        <v>26.753879564630974</v>
      </c>
      <c r="AJ404" s="13">
        <v>42.020599240927204</v>
      </c>
      <c r="AK404" s="13">
        <f t="shared" si="123"/>
        <v>103.55452223957843</v>
      </c>
      <c r="AL404" s="14">
        <v>0.33</v>
      </c>
      <c r="AM404" s="13">
        <f t="shared" si="124"/>
        <v>123.4142734067313</v>
      </c>
      <c r="AN404" s="14">
        <f t="shared" si="125"/>
        <v>0.46129486794089786</v>
      </c>
      <c r="AO404" t="str">
        <f>IF(AN404&gt;=Assumptions!$B$3,"OK","Review")</f>
        <v>OK</v>
      </c>
    </row>
    <row r="405" spans="1:41" ht="15" customHeight="1">
      <c r="A405" s="9" t="s">
        <v>256</v>
      </c>
      <c r="B405" s="9" t="s">
        <v>44</v>
      </c>
      <c r="C405" s="9" t="s">
        <v>200</v>
      </c>
      <c r="D405" s="9" t="s">
        <v>215</v>
      </c>
      <c r="E405" s="9" t="s">
        <v>73</v>
      </c>
      <c r="F405" s="9" t="s">
        <v>74</v>
      </c>
      <c r="G405" s="9" t="s">
        <v>24</v>
      </c>
      <c r="H405" s="9" t="s">
        <v>75</v>
      </c>
      <c r="I405" s="9">
        <v>4000011820</v>
      </c>
      <c r="J405" s="10">
        <v>12.36</v>
      </c>
      <c r="K405" s="10"/>
      <c r="L405" s="10">
        <f t="shared" si="108"/>
        <v>12.36</v>
      </c>
      <c r="M405" s="11">
        <v>0</v>
      </c>
      <c r="N405" s="10">
        <f t="shared" si="109"/>
        <v>0</v>
      </c>
      <c r="O405" s="10">
        <f t="shared" si="110"/>
        <v>12.36</v>
      </c>
      <c r="P405" s="11">
        <f t="shared" si="111"/>
        <v>3.8769172861578993E-2</v>
      </c>
      <c r="Q405" s="10">
        <f t="shared" si="112"/>
        <v>318.81</v>
      </c>
      <c r="R405" s="10">
        <f t="shared" si="113"/>
        <v>2102.3919999999998</v>
      </c>
      <c r="S405" s="10">
        <f t="shared" si="114"/>
        <v>81.507998870800776</v>
      </c>
      <c r="T405" s="9" t="s">
        <v>76</v>
      </c>
      <c r="U405" s="10">
        <v>3999</v>
      </c>
      <c r="V405" s="10">
        <f t="shared" si="115"/>
        <v>2799.2999999999997</v>
      </c>
      <c r="W405" s="166">
        <v>490110</v>
      </c>
      <c r="X405" s="12" t="s">
        <v>27</v>
      </c>
      <c r="Y405" s="12">
        <f t="shared" si="116"/>
        <v>81.507998870800776</v>
      </c>
      <c r="Z405" s="13">
        <f t="shared" si="117"/>
        <v>81.507998870800776</v>
      </c>
      <c r="AA405" s="13">
        <f t="shared" si="118"/>
        <v>81.507998870800776</v>
      </c>
      <c r="AB405" s="13">
        <f t="shared" si="119"/>
        <v>12.36</v>
      </c>
      <c r="AC405" s="13">
        <f t="shared" si="120"/>
        <v>69.147998870800777</v>
      </c>
      <c r="AD405" s="14">
        <f t="shared" si="121"/>
        <v>0.84835844124216608</v>
      </c>
      <c r="AE405" s="14">
        <f t="shared" si="122"/>
        <v>5.5944982905178628</v>
      </c>
      <c r="AF405" s="13" t="str">
        <f>IF(AD405&gt;=Assumptions!$B$3,"OK","Review")</f>
        <v>OK</v>
      </c>
      <c r="AG405" s="13">
        <f>IFERROR(IF(Assumptions!$B$13="Cost Price",AB405,AA405)*SUMIF(Assumptions!$A$6:$A$10,X405,Assumptions!$B$6:$B$10),0)</f>
        <v>6.5206399096640624</v>
      </c>
      <c r="AH405" s="13">
        <f>IFERROR(IF(Assumptions!$B$13="Cost Price",AB405,AA405)*SUMIF(Assumptions!$A$6:$A$10,X405,Assumptions!$C$6:$C$10),0)</f>
        <v>4.075399943540039</v>
      </c>
      <c r="AI405" s="13">
        <f>IFERROR(IF(Assumptions!$B$13="Cost Price",AB405,AA405)*SUMIF(Assumptions!$A$6:$A$10,X405,Assumptions!$D$6:$D$10),0)</f>
        <v>8.150799887080078</v>
      </c>
      <c r="AJ405" s="13">
        <v>12.801937555283713</v>
      </c>
      <c r="AK405" s="13">
        <f t="shared" si="123"/>
        <v>31.548777295567895</v>
      </c>
      <c r="AL405" s="14">
        <v>0.33</v>
      </c>
      <c r="AM405" s="13">
        <f t="shared" si="124"/>
        <v>37.599221575232882</v>
      </c>
      <c r="AN405" s="14">
        <f t="shared" si="125"/>
        <v>0.46129486794089769</v>
      </c>
      <c r="AO405" t="str">
        <f>IF(AN405&gt;=Assumptions!$B$3,"OK","Review")</f>
        <v>OK</v>
      </c>
    </row>
    <row r="406" spans="1:41" ht="15" customHeight="1">
      <c r="A406" s="9" t="s">
        <v>256</v>
      </c>
      <c r="B406" s="9" t="s">
        <v>44</v>
      </c>
      <c r="C406" s="9" t="s">
        <v>205</v>
      </c>
      <c r="D406" s="9" t="s">
        <v>216</v>
      </c>
      <c r="E406" s="9" t="s">
        <v>73</v>
      </c>
      <c r="F406" s="9" t="s">
        <v>81</v>
      </c>
      <c r="G406" s="9" t="s">
        <v>24</v>
      </c>
      <c r="H406" s="9" t="s">
        <v>75</v>
      </c>
      <c r="I406" s="9">
        <v>4000011821</v>
      </c>
      <c r="J406" s="10">
        <v>46.45</v>
      </c>
      <c r="K406" s="10"/>
      <c r="L406" s="10">
        <f t="shared" si="108"/>
        <v>46.45</v>
      </c>
      <c r="M406" s="11">
        <v>0</v>
      </c>
      <c r="N406" s="10">
        <f t="shared" si="109"/>
        <v>0</v>
      </c>
      <c r="O406" s="10">
        <f t="shared" si="110"/>
        <v>46.45</v>
      </c>
      <c r="P406" s="11">
        <f t="shared" si="111"/>
        <v>0.14569806467802141</v>
      </c>
      <c r="Q406" s="10">
        <f t="shared" si="112"/>
        <v>318.81</v>
      </c>
      <c r="R406" s="10">
        <f t="shared" si="113"/>
        <v>2102.3919999999998</v>
      </c>
      <c r="S406" s="10">
        <f t="shared" si="114"/>
        <v>306.31444559455474</v>
      </c>
      <c r="T406" s="9" t="s">
        <v>76</v>
      </c>
      <c r="U406" s="10">
        <v>3999</v>
      </c>
      <c r="V406" s="10">
        <f t="shared" si="115"/>
        <v>2799.2999999999997</v>
      </c>
      <c r="W406" s="166">
        <v>490110</v>
      </c>
      <c r="X406" s="12" t="s">
        <v>27</v>
      </c>
      <c r="Y406" s="12">
        <f t="shared" si="116"/>
        <v>306.31444559455474</v>
      </c>
      <c r="Z406" s="13">
        <f t="shared" si="117"/>
        <v>306.31444559455474</v>
      </c>
      <c r="AA406" s="13">
        <f t="shared" si="118"/>
        <v>306.31444559455474</v>
      </c>
      <c r="AB406" s="13">
        <f t="shared" si="119"/>
        <v>46.45</v>
      </c>
      <c r="AC406" s="13">
        <f t="shared" si="120"/>
        <v>259.86444559455475</v>
      </c>
      <c r="AD406" s="14">
        <f t="shared" si="121"/>
        <v>0.84835844124216608</v>
      </c>
      <c r="AE406" s="14">
        <f t="shared" si="122"/>
        <v>5.5944982905178628</v>
      </c>
      <c r="AF406" s="13" t="str">
        <f>IF(AD406&gt;=Assumptions!$B$3,"OK","Review")</f>
        <v>OK</v>
      </c>
      <c r="AG406" s="13">
        <f>IFERROR(IF(Assumptions!$B$13="Cost Price",AB406,AA406)*SUMIF(Assumptions!$A$6:$A$10,X406,Assumptions!$B$6:$B$10),0)</f>
        <v>24.505155647564379</v>
      </c>
      <c r="AH406" s="13">
        <f>IFERROR(IF(Assumptions!$B$13="Cost Price",AB406,AA406)*SUMIF(Assumptions!$A$6:$A$10,X406,Assumptions!$C$6:$C$10),0)</f>
        <v>15.315722279727737</v>
      </c>
      <c r="AI406" s="13">
        <f>IFERROR(IF(Assumptions!$B$13="Cost Price",AB406,AA406)*SUMIF(Assumptions!$A$6:$A$10,X406,Assumptions!$D$6:$D$10),0)</f>
        <v>30.631444559455474</v>
      </c>
      <c r="AJ406" s="13">
        <v>48.110841378877709</v>
      </c>
      <c r="AK406" s="13">
        <f t="shared" si="123"/>
        <v>118.5631638656253</v>
      </c>
      <c r="AL406" s="14">
        <v>0.33</v>
      </c>
      <c r="AM406" s="13">
        <f t="shared" si="124"/>
        <v>141.30128172892944</v>
      </c>
      <c r="AN406" s="14">
        <f t="shared" si="125"/>
        <v>0.46129486794089775</v>
      </c>
      <c r="AO406" t="str">
        <f>IF(AN406&gt;=Assumptions!$B$3,"OK","Review")</f>
        <v>OK</v>
      </c>
    </row>
    <row r="407" spans="1:41" ht="15" customHeight="1">
      <c r="A407" s="9" t="s">
        <v>256</v>
      </c>
      <c r="B407" s="9" t="s">
        <v>44</v>
      </c>
      <c r="C407" s="9" t="s">
        <v>205</v>
      </c>
      <c r="D407" s="9" t="s">
        <v>217</v>
      </c>
      <c r="E407" s="9" t="s">
        <v>73</v>
      </c>
      <c r="F407" s="9" t="s">
        <v>74</v>
      </c>
      <c r="G407" s="9" t="s">
        <v>24</v>
      </c>
      <c r="H407" s="9" t="s">
        <v>75</v>
      </c>
      <c r="I407" s="9">
        <v>4000011822</v>
      </c>
      <c r="J407" s="10">
        <v>18.12</v>
      </c>
      <c r="K407" s="10"/>
      <c r="L407" s="10">
        <f t="shared" si="108"/>
        <v>18.12</v>
      </c>
      <c r="M407" s="11">
        <v>0</v>
      </c>
      <c r="N407" s="10">
        <f t="shared" si="109"/>
        <v>0</v>
      </c>
      <c r="O407" s="10">
        <f t="shared" si="110"/>
        <v>18.12</v>
      </c>
      <c r="P407" s="11">
        <f t="shared" si="111"/>
        <v>5.6836360214547854E-2</v>
      </c>
      <c r="Q407" s="10">
        <f t="shared" si="112"/>
        <v>318.81</v>
      </c>
      <c r="R407" s="10">
        <f t="shared" si="113"/>
        <v>2102.3919999999998</v>
      </c>
      <c r="S407" s="10">
        <f t="shared" si="114"/>
        <v>119.49230902418368</v>
      </c>
      <c r="T407" s="9" t="s">
        <v>76</v>
      </c>
      <c r="U407" s="10">
        <v>3999</v>
      </c>
      <c r="V407" s="10">
        <f t="shared" si="115"/>
        <v>2799.2999999999997</v>
      </c>
      <c r="W407" s="166">
        <v>490110</v>
      </c>
      <c r="X407" s="12" t="s">
        <v>27</v>
      </c>
      <c r="Y407" s="12">
        <f t="shared" si="116"/>
        <v>119.49230902418368</v>
      </c>
      <c r="Z407" s="13">
        <f t="shared" si="117"/>
        <v>119.49230902418368</v>
      </c>
      <c r="AA407" s="13">
        <f t="shared" si="118"/>
        <v>119.49230902418368</v>
      </c>
      <c r="AB407" s="13">
        <f t="shared" si="119"/>
        <v>18.12</v>
      </c>
      <c r="AC407" s="13">
        <f t="shared" si="120"/>
        <v>101.37230902418368</v>
      </c>
      <c r="AD407" s="14">
        <f t="shared" si="121"/>
        <v>0.84835844124216608</v>
      </c>
      <c r="AE407" s="14">
        <f t="shared" si="122"/>
        <v>5.5944982905178628</v>
      </c>
      <c r="AF407" s="13" t="str">
        <f>IF(AD407&gt;=Assumptions!$B$3,"OK","Review")</f>
        <v>OK</v>
      </c>
      <c r="AG407" s="13">
        <f>IFERROR(IF(Assumptions!$B$13="Cost Price",AB407,AA407)*SUMIF(Assumptions!$A$6:$A$10,X407,Assumptions!$B$6:$B$10),0)</f>
        <v>9.5593847219346948</v>
      </c>
      <c r="AH407" s="13">
        <f>IFERROR(IF(Assumptions!$B$13="Cost Price",AB407,AA407)*SUMIF(Assumptions!$A$6:$A$10,X407,Assumptions!$C$6:$C$10),0)</f>
        <v>5.9746154512091847</v>
      </c>
      <c r="AI407" s="13">
        <f>IFERROR(IF(Assumptions!$B$13="Cost Price",AB407,AA407)*SUMIF(Assumptions!$A$6:$A$10,X407,Assumptions!$D$6:$D$10),0)</f>
        <v>11.949230902418369</v>
      </c>
      <c r="AJ407" s="13">
        <v>18.767889037357676</v>
      </c>
      <c r="AK407" s="13">
        <f t="shared" si="123"/>
        <v>46.251120112919928</v>
      </c>
      <c r="AL407" s="14">
        <v>0.33</v>
      </c>
      <c r="AM407" s="13">
        <f t="shared" si="124"/>
        <v>55.121188911263751</v>
      </c>
      <c r="AN407" s="14">
        <f t="shared" si="125"/>
        <v>0.46129486794089769</v>
      </c>
      <c r="AO407" t="str">
        <f>IF(AN407&gt;=Assumptions!$B$3,"OK","Review")</f>
        <v>OK</v>
      </c>
    </row>
    <row r="408" spans="1:41" ht="15" customHeight="1">
      <c r="A408" s="9" t="s">
        <v>256</v>
      </c>
      <c r="B408" s="9" t="s">
        <v>44</v>
      </c>
      <c r="C408" s="9" t="s">
        <v>202</v>
      </c>
      <c r="D408" s="9" t="s">
        <v>218</v>
      </c>
      <c r="E408" s="9" t="s">
        <v>73</v>
      </c>
      <c r="F408" s="9" t="s">
        <v>74</v>
      </c>
      <c r="G408" s="9" t="s">
        <v>24</v>
      </c>
      <c r="H408" s="9" t="s">
        <v>75</v>
      </c>
      <c r="I408" s="9">
        <v>4000011823</v>
      </c>
      <c r="J408" s="10">
        <v>46.45</v>
      </c>
      <c r="K408" s="10"/>
      <c r="L408" s="10">
        <f t="shared" si="108"/>
        <v>46.45</v>
      </c>
      <c r="M408" s="11">
        <v>0</v>
      </c>
      <c r="N408" s="10">
        <f t="shared" si="109"/>
        <v>0</v>
      </c>
      <c r="O408" s="10">
        <f t="shared" si="110"/>
        <v>46.45</v>
      </c>
      <c r="P408" s="11">
        <f t="shared" si="111"/>
        <v>0.14569806467802141</v>
      </c>
      <c r="Q408" s="10">
        <f t="shared" si="112"/>
        <v>318.81</v>
      </c>
      <c r="R408" s="10">
        <f t="shared" si="113"/>
        <v>2102.3919999999998</v>
      </c>
      <c r="S408" s="10">
        <f t="shared" si="114"/>
        <v>306.31444559455474</v>
      </c>
      <c r="T408" s="9" t="s">
        <v>76</v>
      </c>
      <c r="U408" s="10">
        <v>3999</v>
      </c>
      <c r="V408" s="10">
        <f t="shared" si="115"/>
        <v>2799.2999999999997</v>
      </c>
      <c r="W408" s="166">
        <v>490110</v>
      </c>
      <c r="X408" s="12" t="s">
        <v>27</v>
      </c>
      <c r="Y408" s="12">
        <f t="shared" si="116"/>
        <v>306.31444559455474</v>
      </c>
      <c r="Z408" s="13">
        <f t="shared" si="117"/>
        <v>306.31444559455474</v>
      </c>
      <c r="AA408" s="13">
        <f t="shared" si="118"/>
        <v>306.31444559455474</v>
      </c>
      <c r="AB408" s="13">
        <f t="shared" si="119"/>
        <v>46.45</v>
      </c>
      <c r="AC408" s="13">
        <f t="shared" si="120"/>
        <v>259.86444559455475</v>
      </c>
      <c r="AD408" s="14">
        <f t="shared" si="121"/>
        <v>0.84835844124216608</v>
      </c>
      <c r="AE408" s="14">
        <f t="shared" si="122"/>
        <v>5.5944982905178628</v>
      </c>
      <c r="AF408" s="13" t="str">
        <f>IF(AD408&gt;=Assumptions!$B$3,"OK","Review")</f>
        <v>OK</v>
      </c>
      <c r="AG408" s="13">
        <f>IFERROR(IF(Assumptions!$B$13="Cost Price",AB408,AA408)*SUMIF(Assumptions!$A$6:$A$10,X408,Assumptions!$B$6:$B$10),0)</f>
        <v>24.505155647564379</v>
      </c>
      <c r="AH408" s="13">
        <f>IFERROR(IF(Assumptions!$B$13="Cost Price",AB408,AA408)*SUMIF(Assumptions!$A$6:$A$10,X408,Assumptions!$C$6:$C$10),0)</f>
        <v>15.315722279727737</v>
      </c>
      <c r="AI408" s="13">
        <f>IFERROR(IF(Assumptions!$B$13="Cost Price",AB408,AA408)*SUMIF(Assumptions!$A$6:$A$10,X408,Assumptions!$D$6:$D$10),0)</f>
        <v>30.631444559455474</v>
      </c>
      <c r="AJ408" s="13">
        <v>48.110841378877709</v>
      </c>
      <c r="AK408" s="13">
        <f t="shared" si="123"/>
        <v>118.5631638656253</v>
      </c>
      <c r="AL408" s="14">
        <v>0.33</v>
      </c>
      <c r="AM408" s="13">
        <f t="shared" si="124"/>
        <v>141.30128172892944</v>
      </c>
      <c r="AN408" s="14">
        <f t="shared" si="125"/>
        <v>0.46129486794089775</v>
      </c>
      <c r="AO408" t="str">
        <f>IF(AN408&gt;=Assumptions!$B$3,"OK","Review")</f>
        <v>OK</v>
      </c>
    </row>
    <row r="409" spans="1:41" ht="15" customHeight="1">
      <c r="A409" s="9" t="s">
        <v>256</v>
      </c>
      <c r="B409" s="9" t="s">
        <v>44</v>
      </c>
      <c r="C409" s="9" t="s">
        <v>202</v>
      </c>
      <c r="D409" s="9" t="s">
        <v>219</v>
      </c>
      <c r="E409" s="9" t="s">
        <v>73</v>
      </c>
      <c r="F409" s="9" t="s">
        <v>81</v>
      </c>
      <c r="G409" s="9" t="s">
        <v>24</v>
      </c>
      <c r="H409" s="9" t="s">
        <v>75</v>
      </c>
      <c r="I409" s="9">
        <v>4000011824</v>
      </c>
      <c r="J409" s="10">
        <v>19.66</v>
      </c>
      <c r="K409" s="10"/>
      <c r="L409" s="10">
        <f t="shared" si="108"/>
        <v>19.66</v>
      </c>
      <c r="M409" s="11">
        <v>0</v>
      </c>
      <c r="N409" s="10">
        <f t="shared" si="109"/>
        <v>0</v>
      </c>
      <c r="O409" s="10">
        <f t="shared" si="110"/>
        <v>19.66</v>
      </c>
      <c r="P409" s="11">
        <f t="shared" si="111"/>
        <v>6.1666823499890215E-2</v>
      </c>
      <c r="Q409" s="10">
        <f t="shared" si="112"/>
        <v>318.81</v>
      </c>
      <c r="R409" s="10">
        <f t="shared" si="113"/>
        <v>2102.3919999999998</v>
      </c>
      <c r="S409" s="10">
        <f t="shared" si="114"/>
        <v>129.64783639158117</v>
      </c>
      <c r="T409" s="9" t="s">
        <v>76</v>
      </c>
      <c r="U409" s="10">
        <v>3999</v>
      </c>
      <c r="V409" s="10">
        <f t="shared" si="115"/>
        <v>2799.2999999999997</v>
      </c>
      <c r="W409" s="166">
        <v>490110</v>
      </c>
      <c r="X409" s="12" t="s">
        <v>27</v>
      </c>
      <c r="Y409" s="12">
        <f t="shared" si="116"/>
        <v>129.64783639158117</v>
      </c>
      <c r="Z409" s="13">
        <f t="shared" si="117"/>
        <v>129.64783639158117</v>
      </c>
      <c r="AA409" s="13">
        <f t="shared" si="118"/>
        <v>129.64783639158117</v>
      </c>
      <c r="AB409" s="13">
        <f t="shared" si="119"/>
        <v>19.66</v>
      </c>
      <c r="AC409" s="13">
        <f t="shared" si="120"/>
        <v>109.98783639158117</v>
      </c>
      <c r="AD409" s="14">
        <f t="shared" si="121"/>
        <v>0.84835844124216608</v>
      </c>
      <c r="AE409" s="14">
        <f t="shared" si="122"/>
        <v>5.594498290517862</v>
      </c>
      <c r="AF409" s="13" t="str">
        <f>IF(AD409&gt;=Assumptions!$B$3,"OK","Review")</f>
        <v>OK</v>
      </c>
      <c r="AG409" s="13">
        <f>IFERROR(IF(Assumptions!$B$13="Cost Price",AB409,AA409)*SUMIF(Assumptions!$A$6:$A$10,X409,Assumptions!$B$6:$B$10),0)</f>
        <v>10.371826911326494</v>
      </c>
      <c r="AH409" s="13">
        <f>IFERROR(IF(Assumptions!$B$13="Cost Price",AB409,AA409)*SUMIF(Assumptions!$A$6:$A$10,X409,Assumptions!$C$6:$C$10),0)</f>
        <v>6.4823918195790586</v>
      </c>
      <c r="AI409" s="13">
        <f>IFERROR(IF(Assumptions!$B$13="Cost Price",AB409,AA409)*SUMIF(Assumptions!$A$6:$A$10,X409,Assumptions!$D$6:$D$10),0)</f>
        <v>12.964783639158117</v>
      </c>
      <c r="AJ409" s="13">
        <v>20.362952454439949</v>
      </c>
      <c r="AK409" s="13">
        <f t="shared" si="123"/>
        <v>50.18195482450362</v>
      </c>
      <c r="AL409" s="14">
        <v>0.33</v>
      </c>
      <c r="AM409" s="13">
        <f t="shared" si="124"/>
        <v>59.805881567077549</v>
      </c>
      <c r="AN409" s="14">
        <f t="shared" si="125"/>
        <v>0.46129486794089775</v>
      </c>
      <c r="AO409" t="str">
        <f>IF(AN409&gt;=Assumptions!$B$3,"OK","Review")</f>
        <v>OK</v>
      </c>
    </row>
    <row r="410" spans="1:41" ht="15" customHeight="1">
      <c r="A410" s="9" t="s">
        <v>256</v>
      </c>
      <c r="B410" s="9" t="s">
        <v>44</v>
      </c>
      <c r="C410" s="9" t="s">
        <v>202</v>
      </c>
      <c r="D410" s="9" t="s">
        <v>220</v>
      </c>
      <c r="E410" s="9" t="s">
        <v>73</v>
      </c>
      <c r="F410" s="9" t="s">
        <v>74</v>
      </c>
      <c r="G410" s="9" t="s">
        <v>24</v>
      </c>
      <c r="H410" s="9" t="s">
        <v>84</v>
      </c>
      <c r="I410" s="9">
        <v>4000011825</v>
      </c>
      <c r="J410" s="10">
        <v>48.71</v>
      </c>
      <c r="K410" s="10"/>
      <c r="L410" s="10">
        <f t="shared" si="108"/>
        <v>48.71</v>
      </c>
      <c r="M410" s="11">
        <v>0</v>
      </c>
      <c r="N410" s="10">
        <f t="shared" si="109"/>
        <v>0</v>
      </c>
      <c r="O410" s="10">
        <f t="shared" si="110"/>
        <v>48.71</v>
      </c>
      <c r="P410" s="11">
        <f t="shared" si="111"/>
        <v>0.15278692638248487</v>
      </c>
      <c r="Q410" s="10">
        <f t="shared" si="112"/>
        <v>318.81</v>
      </c>
      <c r="R410" s="10">
        <f t="shared" si="113"/>
        <v>2102.3919999999998</v>
      </c>
      <c r="S410" s="10">
        <f t="shared" si="114"/>
        <v>321.2180117311251</v>
      </c>
      <c r="T410" s="9" t="s">
        <v>76</v>
      </c>
      <c r="U410" s="10">
        <v>3999</v>
      </c>
      <c r="V410" s="10">
        <f t="shared" si="115"/>
        <v>2799.2999999999997</v>
      </c>
      <c r="W410" s="166">
        <v>490110</v>
      </c>
      <c r="X410" s="12" t="s">
        <v>27</v>
      </c>
      <c r="Y410" s="12">
        <f t="shared" si="116"/>
        <v>321.2180117311251</v>
      </c>
      <c r="Z410" s="13">
        <f t="shared" si="117"/>
        <v>321.2180117311251</v>
      </c>
      <c r="AA410" s="13">
        <f t="shared" si="118"/>
        <v>321.2180117311251</v>
      </c>
      <c r="AB410" s="13">
        <f t="shared" si="119"/>
        <v>48.71</v>
      </c>
      <c r="AC410" s="13">
        <f t="shared" si="120"/>
        <v>272.50801173112512</v>
      </c>
      <c r="AD410" s="14">
        <f t="shared" si="121"/>
        <v>0.84835844124216608</v>
      </c>
      <c r="AE410" s="14">
        <f t="shared" si="122"/>
        <v>5.5944982905178628</v>
      </c>
      <c r="AF410" s="13" t="str">
        <f>IF(AD410&gt;=Assumptions!$B$3,"OK","Review")</f>
        <v>OK</v>
      </c>
      <c r="AG410" s="13">
        <f>IFERROR(IF(Assumptions!$B$13="Cost Price",AB410,AA410)*SUMIF(Assumptions!$A$6:$A$10,X410,Assumptions!$B$6:$B$10),0)</f>
        <v>25.697440938490008</v>
      </c>
      <c r="AH410" s="13">
        <f>IFERROR(IF(Assumptions!$B$13="Cost Price",AB410,AA410)*SUMIF(Assumptions!$A$6:$A$10,X410,Assumptions!$C$6:$C$10),0)</f>
        <v>16.060900586556254</v>
      </c>
      <c r="AI410" s="13">
        <f>IFERROR(IF(Assumptions!$B$13="Cost Price",AB410,AA410)*SUMIF(Assumptions!$A$6:$A$10,X410,Assumptions!$D$6:$D$10),0)</f>
        <v>32.121801173112509</v>
      </c>
      <c r="AJ410" s="13">
        <v>50.451648731219223</v>
      </c>
      <c r="AK410" s="13">
        <f t="shared" si="123"/>
        <v>124.331791429378</v>
      </c>
      <c r="AL410" s="14">
        <v>0.33</v>
      </c>
      <c r="AM410" s="13">
        <f t="shared" si="124"/>
        <v>148.17622030174712</v>
      </c>
      <c r="AN410" s="14">
        <f t="shared" si="125"/>
        <v>0.4612948679408978</v>
      </c>
      <c r="AO410" t="str">
        <f>IF(AN410&gt;=Assumptions!$B$3,"OK","Review")</f>
        <v>OK</v>
      </c>
    </row>
    <row r="411" spans="1:41" ht="15" customHeight="1">
      <c r="A411" s="9" t="s">
        <v>256</v>
      </c>
      <c r="B411" s="9" t="s">
        <v>44</v>
      </c>
      <c r="C411" s="9" t="s">
        <v>202</v>
      </c>
      <c r="D411" s="9" t="s">
        <v>221</v>
      </c>
      <c r="E411" s="9" t="s">
        <v>73</v>
      </c>
      <c r="F411" s="9" t="s">
        <v>74</v>
      </c>
      <c r="G411" s="9" t="s">
        <v>24</v>
      </c>
      <c r="H411" s="9" t="s">
        <v>84</v>
      </c>
      <c r="I411" s="9">
        <v>4000011827</v>
      </c>
      <c r="J411" s="10">
        <v>19.66</v>
      </c>
      <c r="K411" s="10"/>
      <c r="L411" s="10">
        <f t="shared" si="108"/>
        <v>19.66</v>
      </c>
      <c r="M411" s="11">
        <v>0</v>
      </c>
      <c r="N411" s="10">
        <f t="shared" si="109"/>
        <v>0</v>
      </c>
      <c r="O411" s="10">
        <f t="shared" si="110"/>
        <v>19.66</v>
      </c>
      <c r="P411" s="11">
        <f t="shared" si="111"/>
        <v>6.1666823499890215E-2</v>
      </c>
      <c r="Q411" s="10">
        <f t="shared" si="112"/>
        <v>318.81</v>
      </c>
      <c r="R411" s="10">
        <f t="shared" si="113"/>
        <v>2102.3919999999998</v>
      </c>
      <c r="S411" s="10">
        <f t="shared" si="114"/>
        <v>129.64783639158117</v>
      </c>
      <c r="T411" s="9" t="s">
        <v>76</v>
      </c>
      <c r="U411" s="10">
        <v>3999</v>
      </c>
      <c r="V411" s="10">
        <f t="shared" si="115"/>
        <v>2799.2999999999997</v>
      </c>
      <c r="W411" s="166">
        <v>490110</v>
      </c>
      <c r="X411" s="12" t="s">
        <v>27</v>
      </c>
      <c r="Y411" s="12">
        <f t="shared" si="116"/>
        <v>129.64783639158117</v>
      </c>
      <c r="Z411" s="13">
        <f t="shared" si="117"/>
        <v>129.64783639158117</v>
      </c>
      <c r="AA411" s="13">
        <f t="shared" si="118"/>
        <v>129.64783639158117</v>
      </c>
      <c r="AB411" s="13">
        <f t="shared" si="119"/>
        <v>19.66</v>
      </c>
      <c r="AC411" s="13">
        <f t="shared" si="120"/>
        <v>109.98783639158117</v>
      </c>
      <c r="AD411" s="14">
        <f t="shared" si="121"/>
        <v>0.84835844124216608</v>
      </c>
      <c r="AE411" s="14">
        <f t="shared" si="122"/>
        <v>5.594498290517862</v>
      </c>
      <c r="AF411" s="13" t="str">
        <f>IF(AD411&gt;=Assumptions!$B$3,"OK","Review")</f>
        <v>OK</v>
      </c>
      <c r="AG411" s="13">
        <f>IFERROR(IF(Assumptions!$B$13="Cost Price",AB411,AA411)*SUMIF(Assumptions!$A$6:$A$10,X411,Assumptions!$B$6:$B$10),0)</f>
        <v>10.371826911326494</v>
      </c>
      <c r="AH411" s="13">
        <f>IFERROR(IF(Assumptions!$B$13="Cost Price",AB411,AA411)*SUMIF(Assumptions!$A$6:$A$10,X411,Assumptions!$C$6:$C$10),0)</f>
        <v>6.4823918195790586</v>
      </c>
      <c r="AI411" s="13">
        <f>IFERROR(IF(Assumptions!$B$13="Cost Price",AB411,AA411)*SUMIF(Assumptions!$A$6:$A$10,X411,Assumptions!$D$6:$D$10),0)</f>
        <v>12.964783639158117</v>
      </c>
      <c r="AJ411" s="13">
        <v>20.362952454439949</v>
      </c>
      <c r="AK411" s="13">
        <f t="shared" si="123"/>
        <v>50.18195482450362</v>
      </c>
      <c r="AL411" s="14">
        <v>0.33</v>
      </c>
      <c r="AM411" s="13">
        <f t="shared" si="124"/>
        <v>59.805881567077549</v>
      </c>
      <c r="AN411" s="14">
        <f t="shared" si="125"/>
        <v>0.46129486794089775</v>
      </c>
      <c r="AO411" t="str">
        <f>IF(AN411&gt;=Assumptions!$B$3,"OK","Review")</f>
        <v>OK</v>
      </c>
    </row>
    <row r="412" spans="1:41" ht="15" customHeight="1">
      <c r="A412" s="9" t="s">
        <v>256</v>
      </c>
      <c r="B412" s="9" t="s">
        <v>44</v>
      </c>
      <c r="C412" s="9" t="s">
        <v>205</v>
      </c>
      <c r="D412" s="9" t="s">
        <v>222</v>
      </c>
      <c r="E412" s="9" t="s">
        <v>73</v>
      </c>
      <c r="F412" s="9" t="s">
        <v>81</v>
      </c>
      <c r="G412" s="9" t="s">
        <v>24</v>
      </c>
      <c r="H412" s="9" t="s">
        <v>84</v>
      </c>
      <c r="I412" s="9">
        <v>4000011828</v>
      </c>
      <c r="J412" s="10">
        <v>48.71</v>
      </c>
      <c r="K412" s="10"/>
      <c r="L412" s="10">
        <f t="shared" si="108"/>
        <v>48.71</v>
      </c>
      <c r="M412" s="11">
        <v>0</v>
      </c>
      <c r="N412" s="10">
        <f t="shared" si="109"/>
        <v>0</v>
      </c>
      <c r="O412" s="10">
        <f t="shared" si="110"/>
        <v>48.71</v>
      </c>
      <c r="P412" s="11">
        <f t="shared" si="111"/>
        <v>0.15278692638248487</v>
      </c>
      <c r="Q412" s="10">
        <f t="shared" si="112"/>
        <v>318.81</v>
      </c>
      <c r="R412" s="10">
        <f t="shared" si="113"/>
        <v>2102.3919999999998</v>
      </c>
      <c r="S412" s="10">
        <f t="shared" si="114"/>
        <v>321.2180117311251</v>
      </c>
      <c r="T412" s="9" t="s">
        <v>76</v>
      </c>
      <c r="U412" s="10">
        <v>3999</v>
      </c>
      <c r="V412" s="10">
        <f t="shared" si="115"/>
        <v>2799.2999999999997</v>
      </c>
      <c r="W412" s="166">
        <v>490110</v>
      </c>
      <c r="X412" s="12" t="s">
        <v>27</v>
      </c>
      <c r="Y412" s="12">
        <f t="shared" si="116"/>
        <v>321.2180117311251</v>
      </c>
      <c r="Z412" s="13">
        <f t="shared" si="117"/>
        <v>321.2180117311251</v>
      </c>
      <c r="AA412" s="13">
        <f t="shared" si="118"/>
        <v>321.2180117311251</v>
      </c>
      <c r="AB412" s="13">
        <f t="shared" si="119"/>
        <v>48.71</v>
      </c>
      <c r="AC412" s="13">
        <f t="shared" si="120"/>
        <v>272.50801173112512</v>
      </c>
      <c r="AD412" s="14">
        <f t="shared" si="121"/>
        <v>0.84835844124216608</v>
      </c>
      <c r="AE412" s="14">
        <f t="shared" si="122"/>
        <v>5.5944982905178628</v>
      </c>
      <c r="AF412" s="13" t="str">
        <f>IF(AD412&gt;=Assumptions!$B$3,"OK","Review")</f>
        <v>OK</v>
      </c>
      <c r="AG412" s="13">
        <f>IFERROR(IF(Assumptions!$B$13="Cost Price",AB412,AA412)*SUMIF(Assumptions!$A$6:$A$10,X412,Assumptions!$B$6:$B$10),0)</f>
        <v>25.697440938490008</v>
      </c>
      <c r="AH412" s="13">
        <f>IFERROR(IF(Assumptions!$B$13="Cost Price",AB412,AA412)*SUMIF(Assumptions!$A$6:$A$10,X412,Assumptions!$C$6:$C$10),0)</f>
        <v>16.060900586556254</v>
      </c>
      <c r="AI412" s="13">
        <f>IFERROR(IF(Assumptions!$B$13="Cost Price",AB412,AA412)*SUMIF(Assumptions!$A$6:$A$10,X412,Assumptions!$D$6:$D$10),0)</f>
        <v>32.121801173112509</v>
      </c>
      <c r="AJ412" s="13">
        <v>50.451648731219223</v>
      </c>
      <c r="AK412" s="13">
        <f t="shared" si="123"/>
        <v>124.331791429378</v>
      </c>
      <c r="AL412" s="14">
        <v>0.33</v>
      </c>
      <c r="AM412" s="13">
        <f t="shared" si="124"/>
        <v>148.17622030174712</v>
      </c>
      <c r="AN412" s="14">
        <f t="shared" si="125"/>
        <v>0.4612948679408978</v>
      </c>
      <c r="AO412" t="str">
        <f>IF(AN412&gt;=Assumptions!$B$3,"OK","Review")</f>
        <v>OK</v>
      </c>
    </row>
    <row r="413" spans="1:41" ht="15" customHeight="1">
      <c r="A413" s="9" t="s">
        <v>256</v>
      </c>
      <c r="B413" s="9" t="s">
        <v>44</v>
      </c>
      <c r="C413" s="9" t="s">
        <v>205</v>
      </c>
      <c r="D413" s="9" t="s">
        <v>223</v>
      </c>
      <c r="E413" s="9" t="s">
        <v>73</v>
      </c>
      <c r="F413" s="9" t="s">
        <v>81</v>
      </c>
      <c r="G413" s="9" t="s">
        <v>24</v>
      </c>
      <c r="H413" s="9" t="s">
        <v>84</v>
      </c>
      <c r="I413" s="9">
        <v>4000011829</v>
      </c>
      <c r="J413" s="10">
        <v>18.12</v>
      </c>
      <c r="K413" s="10"/>
      <c r="L413" s="10">
        <f t="shared" si="108"/>
        <v>18.12</v>
      </c>
      <c r="M413" s="11">
        <v>0</v>
      </c>
      <c r="N413" s="10">
        <f t="shared" si="109"/>
        <v>0</v>
      </c>
      <c r="O413" s="10">
        <f t="shared" si="110"/>
        <v>18.12</v>
      </c>
      <c r="P413" s="11">
        <f t="shared" si="111"/>
        <v>5.6836360214547854E-2</v>
      </c>
      <c r="Q413" s="10">
        <f t="shared" si="112"/>
        <v>318.81</v>
      </c>
      <c r="R413" s="10">
        <f t="shared" si="113"/>
        <v>2102.3919999999998</v>
      </c>
      <c r="S413" s="10">
        <f t="shared" si="114"/>
        <v>119.49230902418368</v>
      </c>
      <c r="T413" s="9" t="s">
        <v>76</v>
      </c>
      <c r="U413" s="10">
        <v>3999</v>
      </c>
      <c r="V413" s="10">
        <f t="shared" si="115"/>
        <v>2799.2999999999997</v>
      </c>
      <c r="W413" s="166">
        <v>490110</v>
      </c>
      <c r="X413" s="12" t="s">
        <v>27</v>
      </c>
      <c r="Y413" s="12">
        <f t="shared" si="116"/>
        <v>119.49230902418368</v>
      </c>
      <c r="Z413" s="13">
        <f t="shared" si="117"/>
        <v>119.49230902418368</v>
      </c>
      <c r="AA413" s="13">
        <f t="shared" si="118"/>
        <v>119.49230902418368</v>
      </c>
      <c r="AB413" s="13">
        <f t="shared" si="119"/>
        <v>18.12</v>
      </c>
      <c r="AC413" s="13">
        <f t="shared" si="120"/>
        <v>101.37230902418368</v>
      </c>
      <c r="AD413" s="14">
        <f t="shared" si="121"/>
        <v>0.84835844124216608</v>
      </c>
      <c r="AE413" s="14">
        <f t="shared" si="122"/>
        <v>5.5944982905178628</v>
      </c>
      <c r="AF413" s="13" t="str">
        <f>IF(AD413&gt;=Assumptions!$B$3,"OK","Review")</f>
        <v>OK</v>
      </c>
      <c r="AG413" s="13">
        <f>IFERROR(IF(Assumptions!$B$13="Cost Price",AB413,AA413)*SUMIF(Assumptions!$A$6:$A$10,X413,Assumptions!$B$6:$B$10),0)</f>
        <v>9.5593847219346948</v>
      </c>
      <c r="AH413" s="13">
        <f>IFERROR(IF(Assumptions!$B$13="Cost Price",AB413,AA413)*SUMIF(Assumptions!$A$6:$A$10,X413,Assumptions!$C$6:$C$10),0)</f>
        <v>5.9746154512091847</v>
      </c>
      <c r="AI413" s="13">
        <f>IFERROR(IF(Assumptions!$B$13="Cost Price",AB413,AA413)*SUMIF(Assumptions!$A$6:$A$10,X413,Assumptions!$D$6:$D$10),0)</f>
        <v>11.949230902418369</v>
      </c>
      <c r="AJ413" s="13">
        <v>18.767889037357676</v>
      </c>
      <c r="AK413" s="13">
        <f t="shared" si="123"/>
        <v>46.251120112919928</v>
      </c>
      <c r="AL413" s="14">
        <v>0.33</v>
      </c>
      <c r="AM413" s="13">
        <f t="shared" si="124"/>
        <v>55.121188911263751</v>
      </c>
      <c r="AN413" s="14">
        <f t="shared" si="125"/>
        <v>0.46129486794089769</v>
      </c>
      <c r="AO413" t="str">
        <f>IF(AN413&gt;=Assumptions!$B$3,"OK","Review")</f>
        <v>OK</v>
      </c>
    </row>
    <row r="414" spans="1:41" ht="15" customHeight="1">
      <c r="A414" s="9" t="s">
        <v>256</v>
      </c>
      <c r="B414" s="9" t="s">
        <v>44</v>
      </c>
      <c r="C414" s="9" t="s">
        <v>243</v>
      </c>
      <c r="D414" s="9" t="s">
        <v>253</v>
      </c>
      <c r="E414" s="9" t="s">
        <v>73</v>
      </c>
      <c r="F414" s="9" t="s">
        <v>90</v>
      </c>
      <c r="G414" s="9" t="s">
        <v>24</v>
      </c>
      <c r="H414" s="9" t="s">
        <v>75</v>
      </c>
      <c r="I414" s="9">
        <v>7000001009</v>
      </c>
      <c r="J414" s="10">
        <v>189.3</v>
      </c>
      <c r="K414" s="10">
        <v>10</v>
      </c>
      <c r="L414" s="10">
        <f t="shared" si="108"/>
        <v>199.3</v>
      </c>
      <c r="M414" s="11">
        <v>0.18</v>
      </c>
      <c r="N414" s="10">
        <f t="shared" si="109"/>
        <v>35.874000000000002</v>
      </c>
      <c r="O414" s="10">
        <f t="shared" si="110"/>
        <v>235.17400000000001</v>
      </c>
      <c r="P414" s="11">
        <f t="shared" si="111"/>
        <v>0.67490687436505248</v>
      </c>
      <c r="Q414" s="10">
        <f t="shared" si="112"/>
        <v>348.45400000000001</v>
      </c>
      <c r="R414" s="10">
        <f t="shared" si="113"/>
        <v>2102.3919999999998</v>
      </c>
      <c r="S414" s="10">
        <f t="shared" si="114"/>
        <v>235.17400000000001</v>
      </c>
      <c r="T414" s="9" t="s">
        <v>91</v>
      </c>
      <c r="U414" s="10">
        <v>3999</v>
      </c>
      <c r="V414" s="10">
        <f t="shared" si="115"/>
        <v>2799.2999999999997</v>
      </c>
      <c r="W414" s="166">
        <v>49119990</v>
      </c>
      <c r="X414" s="12" t="s">
        <v>27</v>
      </c>
      <c r="Y414" s="12">
        <f t="shared" si="116"/>
        <v>235.17400000000001</v>
      </c>
      <c r="Z414" s="13">
        <f t="shared" si="117"/>
        <v>235.17400000000001</v>
      </c>
      <c r="AA414" s="13">
        <f t="shared" si="118"/>
        <v>199.3</v>
      </c>
      <c r="AB414" s="13">
        <f t="shared" si="119"/>
        <v>189.3</v>
      </c>
      <c r="AC414" s="13">
        <f t="shared" si="120"/>
        <v>10</v>
      </c>
      <c r="AD414" s="14">
        <f t="shared" si="121"/>
        <v>5.0175614651279475E-2</v>
      </c>
      <c r="AE414" s="14">
        <f t="shared" si="122"/>
        <v>5.2826201796090856E-2</v>
      </c>
      <c r="AF414" s="13" t="str">
        <f>IF(AD414&gt;=Assumptions!$B$3,"OK","Review")</f>
        <v>Review</v>
      </c>
      <c r="AG414" s="13">
        <f>IFERROR(IF(Assumptions!$B$13="Cost Price",AB414,AA414)*SUMIF(Assumptions!$A$6:$A$10,X414,Assumptions!$B$6:$B$10),0)</f>
        <v>15.944000000000001</v>
      </c>
      <c r="AH414" s="13">
        <f>IFERROR(IF(Assumptions!$B$13="Cost Price",AB414,AA414)*SUMIF(Assumptions!$A$6:$A$10,X414,Assumptions!$C$6:$C$10),0)</f>
        <v>9.9650000000000016</v>
      </c>
      <c r="AI414" s="13">
        <f>IFERROR(IF(Assumptions!$B$13="Cost Price",AB414,AA414)*SUMIF(Assumptions!$A$6:$A$10,X414,Assumptions!$D$6:$D$10),0)</f>
        <v>19.930000000000003</v>
      </c>
      <c r="AJ414" s="13">
        <v>19.930000000000003</v>
      </c>
      <c r="AK414" s="13">
        <f t="shared" si="123"/>
        <v>65.769000000000005</v>
      </c>
      <c r="AL414" s="14">
        <v>0.33</v>
      </c>
      <c r="AM414" s="13">
        <f t="shared" si="124"/>
        <v>-55.769000000000005</v>
      </c>
      <c r="AN414" s="14">
        <f t="shared" si="125"/>
        <v>-0.27982438534872051</v>
      </c>
      <c r="AO414" t="str">
        <f>IF(AN414&gt;=Assumptions!$B$3,"OK","Review")</f>
        <v>Review</v>
      </c>
    </row>
    <row r="415" spans="1:41" ht="15" customHeight="1">
      <c r="A415" s="9" t="s">
        <v>256</v>
      </c>
      <c r="B415" s="9" t="s">
        <v>44</v>
      </c>
      <c r="C415" s="9" t="s">
        <v>92</v>
      </c>
      <c r="D415" s="9" t="s">
        <v>93</v>
      </c>
      <c r="E415" s="9" t="s">
        <v>73</v>
      </c>
      <c r="F415" s="9" t="s">
        <v>94</v>
      </c>
      <c r="G415" s="9" t="s">
        <v>24</v>
      </c>
      <c r="H415" s="9" t="s">
        <v>75</v>
      </c>
      <c r="I415" s="9">
        <v>8400007</v>
      </c>
      <c r="J415" s="10">
        <v>96</v>
      </c>
      <c r="K415" s="10"/>
      <c r="L415" s="10">
        <f t="shared" si="108"/>
        <v>96</v>
      </c>
      <c r="M415" s="11">
        <v>0.18</v>
      </c>
      <c r="N415" s="10">
        <f t="shared" si="109"/>
        <v>17.28</v>
      </c>
      <c r="O415" s="10">
        <f t="shared" si="110"/>
        <v>113.28</v>
      </c>
      <c r="P415" s="11">
        <f t="shared" si="111"/>
        <v>0.32509312563494752</v>
      </c>
      <c r="Q415" s="10">
        <f t="shared" si="112"/>
        <v>348.45400000000001</v>
      </c>
      <c r="R415" s="10">
        <f t="shared" si="113"/>
        <v>2102.3919999999998</v>
      </c>
      <c r="S415" s="10">
        <f t="shared" si="114"/>
        <v>113.28</v>
      </c>
      <c r="T415" s="9" t="s">
        <v>91</v>
      </c>
      <c r="U415" s="10">
        <v>3999</v>
      </c>
      <c r="V415" s="10">
        <f t="shared" si="115"/>
        <v>2799.2999999999997</v>
      </c>
      <c r="W415" s="166">
        <v>999299</v>
      </c>
      <c r="X415" s="12" t="s">
        <v>27</v>
      </c>
      <c r="Y415" s="12">
        <f t="shared" si="116"/>
        <v>113.28</v>
      </c>
      <c r="Z415" s="13">
        <f t="shared" si="117"/>
        <v>113.28</v>
      </c>
      <c r="AA415" s="13">
        <f t="shared" si="118"/>
        <v>96</v>
      </c>
      <c r="AB415" s="13">
        <f t="shared" si="119"/>
        <v>96</v>
      </c>
      <c r="AC415" s="13">
        <f t="shared" si="120"/>
        <v>0</v>
      </c>
      <c r="AD415" s="14">
        <f t="shared" si="121"/>
        <v>0</v>
      </c>
      <c r="AE415" s="14">
        <f t="shared" si="122"/>
        <v>0</v>
      </c>
      <c r="AF415" s="13" t="str">
        <f>IF(AD415&gt;=Assumptions!$B$3,"OK","Review")</f>
        <v>Review</v>
      </c>
      <c r="AG415" s="13">
        <f>IFERROR(IF(Assumptions!$B$13="Cost Price",AB415,AA415)*SUMIF(Assumptions!$A$6:$A$10,X415,Assumptions!$B$6:$B$10),0)</f>
        <v>7.68</v>
      </c>
      <c r="AH415" s="13">
        <f>IFERROR(IF(Assumptions!$B$13="Cost Price",AB415,AA415)*SUMIF(Assumptions!$A$6:$A$10,X415,Assumptions!$C$6:$C$10),0)</f>
        <v>4.8000000000000007</v>
      </c>
      <c r="AI415" s="13">
        <f>IFERROR(IF(Assumptions!$B$13="Cost Price",AB415,AA415)*SUMIF(Assumptions!$A$6:$A$10,X415,Assumptions!$D$6:$D$10),0)</f>
        <v>9.6000000000000014</v>
      </c>
      <c r="AJ415" s="13">
        <v>9.6000000000000014</v>
      </c>
      <c r="AK415" s="13">
        <f t="shared" si="123"/>
        <v>31.680000000000003</v>
      </c>
      <c r="AL415" s="14">
        <v>0.33</v>
      </c>
      <c r="AM415" s="13">
        <f t="shared" si="124"/>
        <v>-31.680000000000003</v>
      </c>
      <c r="AN415" s="14">
        <f t="shared" si="125"/>
        <v>-0.33</v>
      </c>
      <c r="AO415" t="str">
        <f>IF(AN415&gt;=Assumptions!$B$3,"OK","Review")</f>
        <v>Review</v>
      </c>
    </row>
    <row r="416" spans="1:41" ht="15" customHeight="1">
      <c r="A416" s="9" t="s">
        <v>256</v>
      </c>
      <c r="B416" s="9" t="s">
        <v>45</v>
      </c>
      <c r="C416" s="9" t="s">
        <v>198</v>
      </c>
      <c r="D416" s="9" t="s">
        <v>225</v>
      </c>
      <c r="E416" s="9" t="s">
        <v>73</v>
      </c>
      <c r="F416" s="9" t="s">
        <v>74</v>
      </c>
      <c r="G416" s="9" t="s">
        <v>24</v>
      </c>
      <c r="H416" s="9" t="s">
        <v>75</v>
      </c>
      <c r="I416" s="9">
        <v>4000011830</v>
      </c>
      <c r="J416" s="10">
        <v>16.68</v>
      </c>
      <c r="K416" s="10"/>
      <c r="L416" s="10">
        <f t="shared" si="108"/>
        <v>16.68</v>
      </c>
      <c r="M416" s="11">
        <v>0</v>
      </c>
      <c r="N416" s="10">
        <f t="shared" si="109"/>
        <v>0</v>
      </c>
      <c r="O416" s="10">
        <f t="shared" si="110"/>
        <v>16.68</v>
      </c>
      <c r="P416" s="11">
        <f t="shared" si="111"/>
        <v>6.6356367108246814E-2</v>
      </c>
      <c r="Q416" s="10">
        <f t="shared" si="112"/>
        <v>251.36999999999998</v>
      </c>
      <c r="R416" s="10">
        <f t="shared" si="113"/>
        <v>2120.7999999999997</v>
      </c>
      <c r="S416" s="10">
        <f t="shared" si="114"/>
        <v>140.72858336316983</v>
      </c>
      <c r="T416" s="9" t="s">
        <v>76</v>
      </c>
      <c r="U416" s="10">
        <v>3999</v>
      </c>
      <c r="V416" s="10">
        <f t="shared" si="115"/>
        <v>2799.2999999999997</v>
      </c>
      <c r="W416" s="166">
        <v>490110</v>
      </c>
      <c r="X416" s="12" t="s">
        <v>27</v>
      </c>
      <c r="Y416" s="12">
        <f t="shared" si="116"/>
        <v>140.72858336316983</v>
      </c>
      <c r="Z416" s="13">
        <f t="shared" si="117"/>
        <v>140.72858336316983</v>
      </c>
      <c r="AA416" s="13">
        <f t="shared" si="118"/>
        <v>140.72858336316983</v>
      </c>
      <c r="AB416" s="13">
        <f t="shared" si="119"/>
        <v>16.68</v>
      </c>
      <c r="AC416" s="13">
        <f t="shared" si="120"/>
        <v>124.04858336316983</v>
      </c>
      <c r="AD416" s="14">
        <f t="shared" si="121"/>
        <v>0.8814739720860052</v>
      </c>
      <c r="AE416" s="14">
        <f t="shared" si="122"/>
        <v>7.4369654294466327</v>
      </c>
      <c r="AF416" s="13" t="str">
        <f>IF(AD416&gt;=Assumptions!$B$3,"OK","Review")</f>
        <v>OK</v>
      </c>
      <c r="AG416" s="13">
        <f>IFERROR(IF(Assumptions!$B$13="Cost Price",AB416,AA416)*SUMIF(Assumptions!$A$6:$A$10,X416,Assumptions!$B$6:$B$10),0)</f>
        <v>11.258286669053588</v>
      </c>
      <c r="AH416" s="13">
        <f>IFERROR(IF(Assumptions!$B$13="Cost Price",AB416,AA416)*SUMIF(Assumptions!$A$6:$A$10,X416,Assumptions!$C$6:$C$10),0)</f>
        <v>7.0364291681584916</v>
      </c>
      <c r="AI416" s="13">
        <f>IFERROR(IF(Assumptions!$B$13="Cost Price",AB416,AA416)*SUMIF(Assumptions!$A$6:$A$10,X416,Assumptions!$D$6:$D$10),0)</f>
        <v>14.072858336316983</v>
      </c>
      <c r="AJ416" s="13">
        <v>22.033631698293355</v>
      </c>
      <c r="AK416" s="13">
        <f t="shared" si="123"/>
        <v>54.40120587182242</v>
      </c>
      <c r="AL416" s="14">
        <v>0.33</v>
      </c>
      <c r="AM416" s="13">
        <f t="shared" si="124"/>
        <v>69.647377491347413</v>
      </c>
      <c r="AN416" s="14">
        <f t="shared" si="125"/>
        <v>0.4949056959637872</v>
      </c>
      <c r="AO416" t="str">
        <f>IF(AN416&gt;=Assumptions!$B$3,"OK","Review")</f>
        <v>OK</v>
      </c>
    </row>
    <row r="417" spans="1:41" ht="15" customHeight="1">
      <c r="A417" s="9" t="s">
        <v>256</v>
      </c>
      <c r="B417" s="9" t="s">
        <v>45</v>
      </c>
      <c r="C417" s="9" t="s">
        <v>200</v>
      </c>
      <c r="D417" s="9" t="s">
        <v>226</v>
      </c>
      <c r="E417" s="9" t="s">
        <v>73</v>
      </c>
      <c r="F417" s="9" t="s">
        <v>74</v>
      </c>
      <c r="G417" s="9" t="s">
        <v>24</v>
      </c>
      <c r="H417" s="9" t="s">
        <v>75</v>
      </c>
      <c r="I417" s="9">
        <v>4000011831</v>
      </c>
      <c r="J417" s="10">
        <v>14.95</v>
      </c>
      <c r="K417" s="10"/>
      <c r="L417" s="10">
        <f t="shared" si="108"/>
        <v>14.95</v>
      </c>
      <c r="M417" s="11">
        <v>0</v>
      </c>
      <c r="N417" s="10">
        <f t="shared" si="109"/>
        <v>0</v>
      </c>
      <c r="O417" s="10">
        <f t="shared" si="110"/>
        <v>14.95</v>
      </c>
      <c r="P417" s="11">
        <f t="shared" si="111"/>
        <v>5.9474082030473011E-2</v>
      </c>
      <c r="Q417" s="10">
        <f t="shared" si="112"/>
        <v>251.36999999999998</v>
      </c>
      <c r="R417" s="10">
        <f t="shared" si="113"/>
        <v>2120.7999999999997</v>
      </c>
      <c r="S417" s="10">
        <f t="shared" si="114"/>
        <v>126.13263317022714</v>
      </c>
      <c r="T417" s="9" t="s">
        <v>76</v>
      </c>
      <c r="U417" s="10">
        <v>3999</v>
      </c>
      <c r="V417" s="10">
        <f t="shared" si="115"/>
        <v>2799.2999999999997</v>
      </c>
      <c r="W417" s="166">
        <v>490110</v>
      </c>
      <c r="X417" s="12" t="s">
        <v>27</v>
      </c>
      <c r="Y417" s="12">
        <f t="shared" si="116"/>
        <v>126.13263317022714</v>
      </c>
      <c r="Z417" s="13">
        <f t="shared" si="117"/>
        <v>126.13263317022714</v>
      </c>
      <c r="AA417" s="13">
        <f t="shared" si="118"/>
        <v>126.13263317022714</v>
      </c>
      <c r="AB417" s="13">
        <f t="shared" si="119"/>
        <v>14.95</v>
      </c>
      <c r="AC417" s="13">
        <f t="shared" si="120"/>
        <v>111.18263317022713</v>
      </c>
      <c r="AD417" s="14">
        <f t="shared" si="121"/>
        <v>0.8814739720860052</v>
      </c>
      <c r="AE417" s="14">
        <f t="shared" si="122"/>
        <v>7.4369654294466319</v>
      </c>
      <c r="AF417" s="13" t="str">
        <f>IF(AD417&gt;=Assumptions!$B$3,"OK","Review")</f>
        <v>OK</v>
      </c>
      <c r="AG417" s="13">
        <f>IFERROR(IF(Assumptions!$B$13="Cost Price",AB417,AA417)*SUMIF(Assumptions!$A$6:$A$10,X417,Assumptions!$B$6:$B$10),0)</f>
        <v>10.090610653618171</v>
      </c>
      <c r="AH417" s="13">
        <f>IFERROR(IF(Assumptions!$B$13="Cost Price",AB417,AA417)*SUMIF(Assumptions!$A$6:$A$10,X417,Assumptions!$C$6:$C$10),0)</f>
        <v>6.3066316585113569</v>
      </c>
      <c r="AI417" s="13">
        <f>IFERROR(IF(Assumptions!$B$13="Cost Price",AB417,AA417)*SUMIF(Assumptions!$A$6:$A$10,X417,Assumptions!$D$6:$D$10),0)</f>
        <v>12.613263317022714</v>
      </c>
      <c r="AJ417" s="13">
        <v>19.748368938218565</v>
      </c>
      <c r="AK417" s="13">
        <f t="shared" si="123"/>
        <v>48.75887456737081</v>
      </c>
      <c r="AL417" s="14">
        <v>0.33</v>
      </c>
      <c r="AM417" s="13">
        <f t="shared" si="124"/>
        <v>62.423758602856324</v>
      </c>
      <c r="AN417" s="14">
        <f t="shared" si="125"/>
        <v>0.49490569596378714</v>
      </c>
      <c r="AO417" t="str">
        <f>IF(AN417&gt;=Assumptions!$B$3,"OK","Review")</f>
        <v>OK</v>
      </c>
    </row>
    <row r="418" spans="1:41" ht="15" customHeight="1">
      <c r="A418" s="9" t="s">
        <v>256</v>
      </c>
      <c r="B418" s="9" t="s">
        <v>45</v>
      </c>
      <c r="C418" s="9" t="s">
        <v>202</v>
      </c>
      <c r="D418" s="9" t="s">
        <v>227</v>
      </c>
      <c r="E418" s="9" t="s">
        <v>73</v>
      </c>
      <c r="F418" s="9" t="s">
        <v>81</v>
      </c>
      <c r="G418" s="9" t="s">
        <v>24</v>
      </c>
      <c r="H418" s="9" t="s">
        <v>75</v>
      </c>
      <c r="I418" s="9">
        <v>4000011832</v>
      </c>
      <c r="J418" s="10">
        <v>29.82</v>
      </c>
      <c r="K418" s="10"/>
      <c r="L418" s="10">
        <f t="shared" si="108"/>
        <v>29.82</v>
      </c>
      <c r="M418" s="11">
        <v>0</v>
      </c>
      <c r="N418" s="10">
        <f t="shared" si="109"/>
        <v>0</v>
      </c>
      <c r="O418" s="10">
        <f t="shared" si="110"/>
        <v>29.82</v>
      </c>
      <c r="P418" s="11">
        <f t="shared" si="111"/>
        <v>0.11862990810359232</v>
      </c>
      <c r="Q418" s="10">
        <f t="shared" si="112"/>
        <v>251.36999999999998</v>
      </c>
      <c r="R418" s="10">
        <f t="shared" si="113"/>
        <v>2120.7999999999997</v>
      </c>
      <c r="S418" s="10">
        <f t="shared" si="114"/>
        <v>251.59030910609857</v>
      </c>
      <c r="T418" s="9" t="s">
        <v>76</v>
      </c>
      <c r="U418" s="10">
        <v>3999</v>
      </c>
      <c r="V418" s="10">
        <f t="shared" si="115"/>
        <v>2799.2999999999997</v>
      </c>
      <c r="W418" s="166">
        <v>490110</v>
      </c>
      <c r="X418" s="12" t="s">
        <v>27</v>
      </c>
      <c r="Y418" s="12">
        <f t="shared" si="116"/>
        <v>251.59030910609857</v>
      </c>
      <c r="Z418" s="13">
        <f t="shared" si="117"/>
        <v>251.59030910609857</v>
      </c>
      <c r="AA418" s="13">
        <f t="shared" si="118"/>
        <v>251.59030910609857</v>
      </c>
      <c r="AB418" s="13">
        <f t="shared" si="119"/>
        <v>29.82</v>
      </c>
      <c r="AC418" s="13">
        <f t="shared" si="120"/>
        <v>221.77030910609858</v>
      </c>
      <c r="AD418" s="14">
        <f t="shared" si="121"/>
        <v>0.88147397208600531</v>
      </c>
      <c r="AE418" s="14">
        <f t="shared" si="122"/>
        <v>7.4369654294466327</v>
      </c>
      <c r="AF418" s="13" t="str">
        <f>IF(AD418&gt;=Assumptions!$B$3,"OK","Review")</f>
        <v>OK</v>
      </c>
      <c r="AG418" s="13">
        <f>IFERROR(IF(Assumptions!$B$13="Cost Price",AB418,AA418)*SUMIF(Assumptions!$A$6:$A$10,X418,Assumptions!$B$6:$B$10),0)</f>
        <v>20.127224728487885</v>
      </c>
      <c r="AH418" s="13">
        <f>IFERROR(IF(Assumptions!$B$13="Cost Price",AB418,AA418)*SUMIF(Assumptions!$A$6:$A$10,X418,Assumptions!$C$6:$C$10),0)</f>
        <v>12.579515455304929</v>
      </c>
      <c r="AI418" s="13">
        <f>IFERROR(IF(Assumptions!$B$13="Cost Price",AB418,AA418)*SUMIF(Assumptions!$A$6:$A$10,X418,Assumptions!$D$6:$D$10),0)</f>
        <v>25.159030910609857</v>
      </c>
      <c r="AJ418" s="13">
        <v>39.391060985797836</v>
      </c>
      <c r="AK418" s="13">
        <f t="shared" si="123"/>
        <v>97.25683208020051</v>
      </c>
      <c r="AL418" s="14">
        <v>0.33</v>
      </c>
      <c r="AM418" s="13">
        <f t="shared" si="124"/>
        <v>124.51347702589807</v>
      </c>
      <c r="AN418" s="14">
        <f t="shared" si="125"/>
        <v>0.49490569596378725</v>
      </c>
      <c r="AO418" t="str">
        <f>IF(AN418&gt;=Assumptions!$B$3,"OK","Review")</f>
        <v>OK</v>
      </c>
    </row>
    <row r="419" spans="1:41" ht="15" customHeight="1">
      <c r="A419" s="9" t="s">
        <v>256</v>
      </c>
      <c r="B419" s="9" t="s">
        <v>45</v>
      </c>
      <c r="C419" s="9" t="s">
        <v>202</v>
      </c>
      <c r="D419" s="9" t="s">
        <v>228</v>
      </c>
      <c r="E419" s="9" t="s">
        <v>73</v>
      </c>
      <c r="F419" s="9" t="s">
        <v>74</v>
      </c>
      <c r="G419" s="9" t="s">
        <v>24</v>
      </c>
      <c r="H419" s="9" t="s">
        <v>75</v>
      </c>
      <c r="I419" s="9">
        <v>4000011833</v>
      </c>
      <c r="J419" s="10">
        <v>12.45</v>
      </c>
      <c r="K419" s="10"/>
      <c r="L419" s="10">
        <f t="shared" si="108"/>
        <v>12.45</v>
      </c>
      <c r="M419" s="11">
        <v>0</v>
      </c>
      <c r="N419" s="10">
        <f t="shared" si="109"/>
        <v>0</v>
      </c>
      <c r="O419" s="10">
        <f t="shared" si="110"/>
        <v>12.45</v>
      </c>
      <c r="P419" s="11">
        <f t="shared" si="111"/>
        <v>4.9528583363169829E-2</v>
      </c>
      <c r="Q419" s="10">
        <f t="shared" si="112"/>
        <v>251.36999999999998</v>
      </c>
      <c r="R419" s="10">
        <f t="shared" si="113"/>
        <v>2120.7999999999997</v>
      </c>
      <c r="S419" s="10">
        <f t="shared" si="114"/>
        <v>105.04021959661056</v>
      </c>
      <c r="T419" s="9" t="s">
        <v>76</v>
      </c>
      <c r="U419" s="10">
        <v>3999</v>
      </c>
      <c r="V419" s="10">
        <f t="shared" si="115"/>
        <v>2799.2999999999997</v>
      </c>
      <c r="W419" s="166">
        <v>490110</v>
      </c>
      <c r="X419" s="12" t="s">
        <v>27</v>
      </c>
      <c r="Y419" s="12">
        <f t="shared" si="116"/>
        <v>105.04021959661056</v>
      </c>
      <c r="Z419" s="13">
        <f t="shared" si="117"/>
        <v>105.04021959661056</v>
      </c>
      <c r="AA419" s="13">
        <f t="shared" si="118"/>
        <v>105.04021959661056</v>
      </c>
      <c r="AB419" s="13">
        <f t="shared" si="119"/>
        <v>12.45</v>
      </c>
      <c r="AC419" s="13">
        <f t="shared" si="120"/>
        <v>92.590219596610552</v>
      </c>
      <c r="AD419" s="14">
        <f t="shared" si="121"/>
        <v>0.8814739720860052</v>
      </c>
      <c r="AE419" s="14">
        <f t="shared" si="122"/>
        <v>7.436965429446631</v>
      </c>
      <c r="AF419" s="13" t="str">
        <f>IF(AD419&gt;=Assumptions!$B$3,"OK","Review")</f>
        <v>OK</v>
      </c>
      <c r="AG419" s="13">
        <f>IFERROR(IF(Assumptions!$B$13="Cost Price",AB419,AA419)*SUMIF(Assumptions!$A$6:$A$10,X419,Assumptions!$B$6:$B$10),0)</f>
        <v>8.403217567728845</v>
      </c>
      <c r="AH419" s="13">
        <f>IFERROR(IF(Assumptions!$B$13="Cost Price",AB419,AA419)*SUMIF(Assumptions!$A$6:$A$10,X419,Assumptions!$C$6:$C$10),0)</f>
        <v>5.2520109798305281</v>
      </c>
      <c r="AI419" s="13">
        <f>IFERROR(IF(Assumptions!$B$13="Cost Price",AB419,AA419)*SUMIF(Assumptions!$A$6:$A$10,X419,Assumptions!$D$6:$D$10),0)</f>
        <v>10.504021959661056</v>
      </c>
      <c r="AJ419" s="13">
        <v>16.445966105740542</v>
      </c>
      <c r="AK419" s="13">
        <f t="shared" si="123"/>
        <v>40.605216612960973</v>
      </c>
      <c r="AL419" s="14">
        <v>0.33</v>
      </c>
      <c r="AM419" s="13">
        <f t="shared" si="124"/>
        <v>51.985002983649579</v>
      </c>
      <c r="AN419" s="14">
        <f t="shared" si="125"/>
        <v>0.49490569596378714</v>
      </c>
      <c r="AO419" t="str">
        <f>IF(AN419&gt;=Assumptions!$B$3,"OK","Review")</f>
        <v>OK</v>
      </c>
    </row>
    <row r="420" spans="1:41" ht="15" customHeight="1">
      <c r="A420" s="9" t="s">
        <v>256</v>
      </c>
      <c r="B420" s="9" t="s">
        <v>45</v>
      </c>
      <c r="C420" s="9" t="s">
        <v>205</v>
      </c>
      <c r="D420" s="9" t="s">
        <v>229</v>
      </c>
      <c r="E420" s="9" t="s">
        <v>73</v>
      </c>
      <c r="F420" s="9" t="s">
        <v>74</v>
      </c>
      <c r="G420" s="9" t="s">
        <v>24</v>
      </c>
      <c r="H420" s="9" t="s">
        <v>75</v>
      </c>
      <c r="I420" s="9">
        <v>4000011834</v>
      </c>
      <c r="J420" s="10">
        <v>39.03</v>
      </c>
      <c r="K420" s="10"/>
      <c r="L420" s="10">
        <f t="shared" si="108"/>
        <v>39.03</v>
      </c>
      <c r="M420" s="11">
        <v>0</v>
      </c>
      <c r="N420" s="10">
        <f t="shared" si="109"/>
        <v>0</v>
      </c>
      <c r="O420" s="10">
        <f t="shared" si="110"/>
        <v>39.03</v>
      </c>
      <c r="P420" s="11">
        <f t="shared" si="111"/>
        <v>0.15526912519393724</v>
      </c>
      <c r="Q420" s="10">
        <f t="shared" si="112"/>
        <v>251.36999999999998</v>
      </c>
      <c r="R420" s="10">
        <f t="shared" si="113"/>
        <v>2120.7999999999997</v>
      </c>
      <c r="S420" s="10">
        <f t="shared" si="114"/>
        <v>329.29476071130205</v>
      </c>
      <c r="T420" s="9" t="s">
        <v>76</v>
      </c>
      <c r="U420" s="10">
        <v>3999</v>
      </c>
      <c r="V420" s="10">
        <f t="shared" si="115"/>
        <v>2799.2999999999997</v>
      </c>
      <c r="W420" s="166">
        <v>490110</v>
      </c>
      <c r="X420" s="12" t="s">
        <v>27</v>
      </c>
      <c r="Y420" s="12">
        <f t="shared" si="116"/>
        <v>329.29476071130205</v>
      </c>
      <c r="Z420" s="13">
        <f t="shared" si="117"/>
        <v>329.29476071130205</v>
      </c>
      <c r="AA420" s="13">
        <f t="shared" si="118"/>
        <v>329.29476071130205</v>
      </c>
      <c r="AB420" s="13">
        <f t="shared" si="119"/>
        <v>39.03</v>
      </c>
      <c r="AC420" s="13">
        <f t="shared" si="120"/>
        <v>290.26476071130207</v>
      </c>
      <c r="AD420" s="14">
        <f t="shared" si="121"/>
        <v>0.88147397208600531</v>
      </c>
      <c r="AE420" s="14">
        <f t="shared" si="122"/>
        <v>7.4369654294466327</v>
      </c>
      <c r="AF420" s="13" t="str">
        <f>IF(AD420&gt;=Assumptions!$B$3,"OK","Review")</f>
        <v>OK</v>
      </c>
      <c r="AG420" s="13">
        <f>IFERROR(IF(Assumptions!$B$13="Cost Price",AB420,AA420)*SUMIF(Assumptions!$A$6:$A$10,X420,Assumptions!$B$6:$B$10),0)</f>
        <v>26.343580856904165</v>
      </c>
      <c r="AH420" s="13">
        <f>IFERROR(IF(Assumptions!$B$13="Cost Price",AB420,AA420)*SUMIF(Assumptions!$A$6:$A$10,X420,Assumptions!$C$6:$C$10),0)</f>
        <v>16.464738035565102</v>
      </c>
      <c r="AI420" s="13">
        <f>IFERROR(IF(Assumptions!$B$13="Cost Price",AB420,AA420)*SUMIF(Assumptions!$A$6:$A$10,X420,Assumptions!$D$6:$D$10),0)</f>
        <v>32.929476071130203</v>
      </c>
      <c r="AJ420" s="13">
        <v>51.557113020646867</v>
      </c>
      <c r="AK420" s="13">
        <f t="shared" si="123"/>
        <v>127.29490798424634</v>
      </c>
      <c r="AL420" s="14">
        <v>0.33</v>
      </c>
      <c r="AM420" s="13">
        <f t="shared" si="124"/>
        <v>162.96985272705575</v>
      </c>
      <c r="AN420" s="14">
        <f t="shared" si="125"/>
        <v>0.49490569596378731</v>
      </c>
      <c r="AO420" t="str">
        <f>IF(AN420&gt;=Assumptions!$B$3,"OK","Review")</f>
        <v>OK</v>
      </c>
    </row>
    <row r="421" spans="1:41" ht="15" customHeight="1">
      <c r="A421" s="9" t="s">
        <v>256</v>
      </c>
      <c r="B421" s="9" t="s">
        <v>45</v>
      </c>
      <c r="C421" s="9" t="s">
        <v>205</v>
      </c>
      <c r="D421" s="9" t="s">
        <v>230</v>
      </c>
      <c r="E421" s="9" t="s">
        <v>73</v>
      </c>
      <c r="F421" s="9" t="s">
        <v>81</v>
      </c>
      <c r="G421" s="9" t="s">
        <v>24</v>
      </c>
      <c r="H421" s="9" t="s">
        <v>75</v>
      </c>
      <c r="I421" s="9">
        <v>4000011835</v>
      </c>
      <c r="J421" s="10">
        <v>14.04</v>
      </c>
      <c r="K421" s="10"/>
      <c r="L421" s="10">
        <f t="shared" si="108"/>
        <v>14.04</v>
      </c>
      <c r="M421" s="11">
        <v>0</v>
      </c>
      <c r="N421" s="10">
        <f t="shared" si="109"/>
        <v>0</v>
      </c>
      <c r="O421" s="10">
        <f t="shared" si="110"/>
        <v>14.04</v>
      </c>
      <c r="P421" s="11">
        <f t="shared" si="111"/>
        <v>5.5853920515574654E-2</v>
      </c>
      <c r="Q421" s="10">
        <f t="shared" si="112"/>
        <v>251.36999999999998</v>
      </c>
      <c r="R421" s="10">
        <f t="shared" si="113"/>
        <v>2120.7999999999997</v>
      </c>
      <c r="S421" s="10">
        <f t="shared" si="114"/>
        <v>118.45499462943071</v>
      </c>
      <c r="T421" s="9" t="s">
        <v>76</v>
      </c>
      <c r="U421" s="10">
        <v>3999</v>
      </c>
      <c r="V421" s="10">
        <f t="shared" si="115"/>
        <v>2799.2999999999997</v>
      </c>
      <c r="W421" s="166">
        <v>490110</v>
      </c>
      <c r="X421" s="12" t="s">
        <v>27</v>
      </c>
      <c r="Y421" s="12">
        <f t="shared" si="116"/>
        <v>118.45499462943071</v>
      </c>
      <c r="Z421" s="13">
        <f t="shared" si="117"/>
        <v>118.45499462943071</v>
      </c>
      <c r="AA421" s="13">
        <f t="shared" si="118"/>
        <v>118.45499462943071</v>
      </c>
      <c r="AB421" s="13">
        <f t="shared" si="119"/>
        <v>14.04</v>
      </c>
      <c r="AC421" s="13">
        <f t="shared" si="120"/>
        <v>104.41499462943071</v>
      </c>
      <c r="AD421" s="14">
        <f t="shared" si="121"/>
        <v>0.8814739720860052</v>
      </c>
      <c r="AE421" s="14">
        <f t="shared" si="122"/>
        <v>7.4369654294466319</v>
      </c>
      <c r="AF421" s="13" t="str">
        <f>IF(AD421&gt;=Assumptions!$B$3,"OK","Review")</f>
        <v>OK</v>
      </c>
      <c r="AG421" s="13">
        <f>IFERROR(IF(Assumptions!$B$13="Cost Price",AB421,AA421)*SUMIF(Assumptions!$A$6:$A$10,X421,Assumptions!$B$6:$B$10),0)</f>
        <v>9.4763995703544577</v>
      </c>
      <c r="AH421" s="13">
        <f>IFERROR(IF(Assumptions!$B$13="Cost Price",AB421,AA421)*SUMIF(Assumptions!$A$6:$A$10,X421,Assumptions!$C$6:$C$10),0)</f>
        <v>5.9227497314715363</v>
      </c>
      <c r="AI421" s="13">
        <f>IFERROR(IF(Assumptions!$B$13="Cost Price",AB421,AA421)*SUMIF(Assumptions!$A$6:$A$10,X421,Assumptions!$D$6:$D$10),0)</f>
        <v>11.845499462943073</v>
      </c>
      <c r="AJ421" s="13">
        <v>18.546294307196565</v>
      </c>
      <c r="AK421" s="13">
        <f t="shared" si="123"/>
        <v>45.790943071965629</v>
      </c>
      <c r="AL421" s="14">
        <v>0.33</v>
      </c>
      <c r="AM421" s="13">
        <f t="shared" si="124"/>
        <v>58.62405155746508</v>
      </c>
      <c r="AN421" s="14">
        <f t="shared" si="125"/>
        <v>0.4949056959637872</v>
      </c>
      <c r="AO421" t="str">
        <f>IF(AN421&gt;=Assumptions!$B$3,"OK","Review")</f>
        <v>OK</v>
      </c>
    </row>
    <row r="422" spans="1:41" ht="15" customHeight="1">
      <c r="A422" s="9" t="s">
        <v>256</v>
      </c>
      <c r="B422" s="9" t="s">
        <v>45</v>
      </c>
      <c r="C422" s="9" t="s">
        <v>202</v>
      </c>
      <c r="D422" s="9" t="s">
        <v>231</v>
      </c>
      <c r="E422" s="9" t="s">
        <v>73</v>
      </c>
      <c r="F422" s="9" t="s">
        <v>74</v>
      </c>
      <c r="G422" s="9" t="s">
        <v>24</v>
      </c>
      <c r="H422" s="9" t="s">
        <v>84</v>
      </c>
      <c r="I422" s="9">
        <v>4000011836</v>
      </c>
      <c r="J422" s="10">
        <v>36.79</v>
      </c>
      <c r="K422" s="10"/>
      <c r="L422" s="10">
        <f t="shared" si="108"/>
        <v>36.79</v>
      </c>
      <c r="M422" s="11">
        <v>0</v>
      </c>
      <c r="N422" s="10">
        <f t="shared" si="109"/>
        <v>0</v>
      </c>
      <c r="O422" s="10">
        <f t="shared" si="110"/>
        <v>36.79</v>
      </c>
      <c r="P422" s="11">
        <f t="shared" si="111"/>
        <v>0.14635795838803359</v>
      </c>
      <c r="Q422" s="10">
        <f t="shared" si="112"/>
        <v>251.36999999999998</v>
      </c>
      <c r="R422" s="10">
        <f t="shared" si="113"/>
        <v>2120.7999999999997</v>
      </c>
      <c r="S422" s="10">
        <f t="shared" si="114"/>
        <v>310.3959581493416</v>
      </c>
      <c r="T422" s="9" t="s">
        <v>76</v>
      </c>
      <c r="U422" s="10">
        <v>3999</v>
      </c>
      <c r="V422" s="10">
        <f t="shared" si="115"/>
        <v>2799.2999999999997</v>
      </c>
      <c r="W422" s="166">
        <v>490110</v>
      </c>
      <c r="X422" s="12" t="s">
        <v>27</v>
      </c>
      <c r="Y422" s="12">
        <f t="shared" si="116"/>
        <v>310.3959581493416</v>
      </c>
      <c r="Z422" s="13">
        <f t="shared" si="117"/>
        <v>310.3959581493416</v>
      </c>
      <c r="AA422" s="13">
        <f t="shared" si="118"/>
        <v>310.3959581493416</v>
      </c>
      <c r="AB422" s="13">
        <f t="shared" si="119"/>
        <v>36.79</v>
      </c>
      <c r="AC422" s="13">
        <f t="shared" si="120"/>
        <v>273.60595814934157</v>
      </c>
      <c r="AD422" s="14">
        <f t="shared" si="121"/>
        <v>0.8814739720860052</v>
      </c>
      <c r="AE422" s="14">
        <f t="shared" si="122"/>
        <v>7.4369654294466319</v>
      </c>
      <c r="AF422" s="13" t="str">
        <f>IF(AD422&gt;=Assumptions!$B$3,"OK","Review")</f>
        <v>OK</v>
      </c>
      <c r="AG422" s="13">
        <f>IFERROR(IF(Assumptions!$B$13="Cost Price",AB422,AA422)*SUMIF(Assumptions!$A$6:$A$10,X422,Assumptions!$B$6:$B$10),0)</f>
        <v>24.83167665194733</v>
      </c>
      <c r="AH422" s="13">
        <f>IFERROR(IF(Assumptions!$B$13="Cost Price",AB422,AA422)*SUMIF(Assumptions!$A$6:$A$10,X422,Assumptions!$C$6:$C$10),0)</f>
        <v>15.51979790746708</v>
      </c>
      <c r="AI422" s="13">
        <f>IFERROR(IF(Assumptions!$B$13="Cost Price",AB422,AA422)*SUMIF(Assumptions!$A$6:$A$10,X422,Assumptions!$D$6:$D$10),0)</f>
        <v>31.03959581493416</v>
      </c>
      <c r="AJ422" s="13">
        <v>48.598160082746553</v>
      </c>
      <c r="AK422" s="13">
        <f t="shared" si="123"/>
        <v>119.98923045709512</v>
      </c>
      <c r="AL422" s="14">
        <v>0.33</v>
      </c>
      <c r="AM422" s="13">
        <f t="shared" si="124"/>
        <v>153.61672769224646</v>
      </c>
      <c r="AN422" s="14">
        <f t="shared" si="125"/>
        <v>0.49490569596378714</v>
      </c>
      <c r="AO422" t="str">
        <f>IF(AN422&gt;=Assumptions!$B$3,"OK","Review")</f>
        <v>OK</v>
      </c>
    </row>
    <row r="423" spans="1:41" ht="15" customHeight="1">
      <c r="A423" s="9" t="s">
        <v>256</v>
      </c>
      <c r="B423" s="9" t="s">
        <v>45</v>
      </c>
      <c r="C423" s="9" t="s">
        <v>202</v>
      </c>
      <c r="D423" s="9" t="s">
        <v>232</v>
      </c>
      <c r="E423" s="9" t="s">
        <v>73</v>
      </c>
      <c r="F423" s="9" t="s">
        <v>74</v>
      </c>
      <c r="G423" s="9" t="s">
        <v>24</v>
      </c>
      <c r="H423" s="9" t="s">
        <v>84</v>
      </c>
      <c r="I423" s="9">
        <v>4000011838</v>
      </c>
      <c r="J423" s="10">
        <v>14.04</v>
      </c>
      <c r="K423" s="10"/>
      <c r="L423" s="10">
        <f t="shared" si="108"/>
        <v>14.04</v>
      </c>
      <c r="M423" s="11">
        <v>0</v>
      </c>
      <c r="N423" s="10">
        <f t="shared" si="109"/>
        <v>0</v>
      </c>
      <c r="O423" s="10">
        <f t="shared" si="110"/>
        <v>14.04</v>
      </c>
      <c r="P423" s="11">
        <f t="shared" si="111"/>
        <v>5.5853920515574654E-2</v>
      </c>
      <c r="Q423" s="10">
        <f t="shared" si="112"/>
        <v>251.36999999999998</v>
      </c>
      <c r="R423" s="10">
        <f t="shared" si="113"/>
        <v>2120.7999999999997</v>
      </c>
      <c r="S423" s="10">
        <f t="shared" si="114"/>
        <v>118.45499462943071</v>
      </c>
      <c r="T423" s="9" t="s">
        <v>76</v>
      </c>
      <c r="U423" s="10">
        <v>3999</v>
      </c>
      <c r="V423" s="10">
        <f t="shared" si="115"/>
        <v>2799.2999999999997</v>
      </c>
      <c r="W423" s="166">
        <v>490110</v>
      </c>
      <c r="X423" s="12" t="s">
        <v>27</v>
      </c>
      <c r="Y423" s="12">
        <f t="shared" si="116"/>
        <v>118.45499462943071</v>
      </c>
      <c r="Z423" s="13">
        <f t="shared" si="117"/>
        <v>118.45499462943071</v>
      </c>
      <c r="AA423" s="13">
        <f t="shared" si="118"/>
        <v>118.45499462943071</v>
      </c>
      <c r="AB423" s="13">
        <f t="shared" si="119"/>
        <v>14.04</v>
      </c>
      <c r="AC423" s="13">
        <f t="shared" si="120"/>
        <v>104.41499462943071</v>
      </c>
      <c r="AD423" s="14">
        <f t="shared" si="121"/>
        <v>0.8814739720860052</v>
      </c>
      <c r="AE423" s="14">
        <f t="shared" si="122"/>
        <v>7.4369654294466319</v>
      </c>
      <c r="AF423" s="13" t="str">
        <f>IF(AD423&gt;=Assumptions!$B$3,"OK","Review")</f>
        <v>OK</v>
      </c>
      <c r="AG423" s="13">
        <f>IFERROR(IF(Assumptions!$B$13="Cost Price",AB423,AA423)*SUMIF(Assumptions!$A$6:$A$10,X423,Assumptions!$B$6:$B$10),0)</f>
        <v>9.4763995703544577</v>
      </c>
      <c r="AH423" s="13">
        <f>IFERROR(IF(Assumptions!$B$13="Cost Price",AB423,AA423)*SUMIF(Assumptions!$A$6:$A$10,X423,Assumptions!$C$6:$C$10),0)</f>
        <v>5.9227497314715363</v>
      </c>
      <c r="AI423" s="13">
        <f>IFERROR(IF(Assumptions!$B$13="Cost Price",AB423,AA423)*SUMIF(Assumptions!$A$6:$A$10,X423,Assumptions!$D$6:$D$10),0)</f>
        <v>11.845499462943073</v>
      </c>
      <c r="AJ423" s="13">
        <v>18.546294307196565</v>
      </c>
      <c r="AK423" s="13">
        <f t="shared" si="123"/>
        <v>45.790943071965629</v>
      </c>
      <c r="AL423" s="14">
        <v>0.33</v>
      </c>
      <c r="AM423" s="13">
        <f t="shared" si="124"/>
        <v>58.62405155746508</v>
      </c>
      <c r="AN423" s="14">
        <f t="shared" si="125"/>
        <v>0.4949056959637872</v>
      </c>
      <c r="AO423" t="str">
        <f>IF(AN423&gt;=Assumptions!$B$3,"OK","Review")</f>
        <v>OK</v>
      </c>
    </row>
    <row r="424" spans="1:41" ht="15" customHeight="1">
      <c r="A424" s="9" t="s">
        <v>256</v>
      </c>
      <c r="B424" s="9" t="s">
        <v>45</v>
      </c>
      <c r="C424" s="9" t="s">
        <v>205</v>
      </c>
      <c r="D424" s="9" t="s">
        <v>233</v>
      </c>
      <c r="E424" s="9" t="s">
        <v>73</v>
      </c>
      <c r="F424" s="9" t="s">
        <v>81</v>
      </c>
      <c r="G424" s="9" t="s">
        <v>24</v>
      </c>
      <c r="H424" s="9" t="s">
        <v>84</v>
      </c>
      <c r="I424" s="9">
        <v>4000011839</v>
      </c>
      <c r="J424" s="10">
        <v>58.1</v>
      </c>
      <c r="K424" s="10"/>
      <c r="L424" s="10">
        <f t="shared" si="108"/>
        <v>58.1</v>
      </c>
      <c r="M424" s="11">
        <v>0</v>
      </c>
      <c r="N424" s="10">
        <f t="shared" si="109"/>
        <v>0</v>
      </c>
      <c r="O424" s="10">
        <f t="shared" si="110"/>
        <v>58.1</v>
      </c>
      <c r="P424" s="11">
        <f t="shared" si="111"/>
        <v>0.23113338902812589</v>
      </c>
      <c r="Q424" s="10">
        <f t="shared" si="112"/>
        <v>251.36999999999998</v>
      </c>
      <c r="R424" s="10">
        <f t="shared" si="113"/>
        <v>2120.7999999999997</v>
      </c>
      <c r="S424" s="10">
        <f t="shared" si="114"/>
        <v>490.18769145084929</v>
      </c>
      <c r="T424" s="9" t="s">
        <v>76</v>
      </c>
      <c r="U424" s="10">
        <v>3999</v>
      </c>
      <c r="V424" s="10">
        <f t="shared" si="115"/>
        <v>2799.2999999999997</v>
      </c>
      <c r="W424" s="166">
        <v>490110</v>
      </c>
      <c r="X424" s="12" t="s">
        <v>27</v>
      </c>
      <c r="Y424" s="12">
        <f t="shared" si="116"/>
        <v>490.18769145084929</v>
      </c>
      <c r="Z424" s="13">
        <f t="shared" si="117"/>
        <v>490.18769145084929</v>
      </c>
      <c r="AA424" s="13">
        <f t="shared" si="118"/>
        <v>490.18769145084929</v>
      </c>
      <c r="AB424" s="13">
        <f t="shared" si="119"/>
        <v>58.1</v>
      </c>
      <c r="AC424" s="13">
        <f t="shared" si="120"/>
        <v>432.08769145084926</v>
      </c>
      <c r="AD424" s="14">
        <f t="shared" si="121"/>
        <v>0.8814739720860052</v>
      </c>
      <c r="AE424" s="14">
        <f t="shared" si="122"/>
        <v>7.436965429446631</v>
      </c>
      <c r="AF424" s="13" t="str">
        <f>IF(AD424&gt;=Assumptions!$B$3,"OK","Review")</f>
        <v>OK</v>
      </c>
      <c r="AG424" s="13">
        <f>IFERROR(IF(Assumptions!$B$13="Cost Price",AB424,AA424)*SUMIF(Assumptions!$A$6:$A$10,X424,Assumptions!$B$6:$B$10),0)</f>
        <v>39.215015316067941</v>
      </c>
      <c r="AH424" s="13">
        <f>IFERROR(IF(Assumptions!$B$13="Cost Price",AB424,AA424)*SUMIF(Assumptions!$A$6:$A$10,X424,Assumptions!$C$6:$C$10),0)</f>
        <v>24.509384572542466</v>
      </c>
      <c r="AI424" s="13">
        <f>IFERROR(IF(Assumptions!$B$13="Cost Price",AB424,AA424)*SUMIF(Assumptions!$A$6:$A$10,X424,Assumptions!$D$6:$D$10),0)</f>
        <v>49.018769145084931</v>
      </c>
      <c r="AJ424" s="13">
        <v>76.747841826789212</v>
      </c>
      <c r="AK424" s="13">
        <f t="shared" si="123"/>
        <v>189.49101086048455</v>
      </c>
      <c r="AL424" s="14">
        <v>0.33</v>
      </c>
      <c r="AM424" s="13">
        <f t="shared" si="124"/>
        <v>242.59668059036471</v>
      </c>
      <c r="AN424" s="14">
        <f t="shared" si="125"/>
        <v>0.49490569596378714</v>
      </c>
      <c r="AO424" t="str">
        <f>IF(AN424&gt;=Assumptions!$B$3,"OK","Review")</f>
        <v>OK</v>
      </c>
    </row>
    <row r="425" spans="1:41" ht="15" customHeight="1">
      <c r="A425" s="9" t="s">
        <v>256</v>
      </c>
      <c r="B425" s="9" t="s">
        <v>45</v>
      </c>
      <c r="C425" s="9" t="s">
        <v>205</v>
      </c>
      <c r="D425" s="9" t="s">
        <v>234</v>
      </c>
      <c r="E425" s="9" t="s">
        <v>73</v>
      </c>
      <c r="F425" s="9" t="s">
        <v>81</v>
      </c>
      <c r="G425" s="9" t="s">
        <v>24</v>
      </c>
      <c r="H425" s="9" t="s">
        <v>84</v>
      </c>
      <c r="I425" s="9">
        <v>4000011840</v>
      </c>
      <c r="J425" s="10">
        <v>15.47</v>
      </c>
      <c r="K425" s="10"/>
      <c r="L425" s="10">
        <f t="shared" si="108"/>
        <v>15.47</v>
      </c>
      <c r="M425" s="11">
        <v>0</v>
      </c>
      <c r="N425" s="10">
        <f t="shared" si="109"/>
        <v>0</v>
      </c>
      <c r="O425" s="10">
        <f t="shared" si="110"/>
        <v>15.47</v>
      </c>
      <c r="P425" s="11">
        <f t="shared" si="111"/>
        <v>6.154274575327208E-2</v>
      </c>
      <c r="Q425" s="10">
        <f t="shared" si="112"/>
        <v>251.36999999999998</v>
      </c>
      <c r="R425" s="10">
        <f t="shared" si="113"/>
        <v>2120.7999999999997</v>
      </c>
      <c r="S425" s="10">
        <f t="shared" si="114"/>
        <v>130.5198551935394</v>
      </c>
      <c r="T425" s="9" t="s">
        <v>76</v>
      </c>
      <c r="U425" s="10">
        <v>3999</v>
      </c>
      <c r="V425" s="10">
        <f t="shared" si="115"/>
        <v>2799.2999999999997</v>
      </c>
      <c r="W425" s="166">
        <v>490110</v>
      </c>
      <c r="X425" s="12" t="s">
        <v>27</v>
      </c>
      <c r="Y425" s="12">
        <f t="shared" si="116"/>
        <v>130.5198551935394</v>
      </c>
      <c r="Z425" s="13">
        <f t="shared" si="117"/>
        <v>130.5198551935394</v>
      </c>
      <c r="AA425" s="13">
        <f t="shared" si="118"/>
        <v>130.5198551935394</v>
      </c>
      <c r="AB425" s="13">
        <f t="shared" si="119"/>
        <v>15.47</v>
      </c>
      <c r="AC425" s="13">
        <f t="shared" si="120"/>
        <v>115.0498551935394</v>
      </c>
      <c r="AD425" s="14">
        <f t="shared" si="121"/>
        <v>0.88147397208600531</v>
      </c>
      <c r="AE425" s="14">
        <f t="shared" si="122"/>
        <v>7.4369654294466319</v>
      </c>
      <c r="AF425" s="13" t="str">
        <f>IF(AD425&gt;=Assumptions!$B$3,"OK","Review")</f>
        <v>OK</v>
      </c>
      <c r="AG425" s="13">
        <f>IFERROR(IF(Assumptions!$B$13="Cost Price",AB425,AA425)*SUMIF(Assumptions!$A$6:$A$10,X425,Assumptions!$B$6:$B$10),0)</f>
        <v>10.441588415483151</v>
      </c>
      <c r="AH425" s="13">
        <f>IFERROR(IF(Assumptions!$B$13="Cost Price",AB425,AA425)*SUMIF(Assumptions!$A$6:$A$10,X425,Assumptions!$C$6:$C$10),0)</f>
        <v>6.5259927596769707</v>
      </c>
      <c r="AI425" s="13">
        <f>IFERROR(IF(Assumptions!$B$13="Cost Price",AB425,AA425)*SUMIF(Assumptions!$A$6:$A$10,X425,Assumptions!$D$6:$D$10),0)</f>
        <v>13.051985519353941</v>
      </c>
      <c r="AJ425" s="13">
        <v>20.435268727373995</v>
      </c>
      <c r="AK425" s="13">
        <f t="shared" si="123"/>
        <v>50.454835421888056</v>
      </c>
      <c r="AL425" s="14">
        <v>0.33</v>
      </c>
      <c r="AM425" s="13">
        <f t="shared" si="124"/>
        <v>64.595019771651351</v>
      </c>
      <c r="AN425" s="14">
        <f t="shared" si="125"/>
        <v>0.49490569596378725</v>
      </c>
      <c r="AO425" t="str">
        <f>IF(AN425&gt;=Assumptions!$B$3,"OK","Review")</f>
        <v>OK</v>
      </c>
    </row>
    <row r="426" spans="1:41" ht="15" customHeight="1">
      <c r="A426" s="9" t="s">
        <v>256</v>
      </c>
      <c r="B426" s="9" t="s">
        <v>45</v>
      </c>
      <c r="C426" s="9" t="s">
        <v>243</v>
      </c>
      <c r="D426" s="9" t="s">
        <v>254</v>
      </c>
      <c r="E426" s="9" t="s">
        <v>73</v>
      </c>
      <c r="F426" s="9" t="s">
        <v>90</v>
      </c>
      <c r="G426" s="9" t="s">
        <v>24</v>
      </c>
      <c r="H426" s="9" t="s">
        <v>75</v>
      </c>
      <c r="I426" s="9">
        <v>7000001011</v>
      </c>
      <c r="J426" s="10">
        <v>181.5</v>
      </c>
      <c r="K426" s="10">
        <v>10</v>
      </c>
      <c r="L426" s="10">
        <f t="shared" si="108"/>
        <v>191.5</v>
      </c>
      <c r="M426" s="11">
        <v>0.18</v>
      </c>
      <c r="N426" s="10">
        <f t="shared" si="109"/>
        <v>34.47</v>
      </c>
      <c r="O426" s="10">
        <f t="shared" si="110"/>
        <v>225.97</v>
      </c>
      <c r="P426" s="11">
        <f t="shared" si="111"/>
        <v>0.6660869565217391</v>
      </c>
      <c r="Q426" s="10">
        <f t="shared" si="112"/>
        <v>339.25</v>
      </c>
      <c r="R426" s="10">
        <f t="shared" si="113"/>
        <v>2120.7999999999997</v>
      </c>
      <c r="S426" s="10">
        <f t="shared" si="114"/>
        <v>225.97</v>
      </c>
      <c r="T426" s="9" t="s">
        <v>91</v>
      </c>
      <c r="U426" s="10">
        <v>3999</v>
      </c>
      <c r="V426" s="10">
        <f t="shared" si="115"/>
        <v>2799.2999999999997</v>
      </c>
      <c r="W426" s="166">
        <v>49119990</v>
      </c>
      <c r="X426" s="12" t="s">
        <v>27</v>
      </c>
      <c r="Y426" s="12">
        <f t="shared" si="116"/>
        <v>225.97</v>
      </c>
      <c r="Z426" s="13">
        <f t="shared" si="117"/>
        <v>225.97</v>
      </c>
      <c r="AA426" s="13">
        <f t="shared" si="118"/>
        <v>191.5</v>
      </c>
      <c r="AB426" s="13">
        <f t="shared" si="119"/>
        <v>181.5</v>
      </c>
      <c r="AC426" s="13">
        <f t="shared" si="120"/>
        <v>10</v>
      </c>
      <c r="AD426" s="14">
        <f t="shared" si="121"/>
        <v>5.2219321148825062E-2</v>
      </c>
      <c r="AE426" s="14">
        <f t="shared" si="122"/>
        <v>5.5096418732782371E-2</v>
      </c>
      <c r="AF426" s="13" t="str">
        <f>IF(AD426&gt;=Assumptions!$B$3,"OK","Review")</f>
        <v>Review</v>
      </c>
      <c r="AG426" s="13">
        <f>IFERROR(IF(Assumptions!$B$13="Cost Price",AB426,AA426)*SUMIF(Assumptions!$A$6:$A$10,X426,Assumptions!$B$6:$B$10),0)</f>
        <v>15.32</v>
      </c>
      <c r="AH426" s="13">
        <f>IFERROR(IF(Assumptions!$B$13="Cost Price",AB426,AA426)*SUMIF(Assumptions!$A$6:$A$10,X426,Assumptions!$C$6:$C$10),0)</f>
        <v>9.5750000000000011</v>
      </c>
      <c r="AI426" s="13">
        <f>IFERROR(IF(Assumptions!$B$13="Cost Price",AB426,AA426)*SUMIF(Assumptions!$A$6:$A$10,X426,Assumptions!$D$6:$D$10),0)</f>
        <v>19.150000000000002</v>
      </c>
      <c r="AJ426" s="13">
        <v>19.150000000000002</v>
      </c>
      <c r="AK426" s="13">
        <f t="shared" si="123"/>
        <v>63.195000000000007</v>
      </c>
      <c r="AL426" s="14">
        <v>0.33</v>
      </c>
      <c r="AM426" s="13">
        <f t="shared" si="124"/>
        <v>-53.195000000000007</v>
      </c>
      <c r="AN426" s="14">
        <f t="shared" si="125"/>
        <v>-0.27778067885117497</v>
      </c>
      <c r="AO426" t="str">
        <f>IF(AN426&gt;=Assumptions!$B$3,"OK","Review")</f>
        <v>Review</v>
      </c>
    </row>
    <row r="427" spans="1:41" ht="15" customHeight="1">
      <c r="A427" s="9" t="s">
        <v>256</v>
      </c>
      <c r="B427" s="9" t="s">
        <v>45</v>
      </c>
      <c r="C427" s="9" t="s">
        <v>92</v>
      </c>
      <c r="D427" s="9" t="s">
        <v>93</v>
      </c>
      <c r="E427" s="9" t="s">
        <v>73</v>
      </c>
      <c r="F427" s="9" t="s">
        <v>94</v>
      </c>
      <c r="G427" s="9" t="s">
        <v>24</v>
      </c>
      <c r="H427" s="9" t="s">
        <v>75</v>
      </c>
      <c r="I427" s="9">
        <v>8400007</v>
      </c>
      <c r="J427" s="10">
        <v>96</v>
      </c>
      <c r="K427" s="10"/>
      <c r="L427" s="10">
        <f t="shared" si="108"/>
        <v>96</v>
      </c>
      <c r="M427" s="11">
        <v>0.18</v>
      </c>
      <c r="N427" s="10">
        <f t="shared" si="109"/>
        <v>17.28</v>
      </c>
      <c r="O427" s="10">
        <f t="shared" si="110"/>
        <v>113.28</v>
      </c>
      <c r="P427" s="11">
        <f t="shared" si="111"/>
        <v>0.3339130434782609</v>
      </c>
      <c r="Q427" s="10">
        <f t="shared" si="112"/>
        <v>339.25</v>
      </c>
      <c r="R427" s="10">
        <f t="shared" si="113"/>
        <v>2120.7999999999997</v>
      </c>
      <c r="S427" s="10">
        <f t="shared" si="114"/>
        <v>113.28</v>
      </c>
      <c r="T427" s="9" t="s">
        <v>91</v>
      </c>
      <c r="U427" s="10">
        <v>3999</v>
      </c>
      <c r="V427" s="10">
        <f t="shared" si="115"/>
        <v>2799.2999999999997</v>
      </c>
      <c r="W427" s="166">
        <v>999299</v>
      </c>
      <c r="X427" s="12" t="s">
        <v>27</v>
      </c>
      <c r="Y427" s="12">
        <f t="shared" si="116"/>
        <v>113.28</v>
      </c>
      <c r="Z427" s="13">
        <f t="shared" si="117"/>
        <v>113.28</v>
      </c>
      <c r="AA427" s="13">
        <f t="shared" si="118"/>
        <v>96</v>
      </c>
      <c r="AB427" s="13">
        <f t="shared" si="119"/>
        <v>96</v>
      </c>
      <c r="AC427" s="13">
        <f t="shared" si="120"/>
        <v>0</v>
      </c>
      <c r="AD427" s="14">
        <f t="shared" si="121"/>
        <v>0</v>
      </c>
      <c r="AE427" s="14">
        <f t="shared" si="122"/>
        <v>0</v>
      </c>
      <c r="AF427" s="13" t="str">
        <f>IF(AD427&gt;=Assumptions!$B$3,"OK","Review")</f>
        <v>Review</v>
      </c>
      <c r="AG427" s="13">
        <f>IFERROR(IF(Assumptions!$B$13="Cost Price",AB427,AA427)*SUMIF(Assumptions!$A$6:$A$10,X427,Assumptions!$B$6:$B$10),0)</f>
        <v>7.68</v>
      </c>
      <c r="AH427" s="13">
        <f>IFERROR(IF(Assumptions!$B$13="Cost Price",AB427,AA427)*SUMIF(Assumptions!$A$6:$A$10,X427,Assumptions!$C$6:$C$10),0)</f>
        <v>4.8000000000000007</v>
      </c>
      <c r="AI427" s="13">
        <f>IFERROR(IF(Assumptions!$B$13="Cost Price",AB427,AA427)*SUMIF(Assumptions!$A$6:$A$10,X427,Assumptions!$D$6:$D$10),0)</f>
        <v>9.6000000000000014</v>
      </c>
      <c r="AJ427" s="13">
        <v>9.6000000000000014</v>
      </c>
      <c r="AK427" s="13">
        <f t="shared" si="123"/>
        <v>31.680000000000003</v>
      </c>
      <c r="AL427" s="14">
        <v>0.33</v>
      </c>
      <c r="AM427" s="13">
        <f t="shared" si="124"/>
        <v>-31.680000000000003</v>
      </c>
      <c r="AN427" s="14">
        <f t="shared" si="125"/>
        <v>-0.33</v>
      </c>
      <c r="AO427" t="str">
        <f>IF(AN427&gt;=Assumptions!$B$3,"OK","Review")</f>
        <v>Review</v>
      </c>
    </row>
    <row r="428" spans="1:41" ht="15" customHeight="1">
      <c r="A428" s="9" t="s">
        <v>256</v>
      </c>
      <c r="B428" s="9" t="s">
        <v>46</v>
      </c>
      <c r="C428" s="9" t="s">
        <v>200</v>
      </c>
      <c r="D428" s="9" t="s">
        <v>236</v>
      </c>
      <c r="E428" s="9" t="s">
        <v>73</v>
      </c>
      <c r="F428" s="9" t="s">
        <v>74</v>
      </c>
      <c r="G428" s="9" t="s">
        <v>24</v>
      </c>
      <c r="H428" s="9" t="s">
        <v>75</v>
      </c>
      <c r="I428" s="9">
        <v>4000011841</v>
      </c>
      <c r="J428" s="10">
        <v>31.85</v>
      </c>
      <c r="K428" s="10"/>
      <c r="L428" s="10">
        <f t="shared" si="108"/>
        <v>31.85</v>
      </c>
      <c r="M428" s="11">
        <v>0</v>
      </c>
      <c r="N428" s="10">
        <f t="shared" si="109"/>
        <v>0</v>
      </c>
      <c r="O428" s="10">
        <f t="shared" si="110"/>
        <v>31.85</v>
      </c>
      <c r="P428" s="11">
        <f t="shared" si="111"/>
        <v>9.7159940209267562E-2</v>
      </c>
      <c r="Q428" s="10">
        <f t="shared" si="112"/>
        <v>327.81</v>
      </c>
      <c r="R428" s="10">
        <f t="shared" si="113"/>
        <v>1961.7359999999999</v>
      </c>
      <c r="S428" s="10">
        <f t="shared" si="114"/>
        <v>190.6021524663677</v>
      </c>
      <c r="T428" s="9" t="s">
        <v>76</v>
      </c>
      <c r="U428" s="10">
        <v>3999</v>
      </c>
      <c r="V428" s="10">
        <f t="shared" si="115"/>
        <v>2799.2999999999997</v>
      </c>
      <c r="W428" s="166">
        <v>490110</v>
      </c>
      <c r="X428" s="12" t="s">
        <v>27</v>
      </c>
      <c r="Y428" s="12">
        <f t="shared" si="116"/>
        <v>190.6021524663677</v>
      </c>
      <c r="Z428" s="13">
        <f t="shared" si="117"/>
        <v>190.6021524663677</v>
      </c>
      <c r="AA428" s="13">
        <f t="shared" si="118"/>
        <v>190.6021524663677</v>
      </c>
      <c r="AB428" s="13">
        <f t="shared" si="119"/>
        <v>31.85</v>
      </c>
      <c r="AC428" s="13">
        <f t="shared" si="120"/>
        <v>158.7521524663677</v>
      </c>
      <c r="AD428" s="14">
        <f t="shared" si="121"/>
        <v>0.8328980046244755</v>
      </c>
      <c r="AE428" s="14">
        <f t="shared" si="122"/>
        <v>4.9843689942344644</v>
      </c>
      <c r="AF428" s="13" t="str">
        <f>IF(AD428&gt;=Assumptions!$B$3,"OK","Review")</f>
        <v>OK</v>
      </c>
      <c r="AG428" s="13">
        <f>IFERROR(IF(Assumptions!$B$13="Cost Price",AB428,AA428)*SUMIF(Assumptions!$A$6:$A$10,X428,Assumptions!$B$6:$B$10),0)</f>
        <v>15.248172197309415</v>
      </c>
      <c r="AH428" s="13">
        <f>IFERROR(IF(Assumptions!$B$13="Cost Price",AB428,AA428)*SUMIF(Assumptions!$A$6:$A$10,X428,Assumptions!$C$6:$C$10),0)</f>
        <v>9.5301076233183846</v>
      </c>
      <c r="AI428" s="13">
        <f>IFERROR(IF(Assumptions!$B$13="Cost Price",AB428,AA428)*SUMIF(Assumptions!$A$6:$A$10,X428,Assumptions!$D$6:$D$10),0)</f>
        <v>19.060215246636769</v>
      </c>
      <c r="AJ428" s="13">
        <v>30.716493273542604</v>
      </c>
      <c r="AK428" s="13">
        <f t="shared" si="123"/>
        <v>74.554988340807171</v>
      </c>
      <c r="AL428" s="14">
        <v>0.33</v>
      </c>
      <c r="AM428" s="13">
        <f t="shared" si="124"/>
        <v>84.197164125560533</v>
      </c>
      <c r="AN428" s="14">
        <f t="shared" si="125"/>
        <v>0.44174298682391516</v>
      </c>
      <c r="AO428" t="str">
        <f>IF(AN428&gt;=Assumptions!$B$3,"OK","Review")</f>
        <v>OK</v>
      </c>
    </row>
    <row r="429" spans="1:41" ht="15" customHeight="1">
      <c r="A429" s="9" t="s">
        <v>256</v>
      </c>
      <c r="B429" s="9" t="s">
        <v>46</v>
      </c>
      <c r="C429" s="9" t="s">
        <v>202</v>
      </c>
      <c r="D429" s="9" t="s">
        <v>237</v>
      </c>
      <c r="E429" s="9" t="s">
        <v>73</v>
      </c>
      <c r="F429" s="9" t="s">
        <v>74</v>
      </c>
      <c r="G429" s="9" t="s">
        <v>24</v>
      </c>
      <c r="H429" s="9" t="s">
        <v>75</v>
      </c>
      <c r="I429" s="9">
        <v>4000011842</v>
      </c>
      <c r="J429" s="10">
        <v>59.62</v>
      </c>
      <c r="K429" s="10"/>
      <c r="L429" s="10">
        <f t="shared" si="108"/>
        <v>59.62</v>
      </c>
      <c r="M429" s="11">
        <v>0</v>
      </c>
      <c r="N429" s="10">
        <f t="shared" si="109"/>
        <v>0</v>
      </c>
      <c r="O429" s="10">
        <f t="shared" si="110"/>
        <v>59.62</v>
      </c>
      <c r="P429" s="11">
        <f t="shared" si="111"/>
        <v>0.18187364631951433</v>
      </c>
      <c r="Q429" s="10">
        <f t="shared" si="112"/>
        <v>327.81</v>
      </c>
      <c r="R429" s="10">
        <f t="shared" si="113"/>
        <v>1961.7359999999999</v>
      </c>
      <c r="S429" s="10">
        <f t="shared" si="114"/>
        <v>356.78807943625873</v>
      </c>
      <c r="T429" s="9" t="s">
        <v>76</v>
      </c>
      <c r="U429" s="10">
        <v>3999</v>
      </c>
      <c r="V429" s="10">
        <f t="shared" si="115"/>
        <v>2799.2999999999997</v>
      </c>
      <c r="W429" s="166">
        <v>490110</v>
      </c>
      <c r="X429" s="12" t="s">
        <v>27</v>
      </c>
      <c r="Y429" s="12">
        <f t="shared" si="116"/>
        <v>356.78807943625873</v>
      </c>
      <c r="Z429" s="13">
        <f t="shared" si="117"/>
        <v>356.78807943625873</v>
      </c>
      <c r="AA429" s="13">
        <f t="shared" si="118"/>
        <v>356.78807943625873</v>
      </c>
      <c r="AB429" s="13">
        <f t="shared" si="119"/>
        <v>59.62</v>
      </c>
      <c r="AC429" s="13">
        <f t="shared" si="120"/>
        <v>297.16807943625872</v>
      </c>
      <c r="AD429" s="14">
        <f t="shared" si="121"/>
        <v>0.83289800462447539</v>
      </c>
      <c r="AE429" s="14">
        <f t="shared" si="122"/>
        <v>4.9843689942344636</v>
      </c>
      <c r="AF429" s="13" t="str">
        <f>IF(AD429&gt;=Assumptions!$B$3,"OK","Review")</f>
        <v>OK</v>
      </c>
      <c r="AG429" s="13">
        <f>IFERROR(IF(Assumptions!$B$13="Cost Price",AB429,AA429)*SUMIF(Assumptions!$A$6:$A$10,X429,Assumptions!$B$6:$B$10),0)</f>
        <v>28.543046354900699</v>
      </c>
      <c r="AH429" s="13">
        <f>IFERROR(IF(Assumptions!$B$13="Cost Price",AB429,AA429)*SUMIF(Assumptions!$A$6:$A$10,X429,Assumptions!$C$6:$C$10),0)</f>
        <v>17.839403971812938</v>
      </c>
      <c r="AI429" s="13">
        <f>IFERROR(IF(Assumptions!$B$13="Cost Price",AB429,AA429)*SUMIF(Assumptions!$A$6:$A$10,X429,Assumptions!$D$6:$D$10),0)</f>
        <v>35.678807943625877</v>
      </c>
      <c r="AJ429" s="13">
        <v>57.498189292578019</v>
      </c>
      <c r="AK429" s="13">
        <f t="shared" si="123"/>
        <v>139.55944756291754</v>
      </c>
      <c r="AL429" s="14">
        <v>0.33</v>
      </c>
      <c r="AM429" s="13">
        <f t="shared" si="124"/>
        <v>157.60863187334118</v>
      </c>
      <c r="AN429" s="14">
        <f t="shared" si="125"/>
        <v>0.441742986823915</v>
      </c>
      <c r="AO429" t="str">
        <f>IF(AN429&gt;=Assumptions!$B$3,"OK","Review")</f>
        <v>OK</v>
      </c>
    </row>
    <row r="430" spans="1:41" ht="15" customHeight="1">
      <c r="A430" s="9" t="s">
        <v>256</v>
      </c>
      <c r="B430" s="9" t="s">
        <v>46</v>
      </c>
      <c r="C430" s="9" t="s">
        <v>205</v>
      </c>
      <c r="D430" s="9" t="s">
        <v>238</v>
      </c>
      <c r="E430" s="9" t="s">
        <v>73</v>
      </c>
      <c r="F430" s="9" t="s">
        <v>74</v>
      </c>
      <c r="G430" s="9" t="s">
        <v>24</v>
      </c>
      <c r="H430" s="9" t="s">
        <v>75</v>
      </c>
      <c r="I430" s="9">
        <v>4000011843</v>
      </c>
      <c r="J430" s="10">
        <v>83.8</v>
      </c>
      <c r="K430" s="10"/>
      <c r="L430" s="10">
        <f t="shared" si="108"/>
        <v>83.8</v>
      </c>
      <c r="M430" s="11">
        <v>0</v>
      </c>
      <c r="N430" s="10">
        <f t="shared" si="109"/>
        <v>0</v>
      </c>
      <c r="O430" s="10">
        <f t="shared" si="110"/>
        <v>83.8</v>
      </c>
      <c r="P430" s="11">
        <f t="shared" si="111"/>
        <v>0.25563588664165215</v>
      </c>
      <c r="Q430" s="10">
        <f t="shared" si="112"/>
        <v>327.81</v>
      </c>
      <c r="R430" s="10">
        <f t="shared" si="113"/>
        <v>1961.7359999999999</v>
      </c>
      <c r="S430" s="10">
        <f t="shared" si="114"/>
        <v>501.49012171684808</v>
      </c>
      <c r="T430" s="9" t="s">
        <v>76</v>
      </c>
      <c r="U430" s="10">
        <v>3999</v>
      </c>
      <c r="V430" s="10">
        <f t="shared" si="115"/>
        <v>2799.2999999999997</v>
      </c>
      <c r="W430" s="166">
        <v>490110</v>
      </c>
      <c r="X430" s="12" t="s">
        <v>27</v>
      </c>
      <c r="Y430" s="12">
        <f t="shared" si="116"/>
        <v>501.49012171684808</v>
      </c>
      <c r="Z430" s="13">
        <f t="shared" si="117"/>
        <v>501.49012171684808</v>
      </c>
      <c r="AA430" s="13">
        <f t="shared" si="118"/>
        <v>501.49012171684808</v>
      </c>
      <c r="AB430" s="13">
        <f t="shared" si="119"/>
        <v>83.8</v>
      </c>
      <c r="AC430" s="13">
        <f t="shared" si="120"/>
        <v>417.69012171684807</v>
      </c>
      <c r="AD430" s="14">
        <f t="shared" si="121"/>
        <v>0.83289800462447539</v>
      </c>
      <c r="AE430" s="14">
        <f t="shared" si="122"/>
        <v>4.9843689942344636</v>
      </c>
      <c r="AF430" s="13" t="str">
        <f>IF(AD430&gt;=Assumptions!$B$3,"OK","Review")</f>
        <v>OK</v>
      </c>
      <c r="AG430" s="13">
        <f>IFERROR(IF(Assumptions!$B$13="Cost Price",AB430,AA430)*SUMIF(Assumptions!$A$6:$A$10,X430,Assumptions!$B$6:$B$10),0)</f>
        <v>40.119209737347845</v>
      </c>
      <c r="AH430" s="13">
        <f>IFERROR(IF(Assumptions!$B$13="Cost Price",AB430,AA430)*SUMIF(Assumptions!$A$6:$A$10,X430,Assumptions!$C$6:$C$10),0)</f>
        <v>25.074506085842405</v>
      </c>
      <c r="AI430" s="13">
        <f>IFERROR(IF(Assumptions!$B$13="Cost Price",AB430,AA430)*SUMIF(Assumptions!$A$6:$A$10,X430,Assumptions!$D$6:$D$10),0)</f>
        <v>50.149012171684809</v>
      </c>
      <c r="AJ430" s="13">
        <v>80.817649492083831</v>
      </c>
      <c r="AK430" s="13">
        <f t="shared" si="123"/>
        <v>196.16037748695888</v>
      </c>
      <c r="AL430" s="14">
        <v>0.33</v>
      </c>
      <c r="AM430" s="13">
        <f t="shared" si="124"/>
        <v>221.52974422988919</v>
      </c>
      <c r="AN430" s="14">
        <f t="shared" si="125"/>
        <v>0.44174298682391505</v>
      </c>
      <c r="AO430" t="str">
        <f>IF(AN430&gt;=Assumptions!$B$3,"OK","Review")</f>
        <v>OK</v>
      </c>
    </row>
    <row r="431" spans="1:41" ht="15" customHeight="1">
      <c r="A431" s="9" t="s">
        <v>256</v>
      </c>
      <c r="B431" s="9" t="s">
        <v>46</v>
      </c>
      <c r="C431" s="9" t="s">
        <v>202</v>
      </c>
      <c r="D431" s="9" t="s">
        <v>239</v>
      </c>
      <c r="E431" s="9" t="s">
        <v>73</v>
      </c>
      <c r="F431" s="9" t="s">
        <v>74</v>
      </c>
      <c r="G431" s="9" t="s">
        <v>24</v>
      </c>
      <c r="H431" s="9" t="s">
        <v>84</v>
      </c>
      <c r="I431" s="9">
        <v>4000011844</v>
      </c>
      <c r="J431" s="10">
        <v>59.62</v>
      </c>
      <c r="K431" s="10"/>
      <c r="L431" s="10">
        <f t="shared" si="108"/>
        <v>59.62</v>
      </c>
      <c r="M431" s="11">
        <v>0</v>
      </c>
      <c r="N431" s="10">
        <f t="shared" si="109"/>
        <v>0</v>
      </c>
      <c r="O431" s="10">
        <f t="shared" si="110"/>
        <v>59.62</v>
      </c>
      <c r="P431" s="11">
        <f t="shared" si="111"/>
        <v>0.18187364631951433</v>
      </c>
      <c r="Q431" s="10">
        <f t="shared" si="112"/>
        <v>327.81</v>
      </c>
      <c r="R431" s="10">
        <f t="shared" si="113"/>
        <v>1961.7359999999999</v>
      </c>
      <c r="S431" s="10">
        <f t="shared" si="114"/>
        <v>356.78807943625873</v>
      </c>
      <c r="T431" s="9" t="s">
        <v>76</v>
      </c>
      <c r="U431" s="10">
        <v>3999</v>
      </c>
      <c r="V431" s="10">
        <f t="shared" si="115"/>
        <v>2799.2999999999997</v>
      </c>
      <c r="W431" s="166">
        <v>490110</v>
      </c>
      <c r="X431" s="12" t="s">
        <v>27</v>
      </c>
      <c r="Y431" s="12">
        <f t="shared" si="116"/>
        <v>356.78807943625873</v>
      </c>
      <c r="Z431" s="13">
        <f t="shared" si="117"/>
        <v>356.78807943625873</v>
      </c>
      <c r="AA431" s="13">
        <f t="shared" si="118"/>
        <v>356.78807943625873</v>
      </c>
      <c r="AB431" s="13">
        <f t="shared" si="119"/>
        <v>59.62</v>
      </c>
      <c r="AC431" s="13">
        <f t="shared" si="120"/>
        <v>297.16807943625872</v>
      </c>
      <c r="AD431" s="14">
        <f t="shared" si="121"/>
        <v>0.83289800462447539</v>
      </c>
      <c r="AE431" s="14">
        <f t="shared" si="122"/>
        <v>4.9843689942344636</v>
      </c>
      <c r="AF431" s="13" t="str">
        <f>IF(AD431&gt;=Assumptions!$B$3,"OK","Review")</f>
        <v>OK</v>
      </c>
      <c r="AG431" s="13">
        <f>IFERROR(IF(Assumptions!$B$13="Cost Price",AB431,AA431)*SUMIF(Assumptions!$A$6:$A$10,X431,Assumptions!$B$6:$B$10),0)</f>
        <v>28.543046354900699</v>
      </c>
      <c r="AH431" s="13">
        <f>IFERROR(IF(Assumptions!$B$13="Cost Price",AB431,AA431)*SUMIF(Assumptions!$A$6:$A$10,X431,Assumptions!$C$6:$C$10),0)</f>
        <v>17.839403971812938</v>
      </c>
      <c r="AI431" s="13">
        <f>IFERROR(IF(Assumptions!$B$13="Cost Price",AB431,AA431)*SUMIF(Assumptions!$A$6:$A$10,X431,Assumptions!$D$6:$D$10),0)</f>
        <v>35.678807943625877</v>
      </c>
      <c r="AJ431" s="13">
        <v>57.498189292578019</v>
      </c>
      <c r="AK431" s="13">
        <f t="shared" si="123"/>
        <v>139.55944756291754</v>
      </c>
      <c r="AL431" s="14">
        <v>0.33</v>
      </c>
      <c r="AM431" s="13">
        <f t="shared" si="124"/>
        <v>157.60863187334118</v>
      </c>
      <c r="AN431" s="14">
        <f t="shared" si="125"/>
        <v>0.441742986823915</v>
      </c>
      <c r="AO431" t="str">
        <f>IF(AN431&gt;=Assumptions!$B$3,"OK","Review")</f>
        <v>OK</v>
      </c>
    </row>
    <row r="432" spans="1:41" ht="15" customHeight="1">
      <c r="A432" s="9" t="s">
        <v>256</v>
      </c>
      <c r="B432" s="9" t="s">
        <v>46</v>
      </c>
      <c r="C432" s="9" t="s">
        <v>205</v>
      </c>
      <c r="D432" s="9" t="s">
        <v>240</v>
      </c>
      <c r="E432" s="9" t="s">
        <v>73</v>
      </c>
      <c r="F432" s="9" t="s">
        <v>74</v>
      </c>
      <c r="G432" s="9" t="s">
        <v>24</v>
      </c>
      <c r="H432" s="9" t="s">
        <v>84</v>
      </c>
      <c r="I432" s="9">
        <v>4000011845</v>
      </c>
      <c r="J432" s="10">
        <v>92.92</v>
      </c>
      <c r="K432" s="10"/>
      <c r="L432" s="10">
        <f t="shared" si="108"/>
        <v>92.92</v>
      </c>
      <c r="M432" s="11">
        <v>0</v>
      </c>
      <c r="N432" s="10">
        <f t="shared" si="109"/>
        <v>0</v>
      </c>
      <c r="O432" s="10">
        <f t="shared" si="110"/>
        <v>92.92</v>
      </c>
      <c r="P432" s="11">
        <f t="shared" si="111"/>
        <v>0.28345688051005158</v>
      </c>
      <c r="Q432" s="10">
        <f t="shared" si="112"/>
        <v>327.81</v>
      </c>
      <c r="R432" s="10">
        <f t="shared" si="113"/>
        <v>1961.7359999999999</v>
      </c>
      <c r="S432" s="10">
        <f t="shared" si="114"/>
        <v>556.06756694426656</v>
      </c>
      <c r="T432" s="9" t="s">
        <v>76</v>
      </c>
      <c r="U432" s="10">
        <v>3999</v>
      </c>
      <c r="V432" s="10">
        <f t="shared" si="115"/>
        <v>2799.2999999999997</v>
      </c>
      <c r="W432" s="166">
        <v>490110</v>
      </c>
      <c r="X432" s="12" t="s">
        <v>27</v>
      </c>
      <c r="Y432" s="12">
        <f t="shared" si="116"/>
        <v>556.06756694426656</v>
      </c>
      <c r="Z432" s="13">
        <f t="shared" si="117"/>
        <v>556.06756694426656</v>
      </c>
      <c r="AA432" s="13">
        <f t="shared" si="118"/>
        <v>556.06756694426656</v>
      </c>
      <c r="AB432" s="13">
        <f t="shared" si="119"/>
        <v>92.92</v>
      </c>
      <c r="AC432" s="13">
        <f t="shared" si="120"/>
        <v>463.14756694426654</v>
      </c>
      <c r="AD432" s="14">
        <f t="shared" si="121"/>
        <v>0.8328980046244755</v>
      </c>
      <c r="AE432" s="14">
        <f t="shared" si="122"/>
        <v>4.9843689942344653</v>
      </c>
      <c r="AF432" s="13" t="str">
        <f>IF(AD432&gt;=Assumptions!$B$3,"OK","Review")</f>
        <v>OK</v>
      </c>
      <c r="AG432" s="13">
        <f>IFERROR(IF(Assumptions!$B$13="Cost Price",AB432,AA432)*SUMIF(Assumptions!$A$6:$A$10,X432,Assumptions!$B$6:$B$10),0)</f>
        <v>44.485405355541324</v>
      </c>
      <c r="AH432" s="13">
        <f>IFERROR(IF(Assumptions!$B$13="Cost Price",AB432,AA432)*SUMIF(Assumptions!$A$6:$A$10,X432,Assumptions!$C$6:$C$10),0)</f>
        <v>27.803378347213329</v>
      </c>
      <c r="AI432" s="13">
        <f>IFERROR(IF(Assumptions!$B$13="Cost Price",AB432,AA432)*SUMIF(Assumptions!$A$6:$A$10,X432,Assumptions!$D$6:$D$10),0)</f>
        <v>55.606756694426657</v>
      </c>
      <c r="AJ432" s="13">
        <v>89.613078649217556</v>
      </c>
      <c r="AK432" s="13">
        <f t="shared" si="123"/>
        <v>217.50861904639888</v>
      </c>
      <c r="AL432" s="14">
        <v>0.33</v>
      </c>
      <c r="AM432" s="13">
        <f t="shared" si="124"/>
        <v>245.63894789786767</v>
      </c>
      <c r="AN432" s="14">
        <f t="shared" si="125"/>
        <v>0.44174298682391511</v>
      </c>
      <c r="AO432" t="str">
        <f>IF(AN432&gt;=Assumptions!$B$3,"OK","Review")</f>
        <v>OK</v>
      </c>
    </row>
    <row r="433" spans="1:41" ht="15" customHeight="1">
      <c r="A433" s="9" t="s">
        <v>256</v>
      </c>
      <c r="B433" s="9" t="s">
        <v>46</v>
      </c>
      <c r="C433" s="9" t="s">
        <v>243</v>
      </c>
      <c r="D433" s="9" t="s">
        <v>255</v>
      </c>
      <c r="E433" s="9" t="s">
        <v>73</v>
      </c>
      <c r="F433" s="9" t="s">
        <v>90</v>
      </c>
      <c r="G433" s="9" t="s">
        <v>24</v>
      </c>
      <c r="H433" s="9" t="s">
        <v>75</v>
      </c>
      <c r="I433" s="9">
        <v>7000001012</v>
      </c>
      <c r="J433" s="10">
        <v>248.9</v>
      </c>
      <c r="K433" s="10">
        <v>10</v>
      </c>
      <c r="L433" s="10">
        <f t="shared" si="108"/>
        <v>258.89999999999998</v>
      </c>
      <c r="M433" s="11">
        <v>0.18</v>
      </c>
      <c r="N433" s="10">
        <f t="shared" si="109"/>
        <v>46.601999999999997</v>
      </c>
      <c r="O433" s="10">
        <f t="shared" si="110"/>
        <v>305.50199999999995</v>
      </c>
      <c r="P433" s="11">
        <f t="shared" si="111"/>
        <v>0.72950126796280645</v>
      </c>
      <c r="Q433" s="10">
        <f t="shared" si="112"/>
        <v>418.78199999999993</v>
      </c>
      <c r="R433" s="10">
        <f t="shared" si="113"/>
        <v>1961.7359999999999</v>
      </c>
      <c r="S433" s="10">
        <f t="shared" si="114"/>
        <v>305.50199999999995</v>
      </c>
      <c r="T433" s="9" t="s">
        <v>91</v>
      </c>
      <c r="U433" s="10">
        <v>3999</v>
      </c>
      <c r="V433" s="10">
        <f t="shared" si="115"/>
        <v>2799.2999999999997</v>
      </c>
      <c r="W433" s="166">
        <v>49119990</v>
      </c>
      <c r="X433" s="12" t="s">
        <v>27</v>
      </c>
      <c r="Y433" s="12">
        <f t="shared" si="116"/>
        <v>305.50199999999995</v>
      </c>
      <c r="Z433" s="13">
        <f t="shared" si="117"/>
        <v>305.50199999999995</v>
      </c>
      <c r="AA433" s="13">
        <f t="shared" si="118"/>
        <v>258.89999999999998</v>
      </c>
      <c r="AB433" s="13">
        <f t="shared" si="119"/>
        <v>248.9</v>
      </c>
      <c r="AC433" s="13">
        <f t="shared" si="120"/>
        <v>9.9999999999999716</v>
      </c>
      <c r="AD433" s="14">
        <f t="shared" si="121"/>
        <v>3.8624951718810245E-2</v>
      </c>
      <c r="AE433" s="14">
        <f t="shared" si="122"/>
        <v>4.0176777822418526E-2</v>
      </c>
      <c r="AF433" s="13" t="str">
        <f>IF(AD433&gt;=Assumptions!$B$3,"OK","Review")</f>
        <v>Review</v>
      </c>
      <c r="AG433" s="13">
        <f>IFERROR(IF(Assumptions!$B$13="Cost Price",AB433,AA433)*SUMIF(Assumptions!$A$6:$A$10,X433,Assumptions!$B$6:$B$10),0)</f>
        <v>20.712</v>
      </c>
      <c r="AH433" s="13">
        <f>IFERROR(IF(Assumptions!$B$13="Cost Price",AB433,AA433)*SUMIF(Assumptions!$A$6:$A$10,X433,Assumptions!$C$6:$C$10),0)</f>
        <v>12.945</v>
      </c>
      <c r="AI433" s="13">
        <f>IFERROR(IF(Assumptions!$B$13="Cost Price",AB433,AA433)*SUMIF(Assumptions!$A$6:$A$10,X433,Assumptions!$D$6:$D$10),0)</f>
        <v>25.89</v>
      </c>
      <c r="AJ433" s="13">
        <v>25.89</v>
      </c>
      <c r="AK433" s="13">
        <f t="shared" si="123"/>
        <v>85.436999999999998</v>
      </c>
      <c r="AL433" s="14">
        <v>0.33</v>
      </c>
      <c r="AM433" s="13">
        <f t="shared" si="124"/>
        <v>-75.437000000000026</v>
      </c>
      <c r="AN433" s="14">
        <f t="shared" si="125"/>
        <v>-0.29137504828118976</v>
      </c>
      <c r="AO433" t="str">
        <f>IF(AN433&gt;=Assumptions!$B$3,"OK","Review")</f>
        <v>Review</v>
      </c>
    </row>
    <row r="434" spans="1:41" ht="15" customHeight="1">
      <c r="A434" s="9" t="s">
        <v>256</v>
      </c>
      <c r="B434" s="9" t="s">
        <v>46</v>
      </c>
      <c r="C434" s="9" t="s">
        <v>92</v>
      </c>
      <c r="D434" s="9" t="s">
        <v>93</v>
      </c>
      <c r="E434" s="9" t="s">
        <v>73</v>
      </c>
      <c r="F434" s="9" t="s">
        <v>94</v>
      </c>
      <c r="G434" s="9" t="s">
        <v>24</v>
      </c>
      <c r="H434" s="9" t="s">
        <v>75</v>
      </c>
      <c r="I434" s="9">
        <v>8400007</v>
      </c>
      <c r="J434" s="10">
        <v>96</v>
      </c>
      <c r="K434" s="10"/>
      <c r="L434" s="10">
        <f t="shared" si="108"/>
        <v>96</v>
      </c>
      <c r="M434" s="11">
        <v>0.18</v>
      </c>
      <c r="N434" s="10">
        <f t="shared" si="109"/>
        <v>17.28</v>
      </c>
      <c r="O434" s="10">
        <f t="shared" si="110"/>
        <v>113.28</v>
      </c>
      <c r="P434" s="11">
        <f t="shared" si="111"/>
        <v>0.2704987320371936</v>
      </c>
      <c r="Q434" s="10">
        <f t="shared" si="112"/>
        <v>418.78199999999993</v>
      </c>
      <c r="R434" s="10">
        <f t="shared" si="113"/>
        <v>1961.7359999999999</v>
      </c>
      <c r="S434" s="10">
        <f t="shared" si="114"/>
        <v>113.28</v>
      </c>
      <c r="T434" s="9" t="s">
        <v>91</v>
      </c>
      <c r="U434" s="10">
        <v>3999</v>
      </c>
      <c r="V434" s="10">
        <f t="shared" si="115"/>
        <v>2799.2999999999997</v>
      </c>
      <c r="W434" s="166">
        <v>999299</v>
      </c>
      <c r="X434" s="12" t="s">
        <v>27</v>
      </c>
      <c r="Y434" s="12">
        <f t="shared" si="116"/>
        <v>113.28</v>
      </c>
      <c r="Z434" s="13">
        <f t="shared" si="117"/>
        <v>113.28</v>
      </c>
      <c r="AA434" s="13">
        <f t="shared" si="118"/>
        <v>96</v>
      </c>
      <c r="AB434" s="13">
        <f t="shared" si="119"/>
        <v>96</v>
      </c>
      <c r="AC434" s="13">
        <f t="shared" si="120"/>
        <v>0</v>
      </c>
      <c r="AD434" s="14">
        <f t="shared" si="121"/>
        <v>0</v>
      </c>
      <c r="AE434" s="14">
        <f t="shared" si="122"/>
        <v>0</v>
      </c>
      <c r="AF434" s="13" t="str">
        <f>IF(AD434&gt;=Assumptions!$B$3,"OK","Review")</f>
        <v>Review</v>
      </c>
      <c r="AG434" s="13">
        <f>IFERROR(IF(Assumptions!$B$13="Cost Price",AB434,AA434)*SUMIF(Assumptions!$A$6:$A$10,X434,Assumptions!$B$6:$B$10),0)</f>
        <v>7.68</v>
      </c>
      <c r="AH434" s="13">
        <f>IFERROR(IF(Assumptions!$B$13="Cost Price",AB434,AA434)*SUMIF(Assumptions!$A$6:$A$10,X434,Assumptions!$C$6:$C$10),0)</f>
        <v>4.8000000000000007</v>
      </c>
      <c r="AI434" s="13">
        <f>IFERROR(IF(Assumptions!$B$13="Cost Price",AB434,AA434)*SUMIF(Assumptions!$A$6:$A$10,X434,Assumptions!$D$6:$D$10),0)</f>
        <v>9.6000000000000014</v>
      </c>
      <c r="AJ434" s="13">
        <v>9.6000000000000014</v>
      </c>
      <c r="AK434" s="13">
        <f t="shared" si="123"/>
        <v>31.680000000000003</v>
      </c>
      <c r="AL434" s="14">
        <v>0.33</v>
      </c>
      <c r="AM434" s="13">
        <f t="shared" si="124"/>
        <v>-31.680000000000003</v>
      </c>
      <c r="AN434" s="14">
        <f t="shared" si="125"/>
        <v>-0.33</v>
      </c>
      <c r="AO434" t="str">
        <f>IF(AN434&gt;=Assumptions!$B$3,"OK","Review")</f>
        <v>Review</v>
      </c>
    </row>
    <row r="435" spans="1:41">
      <c r="A435" s="9" t="s">
        <v>47</v>
      </c>
      <c r="B435" s="9" t="s">
        <v>35</v>
      </c>
      <c r="C435" s="9" t="s">
        <v>257</v>
      </c>
      <c r="D435" s="9" t="s">
        <v>258</v>
      </c>
      <c r="E435" s="9" t="s">
        <v>73</v>
      </c>
      <c r="F435" s="9" t="s">
        <v>74</v>
      </c>
      <c r="G435" s="9" t="s">
        <v>28</v>
      </c>
      <c r="H435" s="9" t="s">
        <v>75</v>
      </c>
      <c r="I435" s="9">
        <v>4000010172</v>
      </c>
      <c r="J435" s="10">
        <v>155.69999999999999</v>
      </c>
      <c r="K435" s="10"/>
      <c r="L435" s="10">
        <v>155.69999999999999</v>
      </c>
      <c r="M435" s="11">
        <v>0</v>
      </c>
      <c r="N435" s="10">
        <v>0</v>
      </c>
      <c r="O435" s="10">
        <v>155.69999999999999</v>
      </c>
      <c r="P435" s="11">
        <v>1</v>
      </c>
      <c r="Q435" s="10">
        <v>155.69999999999999</v>
      </c>
      <c r="R435" s="10">
        <f t="shared" ref="R435:R498" si="126">V435-SUMIFS(Q:Q,A:A,A435,B:B,B435,G:G,G435,E:E,E435,T:T,"Fixed Price ( Base Price with GST)")</f>
        <v>210</v>
      </c>
      <c r="S435" s="10">
        <v>300</v>
      </c>
      <c r="T435" s="9" t="s">
        <v>76</v>
      </c>
      <c r="U435" s="10">
        <v>300</v>
      </c>
      <c r="V435" s="10">
        <f t="shared" si="115"/>
        <v>210</v>
      </c>
      <c r="W435" s="166">
        <v>490300</v>
      </c>
      <c r="X435" s="12" t="s">
        <v>29</v>
      </c>
      <c r="Y435" s="12">
        <f t="shared" si="116"/>
        <v>300</v>
      </c>
      <c r="Z435" s="13">
        <f t="shared" si="117"/>
        <v>300</v>
      </c>
      <c r="AA435" s="13">
        <f t="shared" si="118"/>
        <v>300</v>
      </c>
      <c r="AB435" s="13">
        <f t="shared" si="119"/>
        <v>155.69999999999999</v>
      </c>
      <c r="AC435" s="13">
        <f t="shared" si="120"/>
        <v>144.30000000000001</v>
      </c>
      <c r="AD435" s="14">
        <f t="shared" si="121"/>
        <v>0.48100000000000004</v>
      </c>
      <c r="AE435" s="14">
        <f t="shared" si="122"/>
        <v>0.92678227360308296</v>
      </c>
      <c r="AF435" s="13" t="str">
        <f>IF(AD435&gt;=Assumptions!$B$3,"OK","Review")</f>
        <v>OK</v>
      </c>
      <c r="AG435" s="13">
        <f>IFERROR(IF(Assumptions!$B$13="Cost Price",AB435,AA435)*SUMIF(Assumptions!$A$6:$A$10,X435,Assumptions!$B$6:$B$10),0)</f>
        <v>24</v>
      </c>
      <c r="AH435" s="13">
        <f>IFERROR(IF(Assumptions!$B$13="Cost Price",AB435,AA435)*SUMIF(Assumptions!$A$6:$A$10,X435,Assumptions!$C$6:$C$10),0)</f>
        <v>15</v>
      </c>
      <c r="AI435" s="13">
        <f>IFERROR(IF(Assumptions!$B$13="Cost Price",AB435,AA435)*SUMIF(Assumptions!$A$6:$A$10,X435,Assumptions!$D$6:$D$10),0)</f>
        <v>30</v>
      </c>
      <c r="AJ435" s="13">
        <v>30</v>
      </c>
      <c r="AK435" s="13">
        <f t="shared" si="123"/>
        <v>99</v>
      </c>
      <c r="AL435" s="14">
        <v>0.33</v>
      </c>
      <c r="AM435" s="13">
        <f t="shared" si="124"/>
        <v>45.300000000000011</v>
      </c>
      <c r="AN435" s="14">
        <f t="shared" si="125"/>
        <v>0.15100000000000005</v>
      </c>
      <c r="AO435" t="str">
        <f>IF(AN435&gt;=Assumptions!$B$3,"OK","Review")</f>
        <v>Review</v>
      </c>
    </row>
    <row r="436" spans="1:41">
      <c r="A436" s="9" t="s">
        <v>47</v>
      </c>
      <c r="B436" s="9" t="s">
        <v>35</v>
      </c>
      <c r="C436" s="9" t="s">
        <v>259</v>
      </c>
      <c r="D436" s="9" t="s">
        <v>260</v>
      </c>
      <c r="E436" s="9" t="s">
        <v>73</v>
      </c>
      <c r="F436" s="9" t="s">
        <v>90</v>
      </c>
      <c r="G436" s="9" t="s">
        <v>28</v>
      </c>
      <c r="H436" s="9" t="s">
        <v>75</v>
      </c>
      <c r="I436" s="9">
        <v>4000006504</v>
      </c>
      <c r="J436" s="10">
        <v>332.47</v>
      </c>
      <c r="K436" s="10"/>
      <c r="L436" s="10">
        <v>332.47</v>
      </c>
      <c r="M436" s="11">
        <v>0.18</v>
      </c>
      <c r="N436" s="10">
        <v>59.84</v>
      </c>
      <c r="O436" s="10">
        <v>392.31</v>
      </c>
      <c r="P436" s="11">
        <v>1</v>
      </c>
      <c r="Q436" s="10">
        <v>392.31</v>
      </c>
      <c r="R436" s="10">
        <f t="shared" si="126"/>
        <v>489.99999999999994</v>
      </c>
      <c r="S436" s="10">
        <v>700</v>
      </c>
      <c r="T436" s="9" t="s">
        <v>76</v>
      </c>
      <c r="U436" s="10">
        <v>700</v>
      </c>
      <c r="V436" s="10">
        <f t="shared" si="115"/>
        <v>489.99999999999994</v>
      </c>
      <c r="W436" s="166">
        <v>90172090</v>
      </c>
      <c r="X436" s="12" t="s">
        <v>29</v>
      </c>
      <c r="Y436" s="12">
        <f t="shared" si="116"/>
        <v>700</v>
      </c>
      <c r="Z436" s="13">
        <f t="shared" si="117"/>
        <v>700</v>
      </c>
      <c r="AA436" s="13">
        <f t="shared" si="118"/>
        <v>593.22033898305085</v>
      </c>
      <c r="AB436" s="13">
        <f t="shared" si="119"/>
        <v>332.47</v>
      </c>
      <c r="AC436" s="13">
        <f t="shared" si="120"/>
        <v>260.75033898305082</v>
      </c>
      <c r="AD436" s="14">
        <f t="shared" si="121"/>
        <v>0.4395505714285714</v>
      </c>
      <c r="AE436" s="14">
        <f t="shared" si="122"/>
        <v>0.7842823081272019</v>
      </c>
      <c r="AF436" s="13" t="str">
        <f>IF(AD436&gt;=Assumptions!$B$3,"OK","Review")</f>
        <v>OK</v>
      </c>
      <c r="AG436" s="13">
        <f>IFERROR(IF(Assumptions!$B$13="Cost Price",AB436,AA436)*SUMIF(Assumptions!$A$6:$A$10,X436,Assumptions!$B$6:$B$10),0)</f>
        <v>47.457627118644069</v>
      </c>
      <c r="AH436" s="13">
        <f>IFERROR(IF(Assumptions!$B$13="Cost Price",AB436,AA436)*SUMIF(Assumptions!$A$6:$A$10,X436,Assumptions!$C$6:$C$10),0)</f>
        <v>29.661016949152543</v>
      </c>
      <c r="AI436" s="13">
        <f>IFERROR(IF(Assumptions!$B$13="Cost Price",AB436,AA436)*SUMIF(Assumptions!$A$6:$A$10,X436,Assumptions!$D$6:$D$10),0)</f>
        <v>59.322033898305087</v>
      </c>
      <c r="AJ436" s="13">
        <v>59.322033898305087</v>
      </c>
      <c r="AK436" s="13">
        <f t="shared" si="123"/>
        <v>195.76271186440678</v>
      </c>
      <c r="AL436" s="14">
        <v>0.33</v>
      </c>
      <c r="AM436" s="13">
        <f t="shared" si="124"/>
        <v>64.987627118644042</v>
      </c>
      <c r="AN436" s="14">
        <f t="shared" si="125"/>
        <v>0.10955057142857139</v>
      </c>
      <c r="AO436" t="str">
        <f>IF(AN436&gt;=Assumptions!$B$3,"OK","Review")</f>
        <v>Review</v>
      </c>
    </row>
    <row r="437" spans="1:41">
      <c r="A437" s="9" t="s">
        <v>47</v>
      </c>
      <c r="B437" s="9" t="s">
        <v>35</v>
      </c>
      <c r="C437" s="9" t="s">
        <v>261</v>
      </c>
      <c r="D437" s="9" t="s">
        <v>262</v>
      </c>
      <c r="E437" s="9" t="s">
        <v>73</v>
      </c>
      <c r="F437" s="9" t="s">
        <v>74</v>
      </c>
      <c r="G437" s="9" t="s">
        <v>28</v>
      </c>
      <c r="H437" s="9" t="s">
        <v>75</v>
      </c>
      <c r="I437" s="9">
        <v>4000010083</v>
      </c>
      <c r="J437" s="10">
        <v>44.25</v>
      </c>
      <c r="K437" s="10"/>
      <c r="L437" s="10">
        <v>44.25</v>
      </c>
      <c r="M437" s="11">
        <v>0</v>
      </c>
      <c r="N437" s="10">
        <v>0</v>
      </c>
      <c r="O437" s="10">
        <v>44.25</v>
      </c>
      <c r="P437" s="11">
        <v>0.5</v>
      </c>
      <c r="Q437" s="10">
        <v>88.5</v>
      </c>
      <c r="R437" s="10">
        <f t="shared" si="126"/>
        <v>350</v>
      </c>
      <c r="S437" s="10">
        <v>250</v>
      </c>
      <c r="T437" s="9" t="s">
        <v>76</v>
      </c>
      <c r="U437" s="10">
        <v>500</v>
      </c>
      <c r="V437" s="10">
        <f t="shared" si="115"/>
        <v>350</v>
      </c>
      <c r="W437" s="166">
        <v>490300</v>
      </c>
      <c r="X437" s="12" t="s">
        <v>29</v>
      </c>
      <c r="Y437" s="12">
        <f t="shared" si="116"/>
        <v>250</v>
      </c>
      <c r="Z437" s="13">
        <f t="shared" si="117"/>
        <v>250</v>
      </c>
      <c r="AA437" s="13">
        <f t="shared" si="118"/>
        <v>250</v>
      </c>
      <c r="AB437" s="13">
        <f t="shared" si="119"/>
        <v>44.25</v>
      </c>
      <c r="AC437" s="13">
        <f t="shared" si="120"/>
        <v>205.75</v>
      </c>
      <c r="AD437" s="14">
        <f t="shared" si="121"/>
        <v>0.82299999999999995</v>
      </c>
      <c r="AE437" s="14">
        <f t="shared" si="122"/>
        <v>4.6497175141242941</v>
      </c>
      <c r="AF437" s="13" t="str">
        <f>IF(AD437&gt;=Assumptions!$B$3,"OK","Review")</f>
        <v>OK</v>
      </c>
      <c r="AG437" s="13">
        <f>IFERROR(IF(Assumptions!$B$13="Cost Price",AB437,AA437)*SUMIF(Assumptions!$A$6:$A$10,X437,Assumptions!$B$6:$B$10),0)</f>
        <v>20</v>
      </c>
      <c r="AH437" s="13">
        <f>IFERROR(IF(Assumptions!$B$13="Cost Price",AB437,AA437)*SUMIF(Assumptions!$A$6:$A$10,X437,Assumptions!$C$6:$C$10),0)</f>
        <v>12.5</v>
      </c>
      <c r="AI437" s="13">
        <f>IFERROR(IF(Assumptions!$B$13="Cost Price",AB437,AA437)*SUMIF(Assumptions!$A$6:$A$10,X437,Assumptions!$D$6:$D$10),0)</f>
        <v>25</v>
      </c>
      <c r="AJ437" s="13">
        <v>25</v>
      </c>
      <c r="AK437" s="13">
        <f t="shared" si="123"/>
        <v>82.5</v>
      </c>
      <c r="AL437" s="14">
        <v>0.33</v>
      </c>
      <c r="AM437" s="13">
        <f t="shared" si="124"/>
        <v>123.25</v>
      </c>
      <c r="AN437" s="14">
        <f t="shared" si="125"/>
        <v>0.49299999999999999</v>
      </c>
      <c r="AO437" t="str">
        <f>IF(AN437&gt;=Assumptions!$B$3,"OK","Review")</f>
        <v>OK</v>
      </c>
    </row>
    <row r="438" spans="1:41">
      <c r="A438" s="9" t="s">
        <v>47</v>
      </c>
      <c r="B438" s="9" t="s">
        <v>35</v>
      </c>
      <c r="C438" s="9" t="s">
        <v>261</v>
      </c>
      <c r="D438" s="9" t="s">
        <v>263</v>
      </c>
      <c r="E438" s="9" t="s">
        <v>73</v>
      </c>
      <c r="F438" s="9" t="s">
        <v>74</v>
      </c>
      <c r="G438" s="9" t="s">
        <v>28</v>
      </c>
      <c r="H438" s="9" t="s">
        <v>84</v>
      </c>
      <c r="I438" s="9">
        <v>4000010105</v>
      </c>
      <c r="J438" s="10">
        <v>44.25</v>
      </c>
      <c r="K438" s="10"/>
      <c r="L438" s="10">
        <v>44.25</v>
      </c>
      <c r="M438" s="11">
        <v>0</v>
      </c>
      <c r="N438" s="10">
        <v>0</v>
      </c>
      <c r="O438" s="10">
        <v>44.25</v>
      </c>
      <c r="P438" s="11">
        <v>0.5</v>
      </c>
      <c r="Q438" s="10">
        <v>88.5</v>
      </c>
      <c r="R438" s="10">
        <f t="shared" si="126"/>
        <v>350</v>
      </c>
      <c r="S438" s="10">
        <v>250</v>
      </c>
      <c r="T438" s="9" t="s">
        <v>76</v>
      </c>
      <c r="U438" s="10">
        <v>500</v>
      </c>
      <c r="V438" s="10">
        <f t="shared" si="115"/>
        <v>350</v>
      </c>
      <c r="W438" s="166">
        <v>490300</v>
      </c>
      <c r="X438" s="12" t="s">
        <v>29</v>
      </c>
      <c r="Y438" s="12">
        <f t="shared" si="116"/>
        <v>250</v>
      </c>
      <c r="Z438" s="13">
        <f t="shared" si="117"/>
        <v>250</v>
      </c>
      <c r="AA438" s="13">
        <f t="shared" si="118"/>
        <v>250</v>
      </c>
      <c r="AB438" s="13">
        <f t="shared" si="119"/>
        <v>44.25</v>
      </c>
      <c r="AC438" s="13">
        <f t="shared" si="120"/>
        <v>205.75</v>
      </c>
      <c r="AD438" s="14">
        <f t="shared" si="121"/>
        <v>0.82299999999999995</v>
      </c>
      <c r="AE438" s="14">
        <f t="shared" si="122"/>
        <v>4.6497175141242941</v>
      </c>
      <c r="AF438" s="13" t="str">
        <f>IF(AD438&gt;=Assumptions!$B$3,"OK","Review")</f>
        <v>OK</v>
      </c>
      <c r="AG438" s="13">
        <f>IFERROR(IF(Assumptions!$B$13="Cost Price",AB438,AA438)*SUMIF(Assumptions!$A$6:$A$10,X438,Assumptions!$B$6:$B$10),0)</f>
        <v>20</v>
      </c>
      <c r="AH438" s="13">
        <f>IFERROR(IF(Assumptions!$B$13="Cost Price",AB438,AA438)*SUMIF(Assumptions!$A$6:$A$10,X438,Assumptions!$C$6:$C$10),0)</f>
        <v>12.5</v>
      </c>
      <c r="AI438" s="13">
        <f>IFERROR(IF(Assumptions!$B$13="Cost Price",AB438,AA438)*SUMIF(Assumptions!$A$6:$A$10,X438,Assumptions!$D$6:$D$10),0)</f>
        <v>25</v>
      </c>
      <c r="AJ438" s="13">
        <v>25</v>
      </c>
      <c r="AK438" s="13">
        <f t="shared" si="123"/>
        <v>82.5</v>
      </c>
      <c r="AL438" s="14">
        <v>0.33</v>
      </c>
      <c r="AM438" s="13">
        <f t="shared" si="124"/>
        <v>123.25</v>
      </c>
      <c r="AN438" s="14">
        <f t="shared" si="125"/>
        <v>0.49299999999999999</v>
      </c>
      <c r="AO438" t="str">
        <f>IF(AN438&gt;=Assumptions!$B$3,"OK","Review")</f>
        <v>OK</v>
      </c>
    </row>
    <row r="439" spans="1:41">
      <c r="A439" s="9" t="s">
        <v>47</v>
      </c>
      <c r="B439" s="9" t="s">
        <v>35</v>
      </c>
      <c r="C439" s="9" t="s">
        <v>264</v>
      </c>
      <c r="D439" s="9" t="s">
        <v>265</v>
      </c>
      <c r="E439" s="9" t="s">
        <v>73</v>
      </c>
      <c r="F439" s="9" t="s">
        <v>74</v>
      </c>
      <c r="G439" s="9" t="s">
        <v>28</v>
      </c>
      <c r="H439" s="9" t="s">
        <v>75</v>
      </c>
      <c r="I439" s="9">
        <v>4000010167</v>
      </c>
      <c r="J439" s="10">
        <v>57.35</v>
      </c>
      <c r="K439" s="10"/>
      <c r="L439" s="10">
        <v>57.35</v>
      </c>
      <c r="M439" s="11">
        <v>0</v>
      </c>
      <c r="N439" s="10">
        <v>0</v>
      </c>
      <c r="O439" s="10">
        <v>57.35</v>
      </c>
      <c r="P439" s="11">
        <v>1</v>
      </c>
      <c r="Q439" s="10">
        <v>57.35</v>
      </c>
      <c r="R439" s="10">
        <f t="shared" si="126"/>
        <v>262.5</v>
      </c>
      <c r="S439" s="10">
        <v>375</v>
      </c>
      <c r="T439" s="9" t="s">
        <v>76</v>
      </c>
      <c r="U439" s="10">
        <v>375</v>
      </c>
      <c r="V439" s="10">
        <f t="shared" si="115"/>
        <v>262.5</v>
      </c>
      <c r="W439" s="166">
        <v>490300</v>
      </c>
      <c r="X439" s="12" t="s">
        <v>29</v>
      </c>
      <c r="Y439" s="12">
        <f t="shared" si="116"/>
        <v>375</v>
      </c>
      <c r="Z439" s="13">
        <f t="shared" si="117"/>
        <v>375</v>
      </c>
      <c r="AA439" s="13">
        <f t="shared" si="118"/>
        <v>375</v>
      </c>
      <c r="AB439" s="13">
        <f t="shared" si="119"/>
        <v>57.35</v>
      </c>
      <c r="AC439" s="13">
        <f t="shared" si="120"/>
        <v>317.64999999999998</v>
      </c>
      <c r="AD439" s="14">
        <f t="shared" si="121"/>
        <v>0.84706666666666663</v>
      </c>
      <c r="AE439" s="14">
        <f t="shared" si="122"/>
        <v>5.5387968613775058</v>
      </c>
      <c r="AF439" s="13" t="str">
        <f>IF(AD439&gt;=Assumptions!$B$3,"OK","Review")</f>
        <v>OK</v>
      </c>
      <c r="AG439" s="13">
        <f>IFERROR(IF(Assumptions!$B$13="Cost Price",AB439,AA439)*SUMIF(Assumptions!$A$6:$A$10,X439,Assumptions!$B$6:$B$10),0)</f>
        <v>30</v>
      </c>
      <c r="AH439" s="13">
        <f>IFERROR(IF(Assumptions!$B$13="Cost Price",AB439,AA439)*SUMIF(Assumptions!$A$6:$A$10,X439,Assumptions!$C$6:$C$10),0)</f>
        <v>18.75</v>
      </c>
      <c r="AI439" s="13">
        <f>IFERROR(IF(Assumptions!$B$13="Cost Price",AB439,AA439)*SUMIF(Assumptions!$A$6:$A$10,X439,Assumptions!$D$6:$D$10),0)</f>
        <v>37.5</v>
      </c>
      <c r="AJ439" s="13">
        <v>37.5</v>
      </c>
      <c r="AK439" s="13">
        <f t="shared" si="123"/>
        <v>123.75</v>
      </c>
      <c r="AL439" s="14">
        <v>0.33</v>
      </c>
      <c r="AM439" s="13">
        <f t="shared" si="124"/>
        <v>193.89999999999998</v>
      </c>
      <c r="AN439" s="14">
        <f t="shared" si="125"/>
        <v>0.51706666666666656</v>
      </c>
      <c r="AO439" t="str">
        <f>IF(AN439&gt;=Assumptions!$B$3,"OK","Review")</f>
        <v>OK</v>
      </c>
    </row>
    <row r="440" spans="1:41">
      <c r="A440" s="9" t="s">
        <v>47</v>
      </c>
      <c r="B440" s="9" t="s">
        <v>35</v>
      </c>
      <c r="C440" s="9" t="s">
        <v>266</v>
      </c>
      <c r="D440" s="9" t="s">
        <v>267</v>
      </c>
      <c r="E440" s="9" t="s">
        <v>73</v>
      </c>
      <c r="F440" s="9" t="s">
        <v>74</v>
      </c>
      <c r="G440" s="9" t="s">
        <v>28</v>
      </c>
      <c r="H440" s="9" t="s">
        <v>75</v>
      </c>
      <c r="I440" s="9">
        <v>4000010156</v>
      </c>
      <c r="J440" s="10">
        <v>267.83999999999997</v>
      </c>
      <c r="K440" s="10"/>
      <c r="L440" s="10">
        <v>267.83999999999997</v>
      </c>
      <c r="M440" s="11">
        <v>0.12</v>
      </c>
      <c r="N440" s="10">
        <v>32.14</v>
      </c>
      <c r="O440" s="10">
        <v>299.98</v>
      </c>
      <c r="P440" s="11">
        <v>1</v>
      </c>
      <c r="Q440" s="10">
        <v>299.98</v>
      </c>
      <c r="R440" s="10">
        <f t="shared" si="126"/>
        <v>210</v>
      </c>
      <c r="S440" s="10">
        <v>300</v>
      </c>
      <c r="T440" s="9" t="s">
        <v>76</v>
      </c>
      <c r="U440" s="10">
        <v>300</v>
      </c>
      <c r="V440" s="10">
        <f t="shared" si="115"/>
        <v>210</v>
      </c>
      <c r="W440" s="166">
        <v>48202000</v>
      </c>
      <c r="X440" s="12" t="s">
        <v>29</v>
      </c>
      <c r="Y440" s="12">
        <f t="shared" si="116"/>
        <v>300</v>
      </c>
      <c r="Z440" s="13">
        <f t="shared" si="117"/>
        <v>300</v>
      </c>
      <c r="AA440" s="13">
        <f t="shared" si="118"/>
        <v>267.85714285714283</v>
      </c>
      <c r="AB440" s="13">
        <f t="shared" si="119"/>
        <v>267.83999999999997</v>
      </c>
      <c r="AC440" s="13">
        <f t="shared" si="120"/>
        <v>1.7142857142857792E-2</v>
      </c>
      <c r="AD440" s="14">
        <f t="shared" si="121"/>
        <v>6.4000000000002437E-5</v>
      </c>
      <c r="AE440" s="14">
        <f t="shared" si="122"/>
        <v>6.4004096262163204E-5</v>
      </c>
      <c r="AF440" s="13" t="str">
        <f>IF(AD440&gt;=Assumptions!$B$3,"OK","Review")</f>
        <v>Review</v>
      </c>
      <c r="AG440" s="13">
        <f>IFERROR(IF(Assumptions!$B$13="Cost Price",AB440,AA440)*SUMIF(Assumptions!$A$6:$A$10,X440,Assumptions!$B$6:$B$10),0)</f>
        <v>21.428571428571427</v>
      </c>
      <c r="AH440" s="13">
        <f>IFERROR(IF(Assumptions!$B$13="Cost Price",AB440,AA440)*SUMIF(Assumptions!$A$6:$A$10,X440,Assumptions!$C$6:$C$10),0)</f>
        <v>13.392857142857142</v>
      </c>
      <c r="AI440" s="13">
        <f>IFERROR(IF(Assumptions!$B$13="Cost Price",AB440,AA440)*SUMIF(Assumptions!$A$6:$A$10,X440,Assumptions!$D$6:$D$10),0)</f>
        <v>26.785714285714285</v>
      </c>
      <c r="AJ440" s="13">
        <v>26.785714285714285</v>
      </c>
      <c r="AK440" s="13">
        <f t="shared" si="123"/>
        <v>88.392857142857139</v>
      </c>
      <c r="AL440" s="14">
        <v>0.33</v>
      </c>
      <c r="AM440" s="13">
        <f t="shared" si="124"/>
        <v>-88.375714285714281</v>
      </c>
      <c r="AN440" s="14">
        <f t="shared" si="125"/>
        <v>-0.32993600000000001</v>
      </c>
      <c r="AO440" t="str">
        <f>IF(AN440&gt;=Assumptions!$B$3,"OK","Review")</f>
        <v>Review</v>
      </c>
    </row>
    <row r="441" spans="1:41">
      <c r="A441" s="9" t="s">
        <v>47</v>
      </c>
      <c r="B441" s="9" t="s">
        <v>35</v>
      </c>
      <c r="C441" s="9" t="s">
        <v>268</v>
      </c>
      <c r="D441" s="9" t="s">
        <v>269</v>
      </c>
      <c r="E441" s="9" t="s">
        <v>73</v>
      </c>
      <c r="F441" s="9" t="s">
        <v>74</v>
      </c>
      <c r="G441" s="9" t="s">
        <v>28</v>
      </c>
      <c r="H441" s="9" t="s">
        <v>75</v>
      </c>
      <c r="I441" s="9">
        <v>4000010084</v>
      </c>
      <c r="J441" s="10">
        <v>165.58</v>
      </c>
      <c r="K441" s="10"/>
      <c r="L441" s="10">
        <v>165.58</v>
      </c>
      <c r="M441" s="11">
        <v>0</v>
      </c>
      <c r="N441" s="10">
        <v>0</v>
      </c>
      <c r="O441" s="10">
        <v>165.58</v>
      </c>
      <c r="P441" s="11">
        <v>0.50239999999999996</v>
      </c>
      <c r="Q441" s="10">
        <v>329.59</v>
      </c>
      <c r="R441" s="10">
        <f t="shared" si="126"/>
        <v>392</v>
      </c>
      <c r="S441" s="10">
        <v>281.33</v>
      </c>
      <c r="T441" s="9" t="s">
        <v>76</v>
      </c>
      <c r="U441" s="10">
        <v>560</v>
      </c>
      <c r="V441" s="10">
        <f t="shared" si="115"/>
        <v>392</v>
      </c>
      <c r="W441" s="166">
        <v>490110</v>
      </c>
      <c r="X441" s="12" t="s">
        <v>29</v>
      </c>
      <c r="Y441" s="12">
        <f t="shared" si="116"/>
        <v>281.33</v>
      </c>
      <c r="Z441" s="13">
        <f t="shared" si="117"/>
        <v>281.33</v>
      </c>
      <c r="AA441" s="13">
        <f t="shared" si="118"/>
        <v>281.33</v>
      </c>
      <c r="AB441" s="13">
        <f t="shared" si="119"/>
        <v>165.58</v>
      </c>
      <c r="AC441" s="13">
        <f t="shared" si="120"/>
        <v>115.74999999999997</v>
      </c>
      <c r="AD441" s="14">
        <f t="shared" si="121"/>
        <v>0.4114385241531297</v>
      </c>
      <c r="AE441" s="14">
        <f t="shared" si="122"/>
        <v>0.69905785722913372</v>
      </c>
      <c r="AF441" s="13" t="str">
        <f>IF(AD441&gt;=Assumptions!$B$3,"OK","Review")</f>
        <v>OK</v>
      </c>
      <c r="AG441" s="13">
        <f>IFERROR(IF(Assumptions!$B$13="Cost Price",AB441,AA441)*SUMIF(Assumptions!$A$6:$A$10,X441,Assumptions!$B$6:$B$10),0)</f>
        <v>22.506399999999999</v>
      </c>
      <c r="AH441" s="13">
        <f>IFERROR(IF(Assumptions!$B$13="Cost Price",AB441,AA441)*SUMIF(Assumptions!$A$6:$A$10,X441,Assumptions!$C$6:$C$10),0)</f>
        <v>14.0665</v>
      </c>
      <c r="AI441" s="13">
        <f>IFERROR(IF(Assumptions!$B$13="Cost Price",AB441,AA441)*SUMIF(Assumptions!$A$6:$A$10,X441,Assumptions!$D$6:$D$10),0)</f>
        <v>28.132999999999999</v>
      </c>
      <c r="AJ441" s="13">
        <v>28.132999999999999</v>
      </c>
      <c r="AK441" s="13">
        <f t="shared" si="123"/>
        <v>92.838899999999995</v>
      </c>
      <c r="AL441" s="14">
        <v>0.33</v>
      </c>
      <c r="AM441" s="13">
        <f t="shared" si="124"/>
        <v>22.911099999999976</v>
      </c>
      <c r="AN441" s="14">
        <f t="shared" si="125"/>
        <v>8.1438524153129702E-2</v>
      </c>
      <c r="AO441" t="str">
        <f>IF(AN441&gt;=Assumptions!$B$3,"OK","Review")</f>
        <v>Review</v>
      </c>
    </row>
    <row r="442" spans="1:41">
      <c r="A442" s="9" t="s">
        <v>47</v>
      </c>
      <c r="B442" s="9" t="s">
        <v>35</v>
      </c>
      <c r="C442" s="9" t="s">
        <v>268</v>
      </c>
      <c r="D442" s="9" t="s">
        <v>270</v>
      </c>
      <c r="E442" s="9" t="s">
        <v>73</v>
      </c>
      <c r="F442" s="9" t="s">
        <v>74</v>
      </c>
      <c r="G442" s="9" t="s">
        <v>28</v>
      </c>
      <c r="H442" s="9" t="s">
        <v>84</v>
      </c>
      <c r="I442" s="9">
        <v>4000010106</v>
      </c>
      <c r="J442" s="10">
        <v>164.01</v>
      </c>
      <c r="K442" s="10"/>
      <c r="L442" s="10">
        <v>164.01</v>
      </c>
      <c r="M442" s="11">
        <v>0</v>
      </c>
      <c r="N442" s="10">
        <v>0</v>
      </c>
      <c r="O442" s="10">
        <v>164.01</v>
      </c>
      <c r="P442" s="11">
        <v>0.49759999999999999</v>
      </c>
      <c r="Q442" s="10">
        <v>329.59</v>
      </c>
      <c r="R442" s="10">
        <f t="shared" si="126"/>
        <v>392</v>
      </c>
      <c r="S442" s="10">
        <v>278.67</v>
      </c>
      <c r="T442" s="9" t="s">
        <v>76</v>
      </c>
      <c r="U442" s="10">
        <v>560</v>
      </c>
      <c r="V442" s="10">
        <f t="shared" si="115"/>
        <v>392</v>
      </c>
      <c r="W442" s="166">
        <v>490110</v>
      </c>
      <c r="X442" s="12" t="s">
        <v>29</v>
      </c>
      <c r="Y442" s="12">
        <f t="shared" si="116"/>
        <v>278.67</v>
      </c>
      <c r="Z442" s="13">
        <f t="shared" si="117"/>
        <v>278.67</v>
      </c>
      <c r="AA442" s="13">
        <f t="shared" si="118"/>
        <v>278.67</v>
      </c>
      <c r="AB442" s="13">
        <f t="shared" si="119"/>
        <v>164.01</v>
      </c>
      <c r="AC442" s="13">
        <f t="shared" si="120"/>
        <v>114.66000000000003</v>
      </c>
      <c r="AD442" s="14">
        <f t="shared" si="121"/>
        <v>0.41145440844009051</v>
      </c>
      <c r="AE442" s="14">
        <f t="shared" si="122"/>
        <v>0.6991037131882204</v>
      </c>
      <c r="AF442" s="13" t="str">
        <f>IF(AD442&gt;=Assumptions!$B$3,"OK","Review")</f>
        <v>OK</v>
      </c>
      <c r="AG442" s="13">
        <f>IFERROR(IF(Assumptions!$B$13="Cost Price",AB442,AA442)*SUMIF(Assumptions!$A$6:$A$10,X442,Assumptions!$B$6:$B$10),0)</f>
        <v>22.293600000000001</v>
      </c>
      <c r="AH442" s="13">
        <f>IFERROR(IF(Assumptions!$B$13="Cost Price",AB442,AA442)*SUMIF(Assumptions!$A$6:$A$10,X442,Assumptions!$C$6:$C$10),0)</f>
        <v>13.933500000000002</v>
      </c>
      <c r="AI442" s="13">
        <f>IFERROR(IF(Assumptions!$B$13="Cost Price",AB442,AA442)*SUMIF(Assumptions!$A$6:$A$10,X442,Assumptions!$D$6:$D$10),0)</f>
        <v>27.867000000000004</v>
      </c>
      <c r="AJ442" s="13">
        <v>27.867000000000004</v>
      </c>
      <c r="AK442" s="13">
        <f t="shared" si="123"/>
        <v>91.961100000000016</v>
      </c>
      <c r="AL442" s="14">
        <v>0.33</v>
      </c>
      <c r="AM442" s="13">
        <f t="shared" si="124"/>
        <v>22.698900000000009</v>
      </c>
      <c r="AN442" s="14">
        <f t="shared" si="125"/>
        <v>8.1454408440090456E-2</v>
      </c>
      <c r="AO442" t="str">
        <f>IF(AN442&gt;=Assumptions!$B$3,"OK","Review")</f>
        <v>Review</v>
      </c>
    </row>
    <row r="443" spans="1:41">
      <c r="A443" s="9" t="s">
        <v>47</v>
      </c>
      <c r="B443" s="9" t="s">
        <v>35</v>
      </c>
      <c r="C443" s="9" t="s">
        <v>271</v>
      </c>
      <c r="D443" s="9" t="s">
        <v>272</v>
      </c>
      <c r="E443" s="9" t="s">
        <v>73</v>
      </c>
      <c r="F443" s="9" t="s">
        <v>74</v>
      </c>
      <c r="G443" s="9" t="s">
        <v>28</v>
      </c>
      <c r="H443" s="9" t="s">
        <v>75</v>
      </c>
      <c r="I443" s="9">
        <v>4000010056</v>
      </c>
      <c r="J443" s="10">
        <v>38.229999999999997</v>
      </c>
      <c r="K443" s="10"/>
      <c r="L443" s="10">
        <v>38.229999999999997</v>
      </c>
      <c r="M443" s="11">
        <v>0</v>
      </c>
      <c r="N443" s="10">
        <v>0</v>
      </c>
      <c r="O443" s="10">
        <v>38.229999999999997</v>
      </c>
      <c r="P443" s="11">
        <v>1</v>
      </c>
      <c r="Q443" s="10">
        <v>38.229999999999997</v>
      </c>
      <c r="R443" s="10">
        <f t="shared" si="126"/>
        <v>140</v>
      </c>
      <c r="S443" s="10">
        <v>200</v>
      </c>
      <c r="T443" s="9" t="s">
        <v>76</v>
      </c>
      <c r="U443" s="10">
        <v>200</v>
      </c>
      <c r="V443" s="10">
        <f t="shared" si="115"/>
        <v>140</v>
      </c>
      <c r="W443" s="166">
        <v>490110</v>
      </c>
      <c r="X443" s="12" t="s">
        <v>29</v>
      </c>
      <c r="Y443" s="12">
        <f t="shared" si="116"/>
        <v>200</v>
      </c>
      <c r="Z443" s="13">
        <f t="shared" si="117"/>
        <v>200</v>
      </c>
      <c r="AA443" s="13">
        <f t="shared" si="118"/>
        <v>200</v>
      </c>
      <c r="AB443" s="13">
        <f t="shared" si="119"/>
        <v>38.229999999999997</v>
      </c>
      <c r="AC443" s="13">
        <f t="shared" si="120"/>
        <v>161.77000000000001</v>
      </c>
      <c r="AD443" s="14">
        <f t="shared" si="121"/>
        <v>0.80885000000000007</v>
      </c>
      <c r="AE443" s="14">
        <f t="shared" si="122"/>
        <v>4.2314935914203513</v>
      </c>
      <c r="AF443" s="13" t="str">
        <f>IF(AD443&gt;=Assumptions!$B$3,"OK","Review")</f>
        <v>OK</v>
      </c>
      <c r="AG443" s="13">
        <f>IFERROR(IF(Assumptions!$B$13="Cost Price",AB443,AA443)*SUMIF(Assumptions!$A$6:$A$10,X443,Assumptions!$B$6:$B$10),0)</f>
        <v>16</v>
      </c>
      <c r="AH443" s="13">
        <f>IFERROR(IF(Assumptions!$B$13="Cost Price",AB443,AA443)*SUMIF(Assumptions!$A$6:$A$10,X443,Assumptions!$C$6:$C$10),0)</f>
        <v>10</v>
      </c>
      <c r="AI443" s="13">
        <f>IFERROR(IF(Assumptions!$B$13="Cost Price",AB443,AA443)*SUMIF(Assumptions!$A$6:$A$10,X443,Assumptions!$D$6:$D$10),0)</f>
        <v>20</v>
      </c>
      <c r="AJ443" s="13">
        <v>20</v>
      </c>
      <c r="AK443" s="13">
        <f t="shared" si="123"/>
        <v>66</v>
      </c>
      <c r="AL443" s="14">
        <v>0.33</v>
      </c>
      <c r="AM443" s="13">
        <f t="shared" si="124"/>
        <v>95.77000000000001</v>
      </c>
      <c r="AN443" s="14">
        <f t="shared" si="125"/>
        <v>0.47885000000000005</v>
      </c>
      <c r="AO443" t="str">
        <f>IF(AN443&gt;=Assumptions!$B$3,"OK","Review")</f>
        <v>OK</v>
      </c>
    </row>
    <row r="444" spans="1:41">
      <c r="A444" s="9" t="s">
        <v>47</v>
      </c>
      <c r="B444" s="9" t="s">
        <v>35</v>
      </c>
      <c r="C444" s="9" t="s">
        <v>273</v>
      </c>
      <c r="D444" s="9" t="s">
        <v>274</v>
      </c>
      <c r="E444" s="9" t="s">
        <v>73</v>
      </c>
      <c r="F444" s="9" t="s">
        <v>74</v>
      </c>
      <c r="G444" s="9" t="s">
        <v>28</v>
      </c>
      <c r="H444" s="9" t="s">
        <v>75</v>
      </c>
      <c r="I444" s="9">
        <v>4000001482</v>
      </c>
      <c r="J444" s="10">
        <v>66</v>
      </c>
      <c r="K444" s="10"/>
      <c r="L444" s="10">
        <v>66</v>
      </c>
      <c r="M444" s="11">
        <v>0</v>
      </c>
      <c r="N444" s="10">
        <v>0</v>
      </c>
      <c r="O444" s="10">
        <v>66</v>
      </c>
      <c r="P444" s="11">
        <v>0.3947</v>
      </c>
      <c r="Q444" s="10">
        <v>167.2</v>
      </c>
      <c r="R444" s="10">
        <f t="shared" si="126"/>
        <v>392</v>
      </c>
      <c r="S444" s="10">
        <v>213.16</v>
      </c>
      <c r="T444" s="9" t="s">
        <v>76</v>
      </c>
      <c r="U444" s="10">
        <v>560</v>
      </c>
      <c r="V444" s="10">
        <f t="shared" si="115"/>
        <v>392</v>
      </c>
      <c r="W444" s="166">
        <v>490110</v>
      </c>
      <c r="X444" s="12" t="s">
        <v>29</v>
      </c>
      <c r="Y444" s="12">
        <f t="shared" si="116"/>
        <v>213.16</v>
      </c>
      <c r="Z444" s="13">
        <f t="shared" si="117"/>
        <v>213.16</v>
      </c>
      <c r="AA444" s="13">
        <f t="shared" si="118"/>
        <v>213.16</v>
      </c>
      <c r="AB444" s="13">
        <f t="shared" si="119"/>
        <v>66</v>
      </c>
      <c r="AC444" s="13">
        <f t="shared" si="120"/>
        <v>147.16</v>
      </c>
      <c r="AD444" s="14">
        <f t="shared" si="121"/>
        <v>0.69037342841058358</v>
      </c>
      <c r="AE444" s="14">
        <f t="shared" si="122"/>
        <v>2.2296969696969695</v>
      </c>
      <c r="AF444" s="13" t="str">
        <f>IF(AD444&gt;=Assumptions!$B$3,"OK","Review")</f>
        <v>OK</v>
      </c>
      <c r="AG444" s="13">
        <f>IFERROR(IF(Assumptions!$B$13="Cost Price",AB444,AA444)*SUMIF(Assumptions!$A$6:$A$10,X444,Assumptions!$B$6:$B$10),0)</f>
        <v>17.052800000000001</v>
      </c>
      <c r="AH444" s="13">
        <f>IFERROR(IF(Assumptions!$B$13="Cost Price",AB444,AA444)*SUMIF(Assumptions!$A$6:$A$10,X444,Assumptions!$C$6:$C$10),0)</f>
        <v>10.658000000000001</v>
      </c>
      <c r="AI444" s="13">
        <f>IFERROR(IF(Assumptions!$B$13="Cost Price",AB444,AA444)*SUMIF(Assumptions!$A$6:$A$10,X444,Assumptions!$D$6:$D$10),0)</f>
        <v>21.316000000000003</v>
      </c>
      <c r="AJ444" s="13">
        <v>21.316000000000003</v>
      </c>
      <c r="AK444" s="13">
        <f t="shared" si="123"/>
        <v>70.342800000000011</v>
      </c>
      <c r="AL444" s="14">
        <v>0.33</v>
      </c>
      <c r="AM444" s="13">
        <f t="shared" si="124"/>
        <v>76.817199999999985</v>
      </c>
      <c r="AN444" s="14">
        <f t="shared" si="125"/>
        <v>0.36037342841058356</v>
      </c>
      <c r="AO444" t="str">
        <f>IF(AN444&gt;=Assumptions!$B$3,"OK","Review")</f>
        <v>OK</v>
      </c>
    </row>
    <row r="445" spans="1:41">
      <c r="A445" s="9" t="s">
        <v>47</v>
      </c>
      <c r="B445" s="9" t="s">
        <v>35</v>
      </c>
      <c r="C445" s="9" t="s">
        <v>273</v>
      </c>
      <c r="D445" s="9" t="s">
        <v>275</v>
      </c>
      <c r="E445" s="9" t="s">
        <v>73</v>
      </c>
      <c r="F445" s="9" t="s">
        <v>74</v>
      </c>
      <c r="G445" s="9" t="s">
        <v>28</v>
      </c>
      <c r="H445" s="9" t="s">
        <v>84</v>
      </c>
      <c r="I445" s="9">
        <v>4000001474</v>
      </c>
      <c r="J445" s="10">
        <v>101.2</v>
      </c>
      <c r="K445" s="10"/>
      <c r="L445" s="10">
        <v>101.2</v>
      </c>
      <c r="M445" s="11">
        <v>0</v>
      </c>
      <c r="N445" s="10">
        <v>0</v>
      </c>
      <c r="O445" s="10">
        <v>101.2</v>
      </c>
      <c r="P445" s="11">
        <v>0.60529999999999995</v>
      </c>
      <c r="Q445" s="10">
        <v>167.2</v>
      </c>
      <c r="R445" s="10">
        <f t="shared" si="126"/>
        <v>392</v>
      </c>
      <c r="S445" s="10">
        <v>326.83999999999997</v>
      </c>
      <c r="T445" s="9" t="s">
        <v>76</v>
      </c>
      <c r="U445" s="10">
        <v>560</v>
      </c>
      <c r="V445" s="10">
        <f t="shared" si="115"/>
        <v>392</v>
      </c>
      <c r="W445" s="166">
        <v>490110</v>
      </c>
      <c r="X445" s="12" t="s">
        <v>29</v>
      </c>
      <c r="Y445" s="12">
        <f t="shared" si="116"/>
        <v>326.83999999999997</v>
      </c>
      <c r="Z445" s="13">
        <f t="shared" si="117"/>
        <v>326.83999999999997</v>
      </c>
      <c r="AA445" s="13">
        <f t="shared" si="118"/>
        <v>326.83999999999997</v>
      </c>
      <c r="AB445" s="13">
        <f t="shared" si="119"/>
        <v>101.2</v>
      </c>
      <c r="AC445" s="13">
        <f t="shared" si="120"/>
        <v>225.64</v>
      </c>
      <c r="AD445" s="14">
        <f t="shared" si="121"/>
        <v>0.69036837596377432</v>
      </c>
      <c r="AE445" s="14">
        <f t="shared" si="122"/>
        <v>2.2296442687747033</v>
      </c>
      <c r="AF445" s="13" t="str">
        <f>IF(AD445&gt;=Assumptions!$B$3,"OK","Review")</f>
        <v>OK</v>
      </c>
      <c r="AG445" s="13">
        <f>IFERROR(IF(Assumptions!$B$13="Cost Price",AB445,AA445)*SUMIF(Assumptions!$A$6:$A$10,X445,Assumptions!$B$6:$B$10),0)</f>
        <v>26.147199999999998</v>
      </c>
      <c r="AH445" s="13">
        <f>IFERROR(IF(Assumptions!$B$13="Cost Price",AB445,AA445)*SUMIF(Assumptions!$A$6:$A$10,X445,Assumptions!$C$6:$C$10),0)</f>
        <v>16.341999999999999</v>
      </c>
      <c r="AI445" s="13">
        <f>IFERROR(IF(Assumptions!$B$13="Cost Price",AB445,AA445)*SUMIF(Assumptions!$A$6:$A$10,X445,Assumptions!$D$6:$D$10),0)</f>
        <v>32.683999999999997</v>
      </c>
      <c r="AJ445" s="13">
        <v>32.683999999999997</v>
      </c>
      <c r="AK445" s="13">
        <f t="shared" si="123"/>
        <v>107.85719999999999</v>
      </c>
      <c r="AL445" s="14">
        <v>0.33</v>
      </c>
      <c r="AM445" s="13">
        <f t="shared" si="124"/>
        <v>117.78279999999999</v>
      </c>
      <c r="AN445" s="14">
        <f t="shared" si="125"/>
        <v>0.36036837596377436</v>
      </c>
      <c r="AO445" t="str">
        <f>IF(AN445&gt;=Assumptions!$B$3,"OK","Review")</f>
        <v>OK</v>
      </c>
    </row>
    <row r="446" spans="1:41">
      <c r="A446" s="9" t="s">
        <v>47</v>
      </c>
      <c r="B446" s="9" t="s">
        <v>36</v>
      </c>
      <c r="C446" s="9" t="s">
        <v>257</v>
      </c>
      <c r="D446" s="9" t="s">
        <v>276</v>
      </c>
      <c r="E446" s="9" t="s">
        <v>73</v>
      </c>
      <c r="F446" s="9" t="s">
        <v>74</v>
      </c>
      <c r="G446" s="9" t="s">
        <v>28</v>
      </c>
      <c r="H446" s="9" t="s">
        <v>75</v>
      </c>
      <c r="I446" s="9">
        <v>4000010100</v>
      </c>
      <c r="J446" s="10">
        <v>115.44</v>
      </c>
      <c r="K446" s="10"/>
      <c r="L446" s="10">
        <v>115.44</v>
      </c>
      <c r="M446" s="11">
        <v>0</v>
      </c>
      <c r="N446" s="10">
        <v>0</v>
      </c>
      <c r="O446" s="10">
        <v>115.44</v>
      </c>
      <c r="P446" s="11">
        <v>1</v>
      </c>
      <c r="Q446" s="10">
        <v>115.44</v>
      </c>
      <c r="R446" s="10">
        <f t="shared" si="126"/>
        <v>210</v>
      </c>
      <c r="S446" s="10">
        <v>300</v>
      </c>
      <c r="T446" s="9" t="s">
        <v>76</v>
      </c>
      <c r="U446" s="10">
        <v>300</v>
      </c>
      <c r="V446" s="10">
        <f t="shared" si="115"/>
        <v>210</v>
      </c>
      <c r="W446" s="166">
        <v>490300</v>
      </c>
      <c r="X446" s="12" t="s">
        <v>29</v>
      </c>
      <c r="Y446" s="12">
        <f t="shared" si="116"/>
        <v>300</v>
      </c>
      <c r="Z446" s="13">
        <f t="shared" si="117"/>
        <v>300</v>
      </c>
      <c r="AA446" s="13">
        <f t="shared" si="118"/>
        <v>300</v>
      </c>
      <c r="AB446" s="13">
        <f t="shared" si="119"/>
        <v>115.44</v>
      </c>
      <c r="AC446" s="13">
        <f t="shared" si="120"/>
        <v>184.56</v>
      </c>
      <c r="AD446" s="14">
        <f t="shared" si="121"/>
        <v>0.61519999999999997</v>
      </c>
      <c r="AE446" s="14">
        <f t="shared" si="122"/>
        <v>1.5987525987525988</v>
      </c>
      <c r="AF446" s="13" t="str">
        <f>IF(AD446&gt;=Assumptions!$B$3,"OK","Review")</f>
        <v>OK</v>
      </c>
      <c r="AG446" s="13">
        <f>IFERROR(IF(Assumptions!$B$13="Cost Price",AB446,AA446)*SUMIF(Assumptions!$A$6:$A$10,X446,Assumptions!$B$6:$B$10),0)</f>
        <v>24</v>
      </c>
      <c r="AH446" s="13">
        <f>IFERROR(IF(Assumptions!$B$13="Cost Price",AB446,AA446)*SUMIF(Assumptions!$A$6:$A$10,X446,Assumptions!$C$6:$C$10),0)</f>
        <v>15</v>
      </c>
      <c r="AI446" s="13">
        <f>IFERROR(IF(Assumptions!$B$13="Cost Price",AB446,AA446)*SUMIF(Assumptions!$A$6:$A$10,X446,Assumptions!$D$6:$D$10),0)</f>
        <v>30</v>
      </c>
      <c r="AJ446" s="13">
        <v>30</v>
      </c>
      <c r="AK446" s="13">
        <f t="shared" si="123"/>
        <v>99</v>
      </c>
      <c r="AL446" s="14">
        <v>0.33</v>
      </c>
      <c r="AM446" s="13">
        <f t="shared" si="124"/>
        <v>85.56</v>
      </c>
      <c r="AN446" s="14">
        <f t="shared" si="125"/>
        <v>0.28520000000000001</v>
      </c>
      <c r="AO446" t="str">
        <f>IF(AN446&gt;=Assumptions!$B$3,"OK","Review")</f>
        <v>Review</v>
      </c>
    </row>
    <row r="447" spans="1:41">
      <c r="A447" s="9" t="s">
        <v>47</v>
      </c>
      <c r="B447" s="9" t="s">
        <v>36</v>
      </c>
      <c r="C447" s="9" t="s">
        <v>259</v>
      </c>
      <c r="D447" s="9" t="s">
        <v>277</v>
      </c>
      <c r="E447" s="9" t="s">
        <v>73</v>
      </c>
      <c r="F447" s="9" t="s">
        <v>90</v>
      </c>
      <c r="G447" s="9" t="s">
        <v>28</v>
      </c>
      <c r="H447" s="9" t="s">
        <v>75</v>
      </c>
      <c r="I447" s="9">
        <v>4000006505</v>
      </c>
      <c r="J447" s="10">
        <v>296.72000000000003</v>
      </c>
      <c r="K447" s="10"/>
      <c r="L447" s="10">
        <v>296.72000000000003</v>
      </c>
      <c r="M447" s="11">
        <v>0.18</v>
      </c>
      <c r="N447" s="10">
        <v>53.41</v>
      </c>
      <c r="O447" s="10">
        <v>350.13</v>
      </c>
      <c r="P447" s="11">
        <v>1</v>
      </c>
      <c r="Q447" s="10">
        <v>350.13</v>
      </c>
      <c r="R447" s="10">
        <f t="shared" si="126"/>
        <v>489.99999999999994</v>
      </c>
      <c r="S447" s="10">
        <v>700</v>
      </c>
      <c r="T447" s="9" t="s">
        <v>76</v>
      </c>
      <c r="U447" s="10">
        <v>700</v>
      </c>
      <c r="V447" s="10">
        <f t="shared" si="115"/>
        <v>489.99999999999994</v>
      </c>
      <c r="W447" s="166">
        <v>90172090</v>
      </c>
      <c r="X447" s="12" t="s">
        <v>29</v>
      </c>
      <c r="Y447" s="12">
        <f t="shared" si="116"/>
        <v>700</v>
      </c>
      <c r="Z447" s="13">
        <f t="shared" si="117"/>
        <v>700</v>
      </c>
      <c r="AA447" s="13">
        <f t="shared" si="118"/>
        <v>593.22033898305085</v>
      </c>
      <c r="AB447" s="13">
        <f t="shared" si="119"/>
        <v>296.72000000000003</v>
      </c>
      <c r="AC447" s="13">
        <f t="shared" si="120"/>
        <v>296.50033898305082</v>
      </c>
      <c r="AD447" s="14">
        <f t="shared" si="121"/>
        <v>0.49981485714285712</v>
      </c>
      <c r="AE447" s="14">
        <f t="shared" si="122"/>
        <v>0.99925970269294551</v>
      </c>
      <c r="AF447" s="13" t="str">
        <f>IF(AD447&gt;=Assumptions!$B$3,"OK","Review")</f>
        <v>OK</v>
      </c>
      <c r="AG447" s="13">
        <f>IFERROR(IF(Assumptions!$B$13="Cost Price",AB447,AA447)*SUMIF(Assumptions!$A$6:$A$10,X447,Assumptions!$B$6:$B$10),0)</f>
        <v>47.457627118644069</v>
      </c>
      <c r="AH447" s="13">
        <f>IFERROR(IF(Assumptions!$B$13="Cost Price",AB447,AA447)*SUMIF(Assumptions!$A$6:$A$10,X447,Assumptions!$C$6:$C$10),0)</f>
        <v>29.661016949152543</v>
      </c>
      <c r="AI447" s="13">
        <f>IFERROR(IF(Assumptions!$B$13="Cost Price",AB447,AA447)*SUMIF(Assumptions!$A$6:$A$10,X447,Assumptions!$D$6:$D$10),0)</f>
        <v>59.322033898305087</v>
      </c>
      <c r="AJ447" s="13">
        <v>59.322033898305087</v>
      </c>
      <c r="AK447" s="13">
        <f t="shared" si="123"/>
        <v>195.76271186440678</v>
      </c>
      <c r="AL447" s="14">
        <v>0.33</v>
      </c>
      <c r="AM447" s="13">
        <f t="shared" si="124"/>
        <v>100.73762711864404</v>
      </c>
      <c r="AN447" s="14">
        <f t="shared" si="125"/>
        <v>0.1698148571428571</v>
      </c>
      <c r="AO447" t="str">
        <f>IF(AN447&gt;=Assumptions!$B$3,"OK","Review")</f>
        <v>Review</v>
      </c>
    </row>
    <row r="448" spans="1:41">
      <c r="A448" s="9" t="s">
        <v>47</v>
      </c>
      <c r="B448" s="9" t="s">
        <v>36</v>
      </c>
      <c r="C448" s="9" t="s">
        <v>261</v>
      </c>
      <c r="D448" s="9" t="s">
        <v>278</v>
      </c>
      <c r="E448" s="9" t="s">
        <v>73</v>
      </c>
      <c r="F448" s="9" t="s">
        <v>74</v>
      </c>
      <c r="G448" s="9" t="s">
        <v>28</v>
      </c>
      <c r="H448" s="9" t="s">
        <v>75</v>
      </c>
      <c r="I448" s="9">
        <v>4000010086</v>
      </c>
      <c r="J448" s="10">
        <v>44.25</v>
      </c>
      <c r="K448" s="10"/>
      <c r="L448" s="10">
        <v>44.25</v>
      </c>
      <c r="M448" s="11">
        <v>0</v>
      </c>
      <c r="N448" s="10">
        <v>0</v>
      </c>
      <c r="O448" s="10">
        <v>44.25</v>
      </c>
      <c r="P448" s="11">
        <v>0.5</v>
      </c>
      <c r="Q448" s="10">
        <v>88.5</v>
      </c>
      <c r="R448" s="10">
        <f t="shared" si="126"/>
        <v>350</v>
      </c>
      <c r="S448" s="10">
        <v>250</v>
      </c>
      <c r="T448" s="9" t="s">
        <v>76</v>
      </c>
      <c r="U448" s="10">
        <v>500</v>
      </c>
      <c r="V448" s="10">
        <f t="shared" si="115"/>
        <v>350</v>
      </c>
      <c r="W448" s="166">
        <v>490300</v>
      </c>
      <c r="X448" s="12" t="s">
        <v>29</v>
      </c>
      <c r="Y448" s="12">
        <f t="shared" si="116"/>
        <v>250</v>
      </c>
      <c r="Z448" s="13">
        <f t="shared" si="117"/>
        <v>250</v>
      </c>
      <c r="AA448" s="13">
        <f t="shared" si="118"/>
        <v>250</v>
      </c>
      <c r="AB448" s="13">
        <f t="shared" si="119"/>
        <v>44.25</v>
      </c>
      <c r="AC448" s="13">
        <f t="shared" si="120"/>
        <v>205.75</v>
      </c>
      <c r="AD448" s="14">
        <f t="shared" si="121"/>
        <v>0.82299999999999995</v>
      </c>
      <c r="AE448" s="14">
        <f t="shared" si="122"/>
        <v>4.6497175141242941</v>
      </c>
      <c r="AF448" s="13" t="str">
        <f>IF(AD448&gt;=Assumptions!$B$3,"OK","Review")</f>
        <v>OK</v>
      </c>
      <c r="AG448" s="13">
        <f>IFERROR(IF(Assumptions!$B$13="Cost Price",AB448,AA448)*SUMIF(Assumptions!$A$6:$A$10,X448,Assumptions!$B$6:$B$10),0)</f>
        <v>20</v>
      </c>
      <c r="AH448" s="13">
        <f>IFERROR(IF(Assumptions!$B$13="Cost Price",AB448,AA448)*SUMIF(Assumptions!$A$6:$A$10,X448,Assumptions!$C$6:$C$10),0)</f>
        <v>12.5</v>
      </c>
      <c r="AI448" s="13">
        <f>IFERROR(IF(Assumptions!$B$13="Cost Price",AB448,AA448)*SUMIF(Assumptions!$A$6:$A$10,X448,Assumptions!$D$6:$D$10),0)</f>
        <v>25</v>
      </c>
      <c r="AJ448" s="13">
        <v>25</v>
      </c>
      <c r="AK448" s="13">
        <f t="shared" si="123"/>
        <v>82.5</v>
      </c>
      <c r="AL448" s="14">
        <v>0.33</v>
      </c>
      <c r="AM448" s="13">
        <f t="shared" si="124"/>
        <v>123.25</v>
      </c>
      <c r="AN448" s="14">
        <f t="shared" si="125"/>
        <v>0.49299999999999999</v>
      </c>
      <c r="AO448" t="str">
        <f>IF(AN448&gt;=Assumptions!$B$3,"OK","Review")</f>
        <v>OK</v>
      </c>
    </row>
    <row r="449" spans="1:41">
      <c r="A449" s="9" t="s">
        <v>47</v>
      </c>
      <c r="B449" s="9" t="s">
        <v>36</v>
      </c>
      <c r="C449" s="9" t="s">
        <v>261</v>
      </c>
      <c r="D449" s="9" t="s">
        <v>279</v>
      </c>
      <c r="E449" s="9" t="s">
        <v>73</v>
      </c>
      <c r="F449" s="9" t="s">
        <v>74</v>
      </c>
      <c r="G449" s="9" t="s">
        <v>28</v>
      </c>
      <c r="H449" s="9" t="s">
        <v>84</v>
      </c>
      <c r="I449" s="9">
        <v>4000010108</v>
      </c>
      <c r="J449" s="10">
        <v>44.25</v>
      </c>
      <c r="K449" s="10"/>
      <c r="L449" s="10">
        <v>44.25</v>
      </c>
      <c r="M449" s="11">
        <v>0</v>
      </c>
      <c r="N449" s="10">
        <v>0</v>
      </c>
      <c r="O449" s="10">
        <v>44.25</v>
      </c>
      <c r="P449" s="11">
        <v>0.5</v>
      </c>
      <c r="Q449" s="10">
        <v>88.5</v>
      </c>
      <c r="R449" s="10">
        <f t="shared" si="126"/>
        <v>350</v>
      </c>
      <c r="S449" s="10">
        <v>250</v>
      </c>
      <c r="T449" s="9" t="s">
        <v>76</v>
      </c>
      <c r="U449" s="10">
        <v>500</v>
      </c>
      <c r="V449" s="10">
        <f t="shared" si="115"/>
        <v>350</v>
      </c>
      <c r="W449" s="166">
        <v>490300</v>
      </c>
      <c r="X449" s="12" t="s">
        <v>29</v>
      </c>
      <c r="Y449" s="12">
        <f t="shared" si="116"/>
        <v>250</v>
      </c>
      <c r="Z449" s="13">
        <f t="shared" si="117"/>
        <v>250</v>
      </c>
      <c r="AA449" s="13">
        <f t="shared" si="118"/>
        <v>250</v>
      </c>
      <c r="AB449" s="13">
        <f t="shared" si="119"/>
        <v>44.25</v>
      </c>
      <c r="AC449" s="13">
        <f t="shared" si="120"/>
        <v>205.75</v>
      </c>
      <c r="AD449" s="14">
        <f t="shared" si="121"/>
        <v>0.82299999999999995</v>
      </c>
      <c r="AE449" s="14">
        <f t="shared" si="122"/>
        <v>4.6497175141242941</v>
      </c>
      <c r="AF449" s="13" t="str">
        <f>IF(AD449&gt;=Assumptions!$B$3,"OK","Review")</f>
        <v>OK</v>
      </c>
      <c r="AG449" s="13">
        <f>IFERROR(IF(Assumptions!$B$13="Cost Price",AB449,AA449)*SUMIF(Assumptions!$A$6:$A$10,X449,Assumptions!$B$6:$B$10),0)</f>
        <v>20</v>
      </c>
      <c r="AH449" s="13">
        <f>IFERROR(IF(Assumptions!$B$13="Cost Price",AB449,AA449)*SUMIF(Assumptions!$A$6:$A$10,X449,Assumptions!$C$6:$C$10),0)</f>
        <v>12.5</v>
      </c>
      <c r="AI449" s="13">
        <f>IFERROR(IF(Assumptions!$B$13="Cost Price",AB449,AA449)*SUMIF(Assumptions!$A$6:$A$10,X449,Assumptions!$D$6:$D$10),0)</f>
        <v>25</v>
      </c>
      <c r="AJ449" s="13">
        <v>25</v>
      </c>
      <c r="AK449" s="13">
        <f t="shared" si="123"/>
        <v>82.5</v>
      </c>
      <c r="AL449" s="14">
        <v>0.33</v>
      </c>
      <c r="AM449" s="13">
        <f t="shared" si="124"/>
        <v>123.25</v>
      </c>
      <c r="AN449" s="14">
        <f t="shared" si="125"/>
        <v>0.49299999999999999</v>
      </c>
      <c r="AO449" t="str">
        <f>IF(AN449&gt;=Assumptions!$B$3,"OK","Review")</f>
        <v>OK</v>
      </c>
    </row>
    <row r="450" spans="1:41">
      <c r="A450" s="9" t="s">
        <v>47</v>
      </c>
      <c r="B450" s="9" t="s">
        <v>36</v>
      </c>
      <c r="C450" s="9" t="s">
        <v>264</v>
      </c>
      <c r="D450" s="9" t="s">
        <v>280</v>
      </c>
      <c r="E450" s="9" t="s">
        <v>73</v>
      </c>
      <c r="F450" s="9" t="s">
        <v>74</v>
      </c>
      <c r="G450" s="9" t="s">
        <v>28</v>
      </c>
      <c r="H450" s="9" t="s">
        <v>75</v>
      </c>
      <c r="I450" s="9">
        <v>4000010122</v>
      </c>
      <c r="J450" s="10">
        <v>57.35</v>
      </c>
      <c r="K450" s="10"/>
      <c r="L450" s="10">
        <v>57.35</v>
      </c>
      <c r="M450" s="11">
        <v>0</v>
      </c>
      <c r="N450" s="10">
        <v>0</v>
      </c>
      <c r="O450" s="10">
        <v>57.35</v>
      </c>
      <c r="P450" s="11">
        <v>1</v>
      </c>
      <c r="Q450" s="10">
        <v>57.35</v>
      </c>
      <c r="R450" s="10">
        <f t="shared" si="126"/>
        <v>262.5</v>
      </c>
      <c r="S450" s="10">
        <v>375</v>
      </c>
      <c r="T450" s="9" t="s">
        <v>76</v>
      </c>
      <c r="U450" s="10">
        <v>375</v>
      </c>
      <c r="V450" s="10">
        <f t="shared" ref="V450:V513" si="127">IFERROR(U450*(1-30%),0)</f>
        <v>262.5</v>
      </c>
      <c r="W450" s="166">
        <v>490300</v>
      </c>
      <c r="X450" s="12" t="s">
        <v>29</v>
      </c>
      <c r="Y450" s="12">
        <f t="shared" ref="Y450:Y513" si="128">IFERROR(S450,0)</f>
        <v>375</v>
      </c>
      <c r="Z450" s="13">
        <f t="shared" ref="Z450:Z513" si="129">IF(ISNUMBER(S450),S450,0)</f>
        <v>375</v>
      </c>
      <c r="AA450" s="13">
        <f t="shared" ref="AA450:AA513" si="130">IFERROR(Z450/(1+M450),Z450)</f>
        <v>375</v>
      </c>
      <c r="AB450" s="13">
        <f t="shared" ref="AB450:AB513" si="131">IF(ISNUMBER(J450),J450,0)</f>
        <v>57.35</v>
      </c>
      <c r="AC450" s="13">
        <f t="shared" ref="AC450:AC513" si="132">AA450-AB450</f>
        <v>317.64999999999998</v>
      </c>
      <c r="AD450" s="14">
        <f t="shared" ref="AD450:AD513" si="133">IFERROR(AC450/AA450,0)</f>
        <v>0.84706666666666663</v>
      </c>
      <c r="AE450" s="14">
        <f t="shared" ref="AE450:AE513" si="134">IFERROR(AC450/AB450,0)</f>
        <v>5.5387968613775058</v>
      </c>
      <c r="AF450" s="13" t="str">
        <f>IF(AD450&gt;=Assumptions!$B$3,"OK","Review")</f>
        <v>OK</v>
      </c>
      <c r="AG450" s="13">
        <f>IFERROR(IF(Assumptions!$B$13="Cost Price",AB450,AA450)*SUMIF(Assumptions!$A$6:$A$10,X450,Assumptions!$B$6:$B$10),0)</f>
        <v>30</v>
      </c>
      <c r="AH450" s="13">
        <f>IFERROR(IF(Assumptions!$B$13="Cost Price",AB450,AA450)*SUMIF(Assumptions!$A$6:$A$10,X450,Assumptions!$C$6:$C$10),0)</f>
        <v>18.75</v>
      </c>
      <c r="AI450" s="13">
        <f>IFERROR(IF(Assumptions!$B$13="Cost Price",AB450,AA450)*SUMIF(Assumptions!$A$6:$A$10,X450,Assumptions!$D$6:$D$10),0)</f>
        <v>37.5</v>
      </c>
      <c r="AJ450" s="13">
        <v>37.5</v>
      </c>
      <c r="AK450" s="13">
        <f t="shared" ref="AK450:AK513" si="135">SUM(AG450:AJ450)</f>
        <v>123.75</v>
      </c>
      <c r="AL450" s="14">
        <v>0.33</v>
      </c>
      <c r="AM450" s="13">
        <f t="shared" ref="AM450:AM513" si="136">AC450-AK450</f>
        <v>193.89999999999998</v>
      </c>
      <c r="AN450" s="14">
        <f t="shared" ref="AN450:AN513" si="137">IFERROR(AM450/AA450,0)</f>
        <v>0.51706666666666656</v>
      </c>
      <c r="AO450" t="str">
        <f>IF(AN450&gt;=Assumptions!$B$3,"OK","Review")</f>
        <v>OK</v>
      </c>
    </row>
    <row r="451" spans="1:41">
      <c r="A451" s="9" t="s">
        <v>47</v>
      </c>
      <c r="B451" s="9" t="s">
        <v>36</v>
      </c>
      <c r="C451" s="9" t="s">
        <v>266</v>
      </c>
      <c r="D451" s="9" t="s">
        <v>281</v>
      </c>
      <c r="E451" s="9" t="s">
        <v>73</v>
      </c>
      <c r="F451" s="9" t="s">
        <v>74</v>
      </c>
      <c r="G451" s="9" t="s">
        <v>28</v>
      </c>
      <c r="H451" s="9" t="s">
        <v>75</v>
      </c>
      <c r="I451" s="9">
        <v>4000010111</v>
      </c>
      <c r="J451" s="10">
        <v>267.83999999999997</v>
      </c>
      <c r="K451" s="10"/>
      <c r="L451" s="10">
        <v>267.83999999999997</v>
      </c>
      <c r="M451" s="11">
        <v>0.12</v>
      </c>
      <c r="N451" s="10">
        <v>32.14</v>
      </c>
      <c r="O451" s="10">
        <v>299.98</v>
      </c>
      <c r="P451" s="11">
        <v>1</v>
      </c>
      <c r="Q451" s="10">
        <v>299.98</v>
      </c>
      <c r="R451" s="10">
        <f t="shared" si="126"/>
        <v>210</v>
      </c>
      <c r="S451" s="10">
        <v>300</v>
      </c>
      <c r="T451" s="9" t="s">
        <v>76</v>
      </c>
      <c r="U451" s="10">
        <v>300</v>
      </c>
      <c r="V451" s="10">
        <f t="shared" si="127"/>
        <v>210</v>
      </c>
      <c r="W451" s="166">
        <v>48202000</v>
      </c>
      <c r="X451" s="12" t="s">
        <v>29</v>
      </c>
      <c r="Y451" s="12">
        <f t="shared" si="128"/>
        <v>300</v>
      </c>
      <c r="Z451" s="13">
        <f t="shared" si="129"/>
        <v>300</v>
      </c>
      <c r="AA451" s="13">
        <f t="shared" si="130"/>
        <v>267.85714285714283</v>
      </c>
      <c r="AB451" s="13">
        <f t="shared" si="131"/>
        <v>267.83999999999997</v>
      </c>
      <c r="AC451" s="13">
        <f t="shared" si="132"/>
        <v>1.7142857142857792E-2</v>
      </c>
      <c r="AD451" s="14">
        <f t="shared" si="133"/>
        <v>6.4000000000002437E-5</v>
      </c>
      <c r="AE451" s="14">
        <f t="shared" si="134"/>
        <v>6.4004096262163204E-5</v>
      </c>
      <c r="AF451" s="13" t="str">
        <f>IF(AD451&gt;=Assumptions!$B$3,"OK","Review")</f>
        <v>Review</v>
      </c>
      <c r="AG451" s="13">
        <f>IFERROR(IF(Assumptions!$B$13="Cost Price",AB451,AA451)*SUMIF(Assumptions!$A$6:$A$10,X451,Assumptions!$B$6:$B$10),0)</f>
        <v>21.428571428571427</v>
      </c>
      <c r="AH451" s="13">
        <f>IFERROR(IF(Assumptions!$B$13="Cost Price",AB451,AA451)*SUMIF(Assumptions!$A$6:$A$10,X451,Assumptions!$C$6:$C$10),0)</f>
        <v>13.392857142857142</v>
      </c>
      <c r="AI451" s="13">
        <f>IFERROR(IF(Assumptions!$B$13="Cost Price",AB451,AA451)*SUMIF(Assumptions!$A$6:$A$10,X451,Assumptions!$D$6:$D$10),0)</f>
        <v>26.785714285714285</v>
      </c>
      <c r="AJ451" s="13">
        <v>26.785714285714285</v>
      </c>
      <c r="AK451" s="13">
        <f t="shared" si="135"/>
        <v>88.392857142857139</v>
      </c>
      <c r="AL451" s="14">
        <v>0.33</v>
      </c>
      <c r="AM451" s="13">
        <f t="shared" si="136"/>
        <v>-88.375714285714281</v>
      </c>
      <c r="AN451" s="14">
        <f t="shared" si="137"/>
        <v>-0.32993600000000001</v>
      </c>
      <c r="AO451" t="str">
        <f>IF(AN451&gt;=Assumptions!$B$3,"OK","Review")</f>
        <v>Review</v>
      </c>
    </row>
    <row r="452" spans="1:41">
      <c r="A452" s="9" t="s">
        <v>47</v>
      </c>
      <c r="B452" s="9" t="s">
        <v>36</v>
      </c>
      <c r="C452" s="9" t="s">
        <v>282</v>
      </c>
      <c r="D452" s="9" t="s">
        <v>283</v>
      </c>
      <c r="E452" s="9" t="s">
        <v>73</v>
      </c>
      <c r="F452" s="9" t="s">
        <v>74</v>
      </c>
      <c r="G452" s="9" t="s">
        <v>28</v>
      </c>
      <c r="H452" s="9" t="s">
        <v>75</v>
      </c>
      <c r="I452" s="9">
        <v>4000010087</v>
      </c>
      <c r="J452" s="10">
        <v>153.29</v>
      </c>
      <c r="K452" s="10"/>
      <c r="L452" s="10">
        <v>153.29</v>
      </c>
      <c r="M452" s="11">
        <v>0</v>
      </c>
      <c r="N452" s="10">
        <v>0</v>
      </c>
      <c r="O452" s="10">
        <v>153.29</v>
      </c>
      <c r="P452" s="11">
        <v>0.6048</v>
      </c>
      <c r="Q452" s="10">
        <v>253.44</v>
      </c>
      <c r="R452" s="10">
        <f t="shared" si="126"/>
        <v>392</v>
      </c>
      <c r="S452" s="10">
        <v>338.71</v>
      </c>
      <c r="T452" s="9" t="s">
        <v>76</v>
      </c>
      <c r="U452" s="10">
        <v>560</v>
      </c>
      <c r="V452" s="10">
        <f t="shared" si="127"/>
        <v>392</v>
      </c>
      <c r="W452" s="166">
        <v>490110</v>
      </c>
      <c r="X452" s="12" t="s">
        <v>29</v>
      </c>
      <c r="Y452" s="12">
        <f t="shared" si="128"/>
        <v>338.71</v>
      </c>
      <c r="Z452" s="13">
        <f t="shared" si="129"/>
        <v>338.71</v>
      </c>
      <c r="AA452" s="13">
        <f t="shared" si="130"/>
        <v>338.71</v>
      </c>
      <c r="AB452" s="13">
        <f t="shared" si="131"/>
        <v>153.29</v>
      </c>
      <c r="AC452" s="13">
        <f t="shared" si="132"/>
        <v>185.42</v>
      </c>
      <c r="AD452" s="14">
        <f t="shared" si="133"/>
        <v>0.54742995482861445</v>
      </c>
      <c r="AE452" s="14">
        <f t="shared" si="134"/>
        <v>1.2096027138104246</v>
      </c>
      <c r="AF452" s="13" t="str">
        <f>IF(AD452&gt;=Assumptions!$B$3,"OK","Review")</f>
        <v>OK</v>
      </c>
      <c r="AG452" s="13">
        <f>IFERROR(IF(Assumptions!$B$13="Cost Price",AB452,AA452)*SUMIF(Assumptions!$A$6:$A$10,X452,Assumptions!$B$6:$B$10),0)</f>
        <v>27.096799999999998</v>
      </c>
      <c r="AH452" s="13">
        <f>IFERROR(IF(Assumptions!$B$13="Cost Price",AB452,AA452)*SUMIF(Assumptions!$A$6:$A$10,X452,Assumptions!$C$6:$C$10),0)</f>
        <v>16.935500000000001</v>
      </c>
      <c r="AI452" s="13">
        <f>IFERROR(IF(Assumptions!$B$13="Cost Price",AB452,AA452)*SUMIF(Assumptions!$A$6:$A$10,X452,Assumptions!$D$6:$D$10),0)</f>
        <v>33.871000000000002</v>
      </c>
      <c r="AJ452" s="13">
        <v>33.871000000000002</v>
      </c>
      <c r="AK452" s="13">
        <f t="shared" si="135"/>
        <v>111.77430000000001</v>
      </c>
      <c r="AL452" s="14">
        <v>0.33</v>
      </c>
      <c r="AM452" s="13">
        <f t="shared" si="136"/>
        <v>73.645699999999977</v>
      </c>
      <c r="AN452" s="14">
        <f t="shared" si="137"/>
        <v>0.21742995482861438</v>
      </c>
      <c r="AO452" t="str">
        <f>IF(AN452&gt;=Assumptions!$B$3,"OK","Review")</f>
        <v>Review</v>
      </c>
    </row>
    <row r="453" spans="1:41">
      <c r="A453" s="9" t="s">
        <v>47</v>
      </c>
      <c r="B453" s="9" t="s">
        <v>36</v>
      </c>
      <c r="C453" s="9" t="s">
        <v>282</v>
      </c>
      <c r="D453" s="9" t="s">
        <v>284</v>
      </c>
      <c r="E453" s="9" t="s">
        <v>73</v>
      </c>
      <c r="F453" s="9" t="s">
        <v>74</v>
      </c>
      <c r="G453" s="9" t="s">
        <v>28</v>
      </c>
      <c r="H453" s="9" t="s">
        <v>84</v>
      </c>
      <c r="I453" s="9">
        <v>4000010109</v>
      </c>
      <c r="J453" s="10">
        <v>100.15</v>
      </c>
      <c r="K453" s="10"/>
      <c r="L453" s="10">
        <v>100.15</v>
      </c>
      <c r="M453" s="11">
        <v>0</v>
      </c>
      <c r="N453" s="10">
        <v>0</v>
      </c>
      <c r="O453" s="10">
        <v>100.15</v>
      </c>
      <c r="P453" s="11">
        <v>0.3952</v>
      </c>
      <c r="Q453" s="10">
        <v>253.44</v>
      </c>
      <c r="R453" s="10">
        <f t="shared" si="126"/>
        <v>392</v>
      </c>
      <c r="S453" s="10">
        <v>221.29</v>
      </c>
      <c r="T453" s="9" t="s">
        <v>76</v>
      </c>
      <c r="U453" s="10">
        <v>560</v>
      </c>
      <c r="V453" s="10">
        <f t="shared" si="127"/>
        <v>392</v>
      </c>
      <c r="W453" s="166">
        <v>490110</v>
      </c>
      <c r="X453" s="12" t="s">
        <v>29</v>
      </c>
      <c r="Y453" s="12">
        <f t="shared" si="128"/>
        <v>221.29</v>
      </c>
      <c r="Z453" s="13">
        <f t="shared" si="129"/>
        <v>221.29</v>
      </c>
      <c r="AA453" s="13">
        <f t="shared" si="130"/>
        <v>221.29</v>
      </c>
      <c r="AB453" s="13">
        <f t="shared" si="131"/>
        <v>100.15</v>
      </c>
      <c r="AC453" s="13">
        <f t="shared" si="132"/>
        <v>121.13999999999999</v>
      </c>
      <c r="AD453" s="14">
        <f t="shared" si="133"/>
        <v>0.54742645397442269</v>
      </c>
      <c r="AE453" s="14">
        <f t="shared" si="134"/>
        <v>1.2095856215676484</v>
      </c>
      <c r="AF453" s="13" t="str">
        <f>IF(AD453&gt;=Assumptions!$B$3,"OK","Review")</f>
        <v>OK</v>
      </c>
      <c r="AG453" s="13">
        <f>IFERROR(IF(Assumptions!$B$13="Cost Price",AB453,AA453)*SUMIF(Assumptions!$A$6:$A$10,X453,Assumptions!$B$6:$B$10),0)</f>
        <v>17.703199999999999</v>
      </c>
      <c r="AH453" s="13">
        <f>IFERROR(IF(Assumptions!$B$13="Cost Price",AB453,AA453)*SUMIF(Assumptions!$A$6:$A$10,X453,Assumptions!$C$6:$C$10),0)</f>
        <v>11.064500000000001</v>
      </c>
      <c r="AI453" s="13">
        <f>IFERROR(IF(Assumptions!$B$13="Cost Price",AB453,AA453)*SUMIF(Assumptions!$A$6:$A$10,X453,Assumptions!$D$6:$D$10),0)</f>
        <v>22.129000000000001</v>
      </c>
      <c r="AJ453" s="13">
        <v>22.129000000000001</v>
      </c>
      <c r="AK453" s="13">
        <f t="shared" si="135"/>
        <v>73.025700000000001</v>
      </c>
      <c r="AL453" s="14">
        <v>0.33</v>
      </c>
      <c r="AM453" s="13">
        <f t="shared" si="136"/>
        <v>48.114299999999986</v>
      </c>
      <c r="AN453" s="14">
        <f t="shared" si="137"/>
        <v>0.21742645397442265</v>
      </c>
      <c r="AO453" t="str">
        <f>IF(AN453&gt;=Assumptions!$B$3,"OK","Review")</f>
        <v>Review</v>
      </c>
    </row>
    <row r="454" spans="1:41">
      <c r="A454" s="9" t="s">
        <v>47</v>
      </c>
      <c r="B454" s="9" t="s">
        <v>36</v>
      </c>
      <c r="C454" s="9" t="s">
        <v>271</v>
      </c>
      <c r="D454" s="9" t="s">
        <v>285</v>
      </c>
      <c r="E454" s="9" t="s">
        <v>73</v>
      </c>
      <c r="F454" s="9" t="s">
        <v>74</v>
      </c>
      <c r="G454" s="9" t="s">
        <v>28</v>
      </c>
      <c r="H454" s="9" t="s">
        <v>75</v>
      </c>
      <c r="I454" s="9">
        <v>4000010133</v>
      </c>
      <c r="J454" s="10">
        <v>39.19</v>
      </c>
      <c r="K454" s="10"/>
      <c r="L454" s="10">
        <v>39.19</v>
      </c>
      <c r="M454" s="11">
        <v>0</v>
      </c>
      <c r="N454" s="10">
        <v>0</v>
      </c>
      <c r="O454" s="10">
        <v>39.19</v>
      </c>
      <c r="P454" s="11">
        <v>1</v>
      </c>
      <c r="Q454" s="10">
        <v>39.19</v>
      </c>
      <c r="R454" s="10">
        <f t="shared" si="126"/>
        <v>140</v>
      </c>
      <c r="S454" s="10">
        <v>200</v>
      </c>
      <c r="T454" s="9" t="s">
        <v>76</v>
      </c>
      <c r="U454" s="10">
        <v>200</v>
      </c>
      <c r="V454" s="10">
        <f t="shared" si="127"/>
        <v>140</v>
      </c>
      <c r="W454" s="166">
        <v>490110</v>
      </c>
      <c r="X454" s="12" t="s">
        <v>29</v>
      </c>
      <c r="Y454" s="12">
        <f t="shared" si="128"/>
        <v>200</v>
      </c>
      <c r="Z454" s="13">
        <f t="shared" si="129"/>
        <v>200</v>
      </c>
      <c r="AA454" s="13">
        <f t="shared" si="130"/>
        <v>200</v>
      </c>
      <c r="AB454" s="13">
        <f t="shared" si="131"/>
        <v>39.19</v>
      </c>
      <c r="AC454" s="13">
        <f t="shared" si="132"/>
        <v>160.81</v>
      </c>
      <c r="AD454" s="14">
        <f t="shared" si="133"/>
        <v>0.80405000000000004</v>
      </c>
      <c r="AE454" s="14">
        <f t="shared" si="134"/>
        <v>4.1033426894615976</v>
      </c>
      <c r="AF454" s="13" t="str">
        <f>IF(AD454&gt;=Assumptions!$B$3,"OK","Review")</f>
        <v>OK</v>
      </c>
      <c r="AG454" s="13">
        <f>IFERROR(IF(Assumptions!$B$13="Cost Price",AB454,AA454)*SUMIF(Assumptions!$A$6:$A$10,X454,Assumptions!$B$6:$B$10),0)</f>
        <v>16</v>
      </c>
      <c r="AH454" s="13">
        <f>IFERROR(IF(Assumptions!$B$13="Cost Price",AB454,AA454)*SUMIF(Assumptions!$A$6:$A$10,X454,Assumptions!$C$6:$C$10),0)</f>
        <v>10</v>
      </c>
      <c r="AI454" s="13">
        <f>IFERROR(IF(Assumptions!$B$13="Cost Price",AB454,AA454)*SUMIF(Assumptions!$A$6:$A$10,X454,Assumptions!$D$6:$D$10),0)</f>
        <v>20</v>
      </c>
      <c r="AJ454" s="13">
        <v>20</v>
      </c>
      <c r="AK454" s="13">
        <f t="shared" si="135"/>
        <v>66</v>
      </c>
      <c r="AL454" s="14">
        <v>0.33</v>
      </c>
      <c r="AM454" s="13">
        <f t="shared" si="136"/>
        <v>94.81</v>
      </c>
      <c r="AN454" s="14">
        <f t="shared" si="137"/>
        <v>0.47405000000000003</v>
      </c>
      <c r="AO454" t="str">
        <f>IF(AN454&gt;=Assumptions!$B$3,"OK","Review")</f>
        <v>OK</v>
      </c>
    </row>
    <row r="455" spans="1:41">
      <c r="A455" s="9" t="s">
        <v>47</v>
      </c>
      <c r="B455" s="9" t="s">
        <v>36</v>
      </c>
      <c r="C455" s="9" t="s">
        <v>273</v>
      </c>
      <c r="D455" s="9" t="s">
        <v>286</v>
      </c>
      <c r="E455" s="9" t="s">
        <v>73</v>
      </c>
      <c r="F455" s="9" t="s">
        <v>74</v>
      </c>
      <c r="G455" s="9" t="s">
        <v>28</v>
      </c>
      <c r="H455" s="9" t="s">
        <v>75</v>
      </c>
      <c r="I455" s="9">
        <v>4000001484</v>
      </c>
      <c r="J455" s="10">
        <v>74.8</v>
      </c>
      <c r="K455" s="10"/>
      <c r="L455" s="10">
        <v>74.8</v>
      </c>
      <c r="M455" s="11">
        <v>0</v>
      </c>
      <c r="N455" s="10">
        <v>0</v>
      </c>
      <c r="O455" s="10">
        <v>74.8</v>
      </c>
      <c r="P455" s="11">
        <v>0.39529999999999998</v>
      </c>
      <c r="Q455" s="10">
        <v>189.2</v>
      </c>
      <c r="R455" s="10">
        <f t="shared" si="126"/>
        <v>392</v>
      </c>
      <c r="S455" s="10">
        <v>585.12</v>
      </c>
      <c r="T455" s="9" t="s">
        <v>76</v>
      </c>
      <c r="U455" s="10">
        <v>560</v>
      </c>
      <c r="V455" s="10">
        <f t="shared" si="127"/>
        <v>392</v>
      </c>
      <c r="W455" s="166">
        <v>490110</v>
      </c>
      <c r="X455" s="12" t="s">
        <v>29</v>
      </c>
      <c r="Y455" s="12">
        <f t="shared" si="128"/>
        <v>585.12</v>
      </c>
      <c r="Z455" s="13">
        <f t="shared" si="129"/>
        <v>585.12</v>
      </c>
      <c r="AA455" s="13">
        <f t="shared" si="130"/>
        <v>585.12</v>
      </c>
      <c r="AB455" s="13">
        <f t="shared" si="131"/>
        <v>74.8</v>
      </c>
      <c r="AC455" s="13">
        <f t="shared" si="132"/>
        <v>510.32</v>
      </c>
      <c r="AD455" s="14">
        <f t="shared" si="133"/>
        <v>0.87216297511621543</v>
      </c>
      <c r="AE455" s="14">
        <f t="shared" si="134"/>
        <v>6.8224598930481282</v>
      </c>
      <c r="AF455" s="13" t="str">
        <f>IF(AD455&gt;=Assumptions!$B$3,"OK","Review")</f>
        <v>OK</v>
      </c>
      <c r="AG455" s="13">
        <f>IFERROR(IF(Assumptions!$B$13="Cost Price",AB455,AA455)*SUMIF(Assumptions!$A$6:$A$10,X455,Assumptions!$B$6:$B$10),0)</f>
        <v>46.809600000000003</v>
      </c>
      <c r="AH455" s="13">
        <f>IFERROR(IF(Assumptions!$B$13="Cost Price",AB455,AA455)*SUMIF(Assumptions!$A$6:$A$10,X455,Assumptions!$C$6:$C$10),0)</f>
        <v>29.256</v>
      </c>
      <c r="AI455" s="13">
        <f>IFERROR(IF(Assumptions!$B$13="Cost Price",AB455,AA455)*SUMIF(Assumptions!$A$6:$A$10,X455,Assumptions!$D$6:$D$10),0)</f>
        <v>58.512</v>
      </c>
      <c r="AJ455" s="13">
        <v>58.512</v>
      </c>
      <c r="AK455" s="13">
        <f t="shared" si="135"/>
        <v>193.08960000000002</v>
      </c>
      <c r="AL455" s="14">
        <v>0.33</v>
      </c>
      <c r="AM455" s="13">
        <f t="shared" si="136"/>
        <v>317.23039999999997</v>
      </c>
      <c r="AN455" s="14">
        <f t="shared" si="137"/>
        <v>0.54216297511621547</v>
      </c>
      <c r="AO455" t="str">
        <f>IF(AN455&gt;=Assumptions!$B$3,"OK","Review")</f>
        <v>OK</v>
      </c>
    </row>
    <row r="456" spans="1:41">
      <c r="A456" s="9" t="s">
        <v>47</v>
      </c>
      <c r="B456" s="9" t="s">
        <v>36</v>
      </c>
      <c r="C456" s="9" t="s">
        <v>273</v>
      </c>
      <c r="D456" s="9" t="s">
        <v>287</v>
      </c>
      <c r="E456" s="9" t="s">
        <v>73</v>
      </c>
      <c r="F456" s="9" t="s">
        <v>74</v>
      </c>
      <c r="G456" s="9" t="s">
        <v>28</v>
      </c>
      <c r="H456" s="9" t="s">
        <v>84</v>
      </c>
      <c r="I456" s="9">
        <v>4000001475</v>
      </c>
      <c r="J456" s="10">
        <v>114.4</v>
      </c>
      <c r="K456" s="10"/>
      <c r="L456" s="10">
        <v>114.4</v>
      </c>
      <c r="M456" s="11">
        <v>0</v>
      </c>
      <c r="N456" s="10">
        <v>0</v>
      </c>
      <c r="O456" s="10">
        <v>114.4</v>
      </c>
      <c r="P456" s="11">
        <v>0.60470000000000002</v>
      </c>
      <c r="Q456" s="10">
        <v>189.2</v>
      </c>
      <c r="R456" s="10">
        <f t="shared" si="126"/>
        <v>1036</v>
      </c>
      <c r="S456" s="10">
        <v>894.88</v>
      </c>
      <c r="T456" s="9" t="s">
        <v>76</v>
      </c>
      <c r="U456" s="10">
        <v>1480</v>
      </c>
      <c r="V456" s="10">
        <f t="shared" si="127"/>
        <v>1036</v>
      </c>
      <c r="W456" s="166">
        <v>490110</v>
      </c>
      <c r="X456" s="12" t="s">
        <v>29</v>
      </c>
      <c r="Y456" s="12">
        <f t="shared" si="128"/>
        <v>894.88</v>
      </c>
      <c r="Z456" s="13">
        <f t="shared" si="129"/>
        <v>894.88</v>
      </c>
      <c r="AA456" s="13">
        <f t="shared" si="130"/>
        <v>894.88</v>
      </c>
      <c r="AB456" s="13">
        <f t="shared" si="131"/>
        <v>114.4</v>
      </c>
      <c r="AC456" s="13">
        <f t="shared" si="132"/>
        <v>780.48</v>
      </c>
      <c r="AD456" s="14">
        <f t="shared" si="133"/>
        <v>0.87216163060969076</v>
      </c>
      <c r="AE456" s="14">
        <f t="shared" si="134"/>
        <v>6.8223776223776218</v>
      </c>
      <c r="AF456" s="13" t="str">
        <f>IF(AD456&gt;=Assumptions!$B$3,"OK","Review")</f>
        <v>OK</v>
      </c>
      <c r="AG456" s="13">
        <f>IFERROR(IF(Assumptions!$B$13="Cost Price",AB456,AA456)*SUMIF(Assumptions!$A$6:$A$10,X456,Assumptions!$B$6:$B$10),0)</f>
        <v>71.590400000000002</v>
      </c>
      <c r="AH456" s="13">
        <f>IFERROR(IF(Assumptions!$B$13="Cost Price",AB456,AA456)*SUMIF(Assumptions!$A$6:$A$10,X456,Assumptions!$C$6:$C$10),0)</f>
        <v>44.744</v>
      </c>
      <c r="AI456" s="13">
        <f>IFERROR(IF(Assumptions!$B$13="Cost Price",AB456,AA456)*SUMIF(Assumptions!$A$6:$A$10,X456,Assumptions!$D$6:$D$10),0)</f>
        <v>89.488</v>
      </c>
      <c r="AJ456" s="13">
        <v>89.488</v>
      </c>
      <c r="AK456" s="13">
        <f t="shared" si="135"/>
        <v>295.31040000000002</v>
      </c>
      <c r="AL456" s="14">
        <v>0.33</v>
      </c>
      <c r="AM456" s="13">
        <f t="shared" si="136"/>
        <v>485.1696</v>
      </c>
      <c r="AN456" s="14">
        <f t="shared" si="137"/>
        <v>0.54216163060969069</v>
      </c>
      <c r="AO456" t="str">
        <f>IF(AN456&gt;=Assumptions!$B$3,"OK","Review")</f>
        <v>OK</v>
      </c>
    </row>
    <row r="457" spans="1:41">
      <c r="A457" s="9" t="s">
        <v>47</v>
      </c>
      <c r="B457" s="9" t="s">
        <v>37</v>
      </c>
      <c r="C457" s="9" t="s">
        <v>257</v>
      </c>
      <c r="D457" s="9" t="s">
        <v>288</v>
      </c>
      <c r="E457" s="9" t="s">
        <v>73</v>
      </c>
      <c r="F457" s="9" t="s">
        <v>74</v>
      </c>
      <c r="G457" s="9" t="s">
        <v>28</v>
      </c>
      <c r="H457" s="9" t="s">
        <v>75</v>
      </c>
      <c r="I457" s="9">
        <v>4000010142</v>
      </c>
      <c r="J457" s="10">
        <v>103.46</v>
      </c>
      <c r="K457" s="10"/>
      <c r="L457" s="10">
        <v>103.46</v>
      </c>
      <c r="M457" s="11">
        <v>0</v>
      </c>
      <c r="N457" s="10">
        <v>0</v>
      </c>
      <c r="O457" s="10">
        <v>103.46</v>
      </c>
      <c r="P457" s="11">
        <v>1</v>
      </c>
      <c r="Q457" s="10">
        <v>103.46</v>
      </c>
      <c r="R457" s="10">
        <f t="shared" si="126"/>
        <v>210</v>
      </c>
      <c r="S457" s="10">
        <v>300</v>
      </c>
      <c r="T457" s="9" t="s">
        <v>76</v>
      </c>
      <c r="U457" s="10">
        <v>300</v>
      </c>
      <c r="V457" s="10">
        <f t="shared" si="127"/>
        <v>210</v>
      </c>
      <c r="W457" s="166">
        <v>490300</v>
      </c>
      <c r="X457" s="12" t="s">
        <v>29</v>
      </c>
      <c r="Y457" s="12">
        <f t="shared" si="128"/>
        <v>300</v>
      </c>
      <c r="Z457" s="13">
        <f t="shared" si="129"/>
        <v>300</v>
      </c>
      <c r="AA457" s="13">
        <f t="shared" si="130"/>
        <v>300</v>
      </c>
      <c r="AB457" s="13">
        <f t="shared" si="131"/>
        <v>103.46</v>
      </c>
      <c r="AC457" s="13">
        <f t="shared" si="132"/>
        <v>196.54000000000002</v>
      </c>
      <c r="AD457" s="14">
        <f t="shared" si="133"/>
        <v>0.65513333333333346</v>
      </c>
      <c r="AE457" s="14">
        <f t="shared" si="134"/>
        <v>1.8996713705780015</v>
      </c>
      <c r="AF457" s="13" t="str">
        <f>IF(AD457&gt;=Assumptions!$B$3,"OK","Review")</f>
        <v>OK</v>
      </c>
      <c r="AG457" s="13">
        <f>IFERROR(IF(Assumptions!$B$13="Cost Price",AB457,AA457)*SUMIF(Assumptions!$A$6:$A$10,X457,Assumptions!$B$6:$B$10),0)</f>
        <v>24</v>
      </c>
      <c r="AH457" s="13">
        <f>IFERROR(IF(Assumptions!$B$13="Cost Price",AB457,AA457)*SUMIF(Assumptions!$A$6:$A$10,X457,Assumptions!$C$6:$C$10),0)</f>
        <v>15</v>
      </c>
      <c r="AI457" s="13">
        <f>IFERROR(IF(Assumptions!$B$13="Cost Price",AB457,AA457)*SUMIF(Assumptions!$A$6:$A$10,X457,Assumptions!$D$6:$D$10),0)</f>
        <v>30</v>
      </c>
      <c r="AJ457" s="13">
        <v>30</v>
      </c>
      <c r="AK457" s="13">
        <f t="shared" si="135"/>
        <v>99</v>
      </c>
      <c r="AL457" s="14">
        <v>0.33</v>
      </c>
      <c r="AM457" s="13">
        <f t="shared" si="136"/>
        <v>97.54000000000002</v>
      </c>
      <c r="AN457" s="14">
        <f t="shared" si="137"/>
        <v>0.32513333333333339</v>
      </c>
      <c r="AO457" t="str">
        <f>IF(AN457&gt;=Assumptions!$B$3,"OK","Review")</f>
        <v>OK</v>
      </c>
    </row>
    <row r="458" spans="1:41">
      <c r="A458" s="9" t="s">
        <v>47</v>
      </c>
      <c r="B458" s="9" t="s">
        <v>37</v>
      </c>
      <c r="C458" s="9" t="s">
        <v>259</v>
      </c>
      <c r="D458" s="9" t="s">
        <v>289</v>
      </c>
      <c r="E458" s="9" t="s">
        <v>73</v>
      </c>
      <c r="F458" s="9" t="s">
        <v>90</v>
      </c>
      <c r="G458" s="9" t="s">
        <v>28</v>
      </c>
      <c r="H458" s="9" t="s">
        <v>75</v>
      </c>
      <c r="I458" s="9">
        <v>4000006506</v>
      </c>
      <c r="J458" s="10">
        <v>417.77</v>
      </c>
      <c r="K458" s="10"/>
      <c r="L458" s="10">
        <v>417.77</v>
      </c>
      <c r="M458" s="11">
        <v>0.18</v>
      </c>
      <c r="N458" s="10">
        <v>75.2</v>
      </c>
      <c r="O458" s="10">
        <v>492.97</v>
      </c>
      <c r="P458" s="11">
        <v>1</v>
      </c>
      <c r="Q458" s="10">
        <v>492.97</v>
      </c>
      <c r="R458" s="10">
        <f t="shared" si="126"/>
        <v>489.99999999999994</v>
      </c>
      <c r="S458" s="10">
        <v>700</v>
      </c>
      <c r="T458" s="9" t="s">
        <v>76</v>
      </c>
      <c r="U458" s="10">
        <v>700</v>
      </c>
      <c r="V458" s="10">
        <f t="shared" si="127"/>
        <v>489.99999999999994</v>
      </c>
      <c r="W458" s="166">
        <v>90172090</v>
      </c>
      <c r="X458" s="12" t="s">
        <v>29</v>
      </c>
      <c r="Y458" s="12">
        <f t="shared" si="128"/>
        <v>700</v>
      </c>
      <c r="Z458" s="13">
        <f t="shared" si="129"/>
        <v>700</v>
      </c>
      <c r="AA458" s="13">
        <f t="shared" si="130"/>
        <v>593.22033898305085</v>
      </c>
      <c r="AB458" s="13">
        <f t="shared" si="131"/>
        <v>417.77</v>
      </c>
      <c r="AC458" s="13">
        <f t="shared" si="132"/>
        <v>175.45033898305087</v>
      </c>
      <c r="AD458" s="14">
        <f t="shared" si="133"/>
        <v>0.29575914285714289</v>
      </c>
      <c r="AE458" s="14">
        <f t="shared" si="134"/>
        <v>0.41996873634547927</v>
      </c>
      <c r="AF458" s="13" t="str">
        <f>IF(AD458&gt;=Assumptions!$B$3,"OK","Review")</f>
        <v>Review</v>
      </c>
      <c r="AG458" s="13">
        <f>IFERROR(IF(Assumptions!$B$13="Cost Price",AB458,AA458)*SUMIF(Assumptions!$A$6:$A$10,X458,Assumptions!$B$6:$B$10),0)</f>
        <v>47.457627118644069</v>
      </c>
      <c r="AH458" s="13">
        <f>IFERROR(IF(Assumptions!$B$13="Cost Price",AB458,AA458)*SUMIF(Assumptions!$A$6:$A$10,X458,Assumptions!$C$6:$C$10),0)</f>
        <v>29.661016949152543</v>
      </c>
      <c r="AI458" s="13">
        <f>IFERROR(IF(Assumptions!$B$13="Cost Price",AB458,AA458)*SUMIF(Assumptions!$A$6:$A$10,X458,Assumptions!$D$6:$D$10),0)</f>
        <v>59.322033898305087</v>
      </c>
      <c r="AJ458" s="13">
        <v>59.322033898305087</v>
      </c>
      <c r="AK458" s="13">
        <f t="shared" si="135"/>
        <v>195.76271186440678</v>
      </c>
      <c r="AL458" s="14">
        <v>0.33</v>
      </c>
      <c r="AM458" s="13">
        <f t="shared" si="136"/>
        <v>-20.312372881355913</v>
      </c>
      <c r="AN458" s="14">
        <f t="shared" si="137"/>
        <v>-3.4240857142857108E-2</v>
      </c>
      <c r="AO458" t="str">
        <f>IF(AN458&gt;=Assumptions!$B$3,"OK","Review")</f>
        <v>Review</v>
      </c>
    </row>
    <row r="459" spans="1:41">
      <c r="A459" s="9" t="s">
        <v>47</v>
      </c>
      <c r="B459" s="9" t="s">
        <v>37</v>
      </c>
      <c r="C459" s="9" t="s">
        <v>261</v>
      </c>
      <c r="D459" s="9" t="s">
        <v>290</v>
      </c>
      <c r="E459" s="9" t="s">
        <v>73</v>
      </c>
      <c r="F459" s="9" t="s">
        <v>74</v>
      </c>
      <c r="G459" s="9" t="s">
        <v>28</v>
      </c>
      <c r="H459" s="9" t="s">
        <v>75</v>
      </c>
      <c r="I459" s="9">
        <v>4000010090</v>
      </c>
      <c r="J459" s="10">
        <v>44.25</v>
      </c>
      <c r="K459" s="10"/>
      <c r="L459" s="10">
        <v>44.25</v>
      </c>
      <c r="M459" s="11">
        <v>0</v>
      </c>
      <c r="N459" s="10">
        <v>0</v>
      </c>
      <c r="O459" s="10">
        <v>44.25</v>
      </c>
      <c r="P459" s="11">
        <v>0.5</v>
      </c>
      <c r="Q459" s="10">
        <v>88.5</v>
      </c>
      <c r="R459" s="10">
        <f t="shared" si="126"/>
        <v>350</v>
      </c>
      <c r="S459" s="10">
        <v>250</v>
      </c>
      <c r="T459" s="9" t="s">
        <v>76</v>
      </c>
      <c r="U459" s="10">
        <v>500</v>
      </c>
      <c r="V459" s="10">
        <f t="shared" si="127"/>
        <v>350</v>
      </c>
      <c r="W459" s="166">
        <v>490110</v>
      </c>
      <c r="X459" s="12" t="s">
        <v>29</v>
      </c>
      <c r="Y459" s="12">
        <f t="shared" si="128"/>
        <v>250</v>
      </c>
      <c r="Z459" s="13">
        <f t="shared" si="129"/>
        <v>250</v>
      </c>
      <c r="AA459" s="13">
        <f t="shared" si="130"/>
        <v>250</v>
      </c>
      <c r="AB459" s="13">
        <f t="shared" si="131"/>
        <v>44.25</v>
      </c>
      <c r="AC459" s="13">
        <f t="shared" si="132"/>
        <v>205.75</v>
      </c>
      <c r="AD459" s="14">
        <f t="shared" si="133"/>
        <v>0.82299999999999995</v>
      </c>
      <c r="AE459" s="14">
        <f t="shared" si="134"/>
        <v>4.6497175141242941</v>
      </c>
      <c r="AF459" s="13" t="str">
        <f>IF(AD459&gt;=Assumptions!$B$3,"OK","Review")</f>
        <v>OK</v>
      </c>
      <c r="AG459" s="13">
        <f>IFERROR(IF(Assumptions!$B$13="Cost Price",AB459,AA459)*SUMIF(Assumptions!$A$6:$A$10,X459,Assumptions!$B$6:$B$10),0)</f>
        <v>20</v>
      </c>
      <c r="AH459" s="13">
        <f>IFERROR(IF(Assumptions!$B$13="Cost Price",AB459,AA459)*SUMIF(Assumptions!$A$6:$A$10,X459,Assumptions!$C$6:$C$10),0)</f>
        <v>12.5</v>
      </c>
      <c r="AI459" s="13">
        <f>IFERROR(IF(Assumptions!$B$13="Cost Price",AB459,AA459)*SUMIF(Assumptions!$A$6:$A$10,X459,Assumptions!$D$6:$D$10),0)</f>
        <v>25</v>
      </c>
      <c r="AJ459" s="13">
        <v>25</v>
      </c>
      <c r="AK459" s="13">
        <f t="shared" si="135"/>
        <v>82.5</v>
      </c>
      <c r="AL459" s="14">
        <v>0.33</v>
      </c>
      <c r="AM459" s="13">
        <f t="shared" si="136"/>
        <v>123.25</v>
      </c>
      <c r="AN459" s="14">
        <f t="shared" si="137"/>
        <v>0.49299999999999999</v>
      </c>
      <c r="AO459" t="str">
        <f>IF(AN459&gt;=Assumptions!$B$3,"OK","Review")</f>
        <v>OK</v>
      </c>
    </row>
    <row r="460" spans="1:41">
      <c r="A460" s="9" t="s">
        <v>47</v>
      </c>
      <c r="B460" s="9" t="s">
        <v>37</v>
      </c>
      <c r="C460" s="9" t="s">
        <v>261</v>
      </c>
      <c r="D460" s="9" t="s">
        <v>291</v>
      </c>
      <c r="E460" s="9" t="s">
        <v>73</v>
      </c>
      <c r="F460" s="9" t="s">
        <v>74</v>
      </c>
      <c r="G460" s="9" t="s">
        <v>28</v>
      </c>
      <c r="H460" s="9" t="s">
        <v>84</v>
      </c>
      <c r="I460" s="9">
        <v>4000010174</v>
      </c>
      <c r="J460" s="10">
        <v>44.25</v>
      </c>
      <c r="K460" s="10"/>
      <c r="L460" s="10">
        <v>44.25</v>
      </c>
      <c r="M460" s="11">
        <v>0</v>
      </c>
      <c r="N460" s="10">
        <v>0</v>
      </c>
      <c r="O460" s="10">
        <v>44.25</v>
      </c>
      <c r="P460" s="11">
        <v>0.5</v>
      </c>
      <c r="Q460" s="10">
        <v>88.5</v>
      </c>
      <c r="R460" s="10">
        <f t="shared" si="126"/>
        <v>350</v>
      </c>
      <c r="S460" s="10">
        <v>250</v>
      </c>
      <c r="T460" s="9" t="s">
        <v>76</v>
      </c>
      <c r="U460" s="10">
        <v>500</v>
      </c>
      <c r="V460" s="10">
        <f t="shared" si="127"/>
        <v>350</v>
      </c>
      <c r="W460" s="166">
        <v>490110</v>
      </c>
      <c r="X460" s="12" t="s">
        <v>29</v>
      </c>
      <c r="Y460" s="12">
        <f t="shared" si="128"/>
        <v>250</v>
      </c>
      <c r="Z460" s="13">
        <f t="shared" si="129"/>
        <v>250</v>
      </c>
      <c r="AA460" s="13">
        <f t="shared" si="130"/>
        <v>250</v>
      </c>
      <c r="AB460" s="13">
        <f t="shared" si="131"/>
        <v>44.25</v>
      </c>
      <c r="AC460" s="13">
        <f t="shared" si="132"/>
        <v>205.75</v>
      </c>
      <c r="AD460" s="14">
        <f t="shared" si="133"/>
        <v>0.82299999999999995</v>
      </c>
      <c r="AE460" s="14">
        <f t="shared" si="134"/>
        <v>4.6497175141242941</v>
      </c>
      <c r="AF460" s="13" t="str">
        <f>IF(AD460&gt;=Assumptions!$B$3,"OK","Review")</f>
        <v>OK</v>
      </c>
      <c r="AG460" s="13">
        <f>IFERROR(IF(Assumptions!$B$13="Cost Price",AB460,AA460)*SUMIF(Assumptions!$A$6:$A$10,X460,Assumptions!$B$6:$B$10),0)</f>
        <v>20</v>
      </c>
      <c r="AH460" s="13">
        <f>IFERROR(IF(Assumptions!$B$13="Cost Price",AB460,AA460)*SUMIF(Assumptions!$A$6:$A$10,X460,Assumptions!$C$6:$C$10),0)</f>
        <v>12.5</v>
      </c>
      <c r="AI460" s="13">
        <f>IFERROR(IF(Assumptions!$B$13="Cost Price",AB460,AA460)*SUMIF(Assumptions!$A$6:$A$10,X460,Assumptions!$D$6:$D$10),0)</f>
        <v>25</v>
      </c>
      <c r="AJ460" s="13">
        <v>25</v>
      </c>
      <c r="AK460" s="13">
        <f t="shared" si="135"/>
        <v>82.5</v>
      </c>
      <c r="AL460" s="14">
        <v>0.33</v>
      </c>
      <c r="AM460" s="13">
        <f t="shared" si="136"/>
        <v>123.25</v>
      </c>
      <c r="AN460" s="14">
        <f t="shared" si="137"/>
        <v>0.49299999999999999</v>
      </c>
      <c r="AO460" t="str">
        <f>IF(AN460&gt;=Assumptions!$B$3,"OK","Review")</f>
        <v>OK</v>
      </c>
    </row>
    <row r="461" spans="1:41">
      <c r="A461" s="9" t="s">
        <v>47</v>
      </c>
      <c r="B461" s="9" t="s">
        <v>37</v>
      </c>
      <c r="C461" s="9" t="s">
        <v>264</v>
      </c>
      <c r="D461" s="9" t="s">
        <v>292</v>
      </c>
      <c r="E461" s="9" t="s">
        <v>73</v>
      </c>
      <c r="F461" s="9" t="s">
        <v>74</v>
      </c>
      <c r="G461" s="9" t="s">
        <v>28</v>
      </c>
      <c r="H461" s="9" t="s">
        <v>75</v>
      </c>
      <c r="I461" s="9">
        <v>4000010144</v>
      </c>
      <c r="J461" s="10">
        <v>57.35</v>
      </c>
      <c r="K461" s="10"/>
      <c r="L461" s="10">
        <v>57.35</v>
      </c>
      <c r="M461" s="11">
        <v>0</v>
      </c>
      <c r="N461" s="10">
        <v>0</v>
      </c>
      <c r="O461" s="10">
        <v>57.35</v>
      </c>
      <c r="P461" s="11">
        <v>1</v>
      </c>
      <c r="Q461" s="10">
        <v>57.35</v>
      </c>
      <c r="R461" s="10">
        <f t="shared" si="126"/>
        <v>262.5</v>
      </c>
      <c r="S461" s="10">
        <v>375</v>
      </c>
      <c r="T461" s="9" t="s">
        <v>76</v>
      </c>
      <c r="U461" s="10">
        <v>375</v>
      </c>
      <c r="V461" s="10">
        <f t="shared" si="127"/>
        <v>262.5</v>
      </c>
      <c r="W461" s="166">
        <v>490110</v>
      </c>
      <c r="X461" s="12" t="s">
        <v>29</v>
      </c>
      <c r="Y461" s="12">
        <f t="shared" si="128"/>
        <v>375</v>
      </c>
      <c r="Z461" s="13">
        <f t="shared" si="129"/>
        <v>375</v>
      </c>
      <c r="AA461" s="13">
        <f t="shared" si="130"/>
        <v>375</v>
      </c>
      <c r="AB461" s="13">
        <f t="shared" si="131"/>
        <v>57.35</v>
      </c>
      <c r="AC461" s="13">
        <f t="shared" si="132"/>
        <v>317.64999999999998</v>
      </c>
      <c r="AD461" s="14">
        <f t="shared" si="133"/>
        <v>0.84706666666666663</v>
      </c>
      <c r="AE461" s="14">
        <f t="shared" si="134"/>
        <v>5.5387968613775058</v>
      </c>
      <c r="AF461" s="13" t="str">
        <f>IF(AD461&gt;=Assumptions!$B$3,"OK","Review")</f>
        <v>OK</v>
      </c>
      <c r="AG461" s="13">
        <f>IFERROR(IF(Assumptions!$B$13="Cost Price",AB461,AA461)*SUMIF(Assumptions!$A$6:$A$10,X461,Assumptions!$B$6:$B$10),0)</f>
        <v>30</v>
      </c>
      <c r="AH461" s="13">
        <f>IFERROR(IF(Assumptions!$B$13="Cost Price",AB461,AA461)*SUMIF(Assumptions!$A$6:$A$10,X461,Assumptions!$C$6:$C$10),0)</f>
        <v>18.75</v>
      </c>
      <c r="AI461" s="13">
        <f>IFERROR(IF(Assumptions!$B$13="Cost Price",AB461,AA461)*SUMIF(Assumptions!$A$6:$A$10,X461,Assumptions!$D$6:$D$10),0)</f>
        <v>37.5</v>
      </c>
      <c r="AJ461" s="13">
        <v>37.5</v>
      </c>
      <c r="AK461" s="13">
        <f t="shared" si="135"/>
        <v>123.75</v>
      </c>
      <c r="AL461" s="14">
        <v>0.33</v>
      </c>
      <c r="AM461" s="13">
        <f t="shared" si="136"/>
        <v>193.89999999999998</v>
      </c>
      <c r="AN461" s="14">
        <f t="shared" si="137"/>
        <v>0.51706666666666656</v>
      </c>
      <c r="AO461" t="str">
        <f>IF(AN461&gt;=Assumptions!$B$3,"OK","Review")</f>
        <v>OK</v>
      </c>
    </row>
    <row r="462" spans="1:41">
      <c r="A462" s="9" t="s">
        <v>47</v>
      </c>
      <c r="B462" s="9" t="s">
        <v>37</v>
      </c>
      <c r="C462" s="9" t="s">
        <v>282</v>
      </c>
      <c r="D462" s="9" t="s">
        <v>293</v>
      </c>
      <c r="E462" s="9" t="s">
        <v>73</v>
      </c>
      <c r="F462" s="9" t="s">
        <v>74</v>
      </c>
      <c r="G462" s="9" t="s">
        <v>28</v>
      </c>
      <c r="H462" s="9" t="s">
        <v>75</v>
      </c>
      <c r="I462" s="9">
        <v>4000010091</v>
      </c>
      <c r="J462" s="10">
        <v>103.37</v>
      </c>
      <c r="K462" s="10"/>
      <c r="L462" s="10">
        <v>103.37</v>
      </c>
      <c r="M462" s="11">
        <v>0</v>
      </c>
      <c r="N462" s="10">
        <v>0</v>
      </c>
      <c r="O462" s="10">
        <v>103.37</v>
      </c>
      <c r="P462" s="11">
        <v>0.4496</v>
      </c>
      <c r="Q462" s="10">
        <v>229.89</v>
      </c>
      <c r="R462" s="10">
        <f t="shared" si="126"/>
        <v>392</v>
      </c>
      <c r="S462" s="10">
        <v>251.8</v>
      </c>
      <c r="T462" s="9" t="s">
        <v>76</v>
      </c>
      <c r="U462" s="10">
        <v>560</v>
      </c>
      <c r="V462" s="10">
        <f t="shared" si="127"/>
        <v>392</v>
      </c>
      <c r="W462" s="166">
        <v>490110</v>
      </c>
      <c r="X462" s="12" t="s">
        <v>29</v>
      </c>
      <c r="Y462" s="12">
        <f t="shared" si="128"/>
        <v>251.8</v>
      </c>
      <c r="Z462" s="13">
        <f t="shared" si="129"/>
        <v>251.8</v>
      </c>
      <c r="AA462" s="13">
        <f t="shared" si="130"/>
        <v>251.8</v>
      </c>
      <c r="AB462" s="13">
        <f t="shared" si="131"/>
        <v>103.37</v>
      </c>
      <c r="AC462" s="13">
        <f t="shared" si="132"/>
        <v>148.43</v>
      </c>
      <c r="AD462" s="14">
        <f t="shared" si="133"/>
        <v>0.58947577442414612</v>
      </c>
      <c r="AE462" s="14">
        <f t="shared" si="134"/>
        <v>1.4359098384444229</v>
      </c>
      <c r="AF462" s="13" t="str">
        <f>IF(AD462&gt;=Assumptions!$B$3,"OK","Review")</f>
        <v>OK</v>
      </c>
      <c r="AG462" s="13">
        <f>IFERROR(IF(Assumptions!$B$13="Cost Price",AB462,AA462)*SUMIF(Assumptions!$A$6:$A$10,X462,Assumptions!$B$6:$B$10),0)</f>
        <v>20.144000000000002</v>
      </c>
      <c r="AH462" s="13">
        <f>IFERROR(IF(Assumptions!$B$13="Cost Price",AB462,AA462)*SUMIF(Assumptions!$A$6:$A$10,X462,Assumptions!$C$6:$C$10),0)</f>
        <v>12.590000000000002</v>
      </c>
      <c r="AI462" s="13">
        <f>IFERROR(IF(Assumptions!$B$13="Cost Price",AB462,AA462)*SUMIF(Assumptions!$A$6:$A$10,X462,Assumptions!$D$6:$D$10),0)</f>
        <v>25.180000000000003</v>
      </c>
      <c r="AJ462" s="13">
        <v>25.180000000000003</v>
      </c>
      <c r="AK462" s="13">
        <f t="shared" si="135"/>
        <v>83.094000000000008</v>
      </c>
      <c r="AL462" s="14">
        <v>0.33</v>
      </c>
      <c r="AM462" s="13">
        <f t="shared" si="136"/>
        <v>65.335999999999999</v>
      </c>
      <c r="AN462" s="14">
        <f t="shared" si="137"/>
        <v>0.25947577442414616</v>
      </c>
      <c r="AO462" t="str">
        <f>IF(AN462&gt;=Assumptions!$B$3,"OK","Review")</f>
        <v>Review</v>
      </c>
    </row>
    <row r="463" spans="1:41">
      <c r="A463" s="9" t="s">
        <v>47</v>
      </c>
      <c r="B463" s="9" t="s">
        <v>37</v>
      </c>
      <c r="C463" s="9" t="s">
        <v>282</v>
      </c>
      <c r="D463" s="9" t="s">
        <v>294</v>
      </c>
      <c r="E463" s="9" t="s">
        <v>73</v>
      </c>
      <c r="F463" s="9" t="s">
        <v>74</v>
      </c>
      <c r="G463" s="9" t="s">
        <v>28</v>
      </c>
      <c r="H463" s="9" t="s">
        <v>84</v>
      </c>
      <c r="I463" s="9">
        <v>4000010175</v>
      </c>
      <c r="J463" s="10">
        <v>126.52</v>
      </c>
      <c r="K463" s="10"/>
      <c r="L463" s="10">
        <v>126.52</v>
      </c>
      <c r="M463" s="11">
        <v>0</v>
      </c>
      <c r="N463" s="10">
        <v>0</v>
      </c>
      <c r="O463" s="10">
        <v>126.52</v>
      </c>
      <c r="P463" s="11">
        <v>0.5504</v>
      </c>
      <c r="Q463" s="10">
        <v>229.89</v>
      </c>
      <c r="R463" s="10">
        <f t="shared" si="126"/>
        <v>392</v>
      </c>
      <c r="S463" s="10">
        <v>308.2</v>
      </c>
      <c r="T463" s="9" t="s">
        <v>76</v>
      </c>
      <c r="U463" s="10">
        <v>560</v>
      </c>
      <c r="V463" s="10">
        <f t="shared" si="127"/>
        <v>392</v>
      </c>
      <c r="W463" s="166">
        <v>490110</v>
      </c>
      <c r="X463" s="12" t="s">
        <v>29</v>
      </c>
      <c r="Y463" s="12">
        <f t="shared" si="128"/>
        <v>308.2</v>
      </c>
      <c r="Z463" s="13">
        <f t="shared" si="129"/>
        <v>308.2</v>
      </c>
      <c r="AA463" s="13">
        <f t="shared" si="130"/>
        <v>308.2</v>
      </c>
      <c r="AB463" s="13">
        <f t="shared" si="131"/>
        <v>126.52</v>
      </c>
      <c r="AC463" s="13">
        <f t="shared" si="132"/>
        <v>181.68</v>
      </c>
      <c r="AD463" s="14">
        <f t="shared" si="133"/>
        <v>0.58948734587929918</v>
      </c>
      <c r="AE463" s="14">
        <f t="shared" si="134"/>
        <v>1.4359785014227</v>
      </c>
      <c r="AF463" s="13" t="str">
        <f>IF(AD463&gt;=Assumptions!$B$3,"OK","Review")</f>
        <v>OK</v>
      </c>
      <c r="AG463" s="13">
        <f>IFERROR(IF(Assumptions!$B$13="Cost Price",AB463,AA463)*SUMIF(Assumptions!$A$6:$A$10,X463,Assumptions!$B$6:$B$10),0)</f>
        <v>24.655999999999999</v>
      </c>
      <c r="AH463" s="13">
        <f>IFERROR(IF(Assumptions!$B$13="Cost Price",AB463,AA463)*SUMIF(Assumptions!$A$6:$A$10,X463,Assumptions!$C$6:$C$10),0)</f>
        <v>15.41</v>
      </c>
      <c r="AI463" s="13">
        <f>IFERROR(IF(Assumptions!$B$13="Cost Price",AB463,AA463)*SUMIF(Assumptions!$A$6:$A$10,X463,Assumptions!$D$6:$D$10),0)</f>
        <v>30.82</v>
      </c>
      <c r="AJ463" s="13">
        <v>30.82</v>
      </c>
      <c r="AK463" s="13">
        <f t="shared" si="135"/>
        <v>101.70599999999999</v>
      </c>
      <c r="AL463" s="14">
        <v>0.33</v>
      </c>
      <c r="AM463" s="13">
        <f t="shared" si="136"/>
        <v>79.974000000000018</v>
      </c>
      <c r="AN463" s="14">
        <f t="shared" si="137"/>
        <v>0.25948734587929922</v>
      </c>
      <c r="AO463" t="str">
        <f>IF(AN463&gt;=Assumptions!$B$3,"OK","Review")</f>
        <v>Review</v>
      </c>
    </row>
    <row r="464" spans="1:41">
      <c r="A464" s="9" t="s">
        <v>47</v>
      </c>
      <c r="B464" s="9" t="s">
        <v>37</v>
      </c>
      <c r="C464" s="9" t="s">
        <v>271</v>
      </c>
      <c r="D464" s="9" t="s">
        <v>295</v>
      </c>
      <c r="E464" s="9" t="s">
        <v>73</v>
      </c>
      <c r="F464" s="9" t="s">
        <v>74</v>
      </c>
      <c r="G464" s="9" t="s">
        <v>28</v>
      </c>
      <c r="H464" s="9" t="s">
        <v>75</v>
      </c>
      <c r="I464" s="9">
        <v>4000010146</v>
      </c>
      <c r="J464" s="10">
        <v>42.8</v>
      </c>
      <c r="K464" s="10"/>
      <c r="L464" s="10">
        <v>42.8</v>
      </c>
      <c r="M464" s="11">
        <v>0</v>
      </c>
      <c r="N464" s="10">
        <v>0</v>
      </c>
      <c r="O464" s="10">
        <v>42.8</v>
      </c>
      <c r="P464" s="11">
        <v>1</v>
      </c>
      <c r="Q464" s="10">
        <v>42.8</v>
      </c>
      <c r="R464" s="10">
        <f t="shared" si="126"/>
        <v>140</v>
      </c>
      <c r="S464" s="10">
        <v>200</v>
      </c>
      <c r="T464" s="9" t="s">
        <v>76</v>
      </c>
      <c r="U464" s="10">
        <v>200</v>
      </c>
      <c r="V464" s="10">
        <f t="shared" si="127"/>
        <v>140</v>
      </c>
      <c r="W464" s="166">
        <v>490110</v>
      </c>
      <c r="X464" s="12" t="s">
        <v>29</v>
      </c>
      <c r="Y464" s="12">
        <f t="shared" si="128"/>
        <v>200</v>
      </c>
      <c r="Z464" s="13">
        <f t="shared" si="129"/>
        <v>200</v>
      </c>
      <c r="AA464" s="13">
        <f t="shared" si="130"/>
        <v>200</v>
      </c>
      <c r="AB464" s="13">
        <f t="shared" si="131"/>
        <v>42.8</v>
      </c>
      <c r="AC464" s="13">
        <f t="shared" si="132"/>
        <v>157.19999999999999</v>
      </c>
      <c r="AD464" s="14">
        <f t="shared" si="133"/>
        <v>0.78599999999999992</v>
      </c>
      <c r="AE464" s="14">
        <f t="shared" si="134"/>
        <v>3.6728971962616823</v>
      </c>
      <c r="AF464" s="13" t="str">
        <f>IF(AD464&gt;=Assumptions!$B$3,"OK","Review")</f>
        <v>OK</v>
      </c>
      <c r="AG464" s="13">
        <f>IFERROR(IF(Assumptions!$B$13="Cost Price",AB464,AA464)*SUMIF(Assumptions!$A$6:$A$10,X464,Assumptions!$B$6:$B$10),0)</f>
        <v>16</v>
      </c>
      <c r="AH464" s="13">
        <f>IFERROR(IF(Assumptions!$B$13="Cost Price",AB464,AA464)*SUMIF(Assumptions!$A$6:$A$10,X464,Assumptions!$C$6:$C$10),0)</f>
        <v>10</v>
      </c>
      <c r="AI464" s="13">
        <f>IFERROR(IF(Assumptions!$B$13="Cost Price",AB464,AA464)*SUMIF(Assumptions!$A$6:$A$10,X464,Assumptions!$D$6:$D$10),0)</f>
        <v>20</v>
      </c>
      <c r="AJ464" s="13">
        <v>20</v>
      </c>
      <c r="AK464" s="13">
        <f t="shared" si="135"/>
        <v>66</v>
      </c>
      <c r="AL464" s="14">
        <v>0.33</v>
      </c>
      <c r="AM464" s="13">
        <f t="shared" si="136"/>
        <v>91.199999999999989</v>
      </c>
      <c r="AN464" s="14">
        <f t="shared" si="137"/>
        <v>0.45599999999999996</v>
      </c>
      <c r="AO464" t="str">
        <f>IF(AN464&gt;=Assumptions!$B$3,"OK","Review")</f>
        <v>OK</v>
      </c>
    </row>
    <row r="465" spans="1:41">
      <c r="A465" s="9" t="s">
        <v>47</v>
      </c>
      <c r="B465" s="9" t="s">
        <v>37</v>
      </c>
      <c r="C465" s="9" t="s">
        <v>273</v>
      </c>
      <c r="D465" s="9" t="s">
        <v>296</v>
      </c>
      <c r="E465" s="9" t="s">
        <v>73</v>
      </c>
      <c r="F465" s="9" t="s">
        <v>74</v>
      </c>
      <c r="G465" s="9" t="s">
        <v>28</v>
      </c>
      <c r="H465" s="9" t="s">
        <v>75</v>
      </c>
      <c r="I465" s="9">
        <v>4000001485</v>
      </c>
      <c r="J465" s="10">
        <v>96.8</v>
      </c>
      <c r="K465" s="10"/>
      <c r="L465" s="10">
        <v>96.8</v>
      </c>
      <c r="M465" s="11">
        <v>0</v>
      </c>
      <c r="N465" s="10">
        <v>0</v>
      </c>
      <c r="O465" s="10">
        <v>96.8</v>
      </c>
      <c r="P465" s="11">
        <v>0.44</v>
      </c>
      <c r="Q465" s="10">
        <v>220</v>
      </c>
      <c r="R465" s="10">
        <f t="shared" si="126"/>
        <v>1131.1999999999998</v>
      </c>
      <c r="S465" s="10">
        <v>711.04</v>
      </c>
      <c r="T465" s="9" t="s">
        <v>76</v>
      </c>
      <c r="U465" s="10">
        <v>1616</v>
      </c>
      <c r="V465" s="10">
        <f t="shared" si="127"/>
        <v>1131.1999999999998</v>
      </c>
      <c r="W465" s="166">
        <v>490110</v>
      </c>
      <c r="X465" s="12" t="s">
        <v>29</v>
      </c>
      <c r="Y465" s="12">
        <f t="shared" si="128"/>
        <v>711.04</v>
      </c>
      <c r="Z465" s="13">
        <f t="shared" si="129"/>
        <v>711.04</v>
      </c>
      <c r="AA465" s="13">
        <f t="shared" si="130"/>
        <v>711.04</v>
      </c>
      <c r="AB465" s="13">
        <f t="shared" si="131"/>
        <v>96.8</v>
      </c>
      <c r="AC465" s="13">
        <f t="shared" si="132"/>
        <v>614.24</v>
      </c>
      <c r="AD465" s="14">
        <f t="shared" si="133"/>
        <v>0.86386138613861396</v>
      </c>
      <c r="AE465" s="14">
        <f t="shared" si="134"/>
        <v>6.3454545454545457</v>
      </c>
      <c r="AF465" s="13" t="str">
        <f>IF(AD465&gt;=Assumptions!$B$3,"OK","Review")</f>
        <v>OK</v>
      </c>
      <c r="AG465" s="13">
        <f>IFERROR(IF(Assumptions!$B$13="Cost Price",AB465,AA465)*SUMIF(Assumptions!$A$6:$A$10,X465,Assumptions!$B$6:$B$10),0)</f>
        <v>56.883199999999995</v>
      </c>
      <c r="AH465" s="13">
        <f>IFERROR(IF(Assumptions!$B$13="Cost Price",AB465,AA465)*SUMIF(Assumptions!$A$6:$A$10,X465,Assumptions!$C$6:$C$10),0)</f>
        <v>35.552</v>
      </c>
      <c r="AI465" s="13">
        <f>IFERROR(IF(Assumptions!$B$13="Cost Price",AB465,AA465)*SUMIF(Assumptions!$A$6:$A$10,X465,Assumptions!$D$6:$D$10),0)</f>
        <v>71.103999999999999</v>
      </c>
      <c r="AJ465" s="13">
        <v>71.103999999999999</v>
      </c>
      <c r="AK465" s="13">
        <f t="shared" si="135"/>
        <v>234.64319999999998</v>
      </c>
      <c r="AL465" s="14">
        <v>0.33</v>
      </c>
      <c r="AM465" s="13">
        <f t="shared" si="136"/>
        <v>379.59680000000003</v>
      </c>
      <c r="AN465" s="14">
        <f t="shared" si="137"/>
        <v>0.53386138613861389</v>
      </c>
      <c r="AO465" t="str">
        <f>IF(AN465&gt;=Assumptions!$B$3,"OK","Review")</f>
        <v>OK</v>
      </c>
    </row>
    <row r="466" spans="1:41">
      <c r="A466" s="9" t="s">
        <v>47</v>
      </c>
      <c r="B466" s="9" t="s">
        <v>37</v>
      </c>
      <c r="C466" s="9" t="s">
        <v>273</v>
      </c>
      <c r="D466" s="9" t="s">
        <v>297</v>
      </c>
      <c r="E466" s="9" t="s">
        <v>73</v>
      </c>
      <c r="F466" s="9" t="s">
        <v>74</v>
      </c>
      <c r="G466" s="9" t="s">
        <v>28</v>
      </c>
      <c r="H466" s="9" t="s">
        <v>84</v>
      </c>
      <c r="I466" s="9">
        <v>4000001476</v>
      </c>
      <c r="J466" s="10">
        <v>123.2</v>
      </c>
      <c r="K466" s="10"/>
      <c r="L466" s="10">
        <v>123.2</v>
      </c>
      <c r="M466" s="11">
        <v>0</v>
      </c>
      <c r="N466" s="10">
        <v>0</v>
      </c>
      <c r="O466" s="10">
        <v>123.2</v>
      </c>
      <c r="P466" s="11">
        <v>0.56000000000000005</v>
      </c>
      <c r="Q466" s="10">
        <v>220</v>
      </c>
      <c r="R466" s="10">
        <f t="shared" si="126"/>
        <v>1131.1999999999998</v>
      </c>
      <c r="S466" s="10">
        <v>904.96</v>
      </c>
      <c r="T466" s="9" t="s">
        <v>76</v>
      </c>
      <c r="U466" s="10">
        <v>1616</v>
      </c>
      <c r="V466" s="10">
        <f t="shared" si="127"/>
        <v>1131.1999999999998</v>
      </c>
      <c r="W466" s="166">
        <v>490110</v>
      </c>
      <c r="X466" s="12" t="s">
        <v>29</v>
      </c>
      <c r="Y466" s="12">
        <f t="shared" si="128"/>
        <v>904.96</v>
      </c>
      <c r="Z466" s="13">
        <f t="shared" si="129"/>
        <v>904.96</v>
      </c>
      <c r="AA466" s="13">
        <f t="shared" si="130"/>
        <v>904.96</v>
      </c>
      <c r="AB466" s="13">
        <f t="shared" si="131"/>
        <v>123.2</v>
      </c>
      <c r="AC466" s="13">
        <f t="shared" si="132"/>
        <v>781.76</v>
      </c>
      <c r="AD466" s="14">
        <f t="shared" si="133"/>
        <v>0.86386138613861385</v>
      </c>
      <c r="AE466" s="14">
        <f t="shared" si="134"/>
        <v>6.3454545454545448</v>
      </c>
      <c r="AF466" s="13" t="str">
        <f>IF(AD466&gt;=Assumptions!$B$3,"OK","Review")</f>
        <v>OK</v>
      </c>
      <c r="AG466" s="13">
        <f>IFERROR(IF(Assumptions!$B$13="Cost Price",AB466,AA466)*SUMIF(Assumptions!$A$6:$A$10,X466,Assumptions!$B$6:$B$10),0)</f>
        <v>72.396799999999999</v>
      </c>
      <c r="AH466" s="13">
        <f>IFERROR(IF(Assumptions!$B$13="Cost Price",AB466,AA466)*SUMIF(Assumptions!$A$6:$A$10,X466,Assumptions!$C$6:$C$10),0)</f>
        <v>45.248000000000005</v>
      </c>
      <c r="AI466" s="13">
        <f>IFERROR(IF(Assumptions!$B$13="Cost Price",AB466,AA466)*SUMIF(Assumptions!$A$6:$A$10,X466,Assumptions!$D$6:$D$10),0)</f>
        <v>90.496000000000009</v>
      </c>
      <c r="AJ466" s="13">
        <v>90.496000000000009</v>
      </c>
      <c r="AK466" s="13">
        <f t="shared" si="135"/>
        <v>298.63679999999999</v>
      </c>
      <c r="AL466" s="14">
        <v>0.33</v>
      </c>
      <c r="AM466" s="13">
        <f t="shared" si="136"/>
        <v>483.1232</v>
      </c>
      <c r="AN466" s="14">
        <f t="shared" si="137"/>
        <v>0.53386138613861389</v>
      </c>
      <c r="AO466" t="str">
        <f>IF(AN466&gt;=Assumptions!$B$3,"OK","Review")</f>
        <v>OK</v>
      </c>
    </row>
    <row r="467" spans="1:41">
      <c r="A467" s="9" t="s">
        <v>47</v>
      </c>
      <c r="B467" s="9" t="s">
        <v>38</v>
      </c>
      <c r="C467" s="9" t="s">
        <v>257</v>
      </c>
      <c r="D467" s="9" t="s">
        <v>298</v>
      </c>
      <c r="E467" s="9" t="s">
        <v>73</v>
      </c>
      <c r="F467" s="9" t="s">
        <v>74</v>
      </c>
      <c r="G467" s="9" t="s">
        <v>28</v>
      </c>
      <c r="H467" s="9" t="s">
        <v>75</v>
      </c>
      <c r="I467" s="9">
        <v>4000010150</v>
      </c>
      <c r="J467" s="10">
        <v>125.52</v>
      </c>
      <c r="K467" s="10"/>
      <c r="L467" s="10">
        <v>125.52</v>
      </c>
      <c r="M467" s="11">
        <v>0</v>
      </c>
      <c r="N467" s="10">
        <v>0</v>
      </c>
      <c r="O467" s="10">
        <v>125.52</v>
      </c>
      <c r="P467" s="11">
        <v>1</v>
      </c>
      <c r="Q467" s="10">
        <v>125.52</v>
      </c>
      <c r="R467" s="10">
        <f t="shared" si="126"/>
        <v>210</v>
      </c>
      <c r="S467" s="10">
        <v>300</v>
      </c>
      <c r="T467" s="9" t="s">
        <v>76</v>
      </c>
      <c r="U467" s="10">
        <v>300</v>
      </c>
      <c r="V467" s="10">
        <f t="shared" si="127"/>
        <v>210</v>
      </c>
      <c r="W467" s="166">
        <v>490300</v>
      </c>
      <c r="X467" s="12" t="s">
        <v>29</v>
      </c>
      <c r="Y467" s="12">
        <f t="shared" si="128"/>
        <v>300</v>
      </c>
      <c r="Z467" s="13">
        <f t="shared" si="129"/>
        <v>300</v>
      </c>
      <c r="AA467" s="13">
        <f t="shared" si="130"/>
        <v>300</v>
      </c>
      <c r="AB467" s="13">
        <f t="shared" si="131"/>
        <v>125.52</v>
      </c>
      <c r="AC467" s="13">
        <f t="shared" si="132"/>
        <v>174.48000000000002</v>
      </c>
      <c r="AD467" s="14">
        <f t="shared" si="133"/>
        <v>0.58160000000000001</v>
      </c>
      <c r="AE467" s="14">
        <f t="shared" si="134"/>
        <v>1.3900573613766731</v>
      </c>
      <c r="AF467" s="13" t="str">
        <f>IF(AD467&gt;=Assumptions!$B$3,"OK","Review")</f>
        <v>OK</v>
      </c>
      <c r="AG467" s="13">
        <f>IFERROR(IF(Assumptions!$B$13="Cost Price",AB467,AA467)*SUMIF(Assumptions!$A$6:$A$10,X467,Assumptions!$B$6:$B$10),0)</f>
        <v>24</v>
      </c>
      <c r="AH467" s="13">
        <f>IFERROR(IF(Assumptions!$B$13="Cost Price",AB467,AA467)*SUMIF(Assumptions!$A$6:$A$10,X467,Assumptions!$C$6:$C$10),0)</f>
        <v>15</v>
      </c>
      <c r="AI467" s="13">
        <f>IFERROR(IF(Assumptions!$B$13="Cost Price",AB467,AA467)*SUMIF(Assumptions!$A$6:$A$10,X467,Assumptions!$D$6:$D$10),0)</f>
        <v>30</v>
      </c>
      <c r="AJ467" s="13">
        <v>30</v>
      </c>
      <c r="AK467" s="13">
        <f t="shared" si="135"/>
        <v>99</v>
      </c>
      <c r="AL467" s="14">
        <v>0.33</v>
      </c>
      <c r="AM467" s="13">
        <f t="shared" si="136"/>
        <v>75.480000000000018</v>
      </c>
      <c r="AN467" s="14">
        <f t="shared" si="137"/>
        <v>0.25160000000000005</v>
      </c>
      <c r="AO467" t="str">
        <f>IF(AN467&gt;=Assumptions!$B$3,"OK","Review")</f>
        <v>Review</v>
      </c>
    </row>
    <row r="468" spans="1:41">
      <c r="A468" s="9" t="s">
        <v>47</v>
      </c>
      <c r="B468" s="9" t="s">
        <v>38</v>
      </c>
      <c r="C468" s="9" t="s">
        <v>259</v>
      </c>
      <c r="D468" s="9" t="s">
        <v>299</v>
      </c>
      <c r="E468" s="9" t="s">
        <v>73</v>
      </c>
      <c r="F468" s="9" t="s">
        <v>90</v>
      </c>
      <c r="G468" s="9" t="s">
        <v>28</v>
      </c>
      <c r="H468" s="9" t="s">
        <v>75</v>
      </c>
      <c r="I468" s="9">
        <v>4000006300</v>
      </c>
      <c r="J468" s="10">
        <v>388.02</v>
      </c>
      <c r="K468" s="10"/>
      <c r="L468" s="10">
        <v>388.02</v>
      </c>
      <c r="M468" s="11">
        <v>0.18</v>
      </c>
      <c r="N468" s="10">
        <v>69.84</v>
      </c>
      <c r="O468" s="10">
        <v>457.86</v>
      </c>
      <c r="P468" s="11">
        <v>1</v>
      </c>
      <c r="Q468" s="10">
        <v>457.86</v>
      </c>
      <c r="R468" s="10">
        <f t="shared" si="126"/>
        <v>489.99999999999994</v>
      </c>
      <c r="S468" s="10">
        <v>700</v>
      </c>
      <c r="T468" s="9" t="s">
        <v>76</v>
      </c>
      <c r="U468" s="10">
        <v>700</v>
      </c>
      <c r="V468" s="10">
        <f t="shared" si="127"/>
        <v>489.99999999999994</v>
      </c>
      <c r="W468" s="166">
        <v>90172090</v>
      </c>
      <c r="X468" s="12" t="s">
        <v>29</v>
      </c>
      <c r="Y468" s="12">
        <f t="shared" si="128"/>
        <v>700</v>
      </c>
      <c r="Z468" s="13">
        <f t="shared" si="129"/>
        <v>700</v>
      </c>
      <c r="AA468" s="13">
        <f t="shared" si="130"/>
        <v>593.22033898305085</v>
      </c>
      <c r="AB468" s="13">
        <f t="shared" si="131"/>
        <v>388.02</v>
      </c>
      <c r="AC468" s="13">
        <f t="shared" si="132"/>
        <v>205.20033898305087</v>
      </c>
      <c r="AD468" s="14">
        <f t="shared" si="133"/>
        <v>0.34590914285714291</v>
      </c>
      <c r="AE468" s="14">
        <f t="shared" si="134"/>
        <v>0.52883959327625096</v>
      </c>
      <c r="AF468" s="13" t="str">
        <f>IF(AD468&gt;=Assumptions!$B$3,"OK","Review")</f>
        <v>OK</v>
      </c>
      <c r="AG468" s="13">
        <f>IFERROR(IF(Assumptions!$B$13="Cost Price",AB468,AA468)*SUMIF(Assumptions!$A$6:$A$10,X468,Assumptions!$B$6:$B$10),0)</f>
        <v>47.457627118644069</v>
      </c>
      <c r="AH468" s="13">
        <f>IFERROR(IF(Assumptions!$B$13="Cost Price",AB468,AA468)*SUMIF(Assumptions!$A$6:$A$10,X468,Assumptions!$C$6:$C$10),0)</f>
        <v>29.661016949152543</v>
      </c>
      <c r="AI468" s="13">
        <f>IFERROR(IF(Assumptions!$B$13="Cost Price",AB468,AA468)*SUMIF(Assumptions!$A$6:$A$10,X468,Assumptions!$D$6:$D$10),0)</f>
        <v>59.322033898305087</v>
      </c>
      <c r="AJ468" s="13">
        <v>59.322033898305087</v>
      </c>
      <c r="AK468" s="13">
        <f t="shared" si="135"/>
        <v>195.76271186440678</v>
      </c>
      <c r="AL468" s="14">
        <v>0.33</v>
      </c>
      <c r="AM468" s="13">
        <f t="shared" si="136"/>
        <v>9.4376271186440874</v>
      </c>
      <c r="AN468" s="14">
        <f t="shared" si="137"/>
        <v>1.5909142857142889E-2</v>
      </c>
      <c r="AO468" t="str">
        <f>IF(AN468&gt;=Assumptions!$B$3,"OK","Review")</f>
        <v>Review</v>
      </c>
    </row>
    <row r="469" spans="1:41">
      <c r="A469" s="9" t="s">
        <v>47</v>
      </c>
      <c r="B469" s="9" t="s">
        <v>38</v>
      </c>
      <c r="C469" s="9" t="s">
        <v>261</v>
      </c>
      <c r="D469" s="9" t="s">
        <v>300</v>
      </c>
      <c r="E469" s="9" t="s">
        <v>73</v>
      </c>
      <c r="F469" s="9" t="s">
        <v>74</v>
      </c>
      <c r="G469" s="9" t="s">
        <v>28</v>
      </c>
      <c r="H469" s="9" t="s">
        <v>75</v>
      </c>
      <c r="I469" s="9">
        <v>4000010092</v>
      </c>
      <c r="J469" s="10">
        <v>44.25</v>
      </c>
      <c r="K469" s="10"/>
      <c r="L469" s="10">
        <v>44.25</v>
      </c>
      <c r="M469" s="11">
        <v>0</v>
      </c>
      <c r="N469" s="10">
        <v>0</v>
      </c>
      <c r="O469" s="10">
        <v>44.25</v>
      </c>
      <c r="P469" s="11">
        <v>0.5</v>
      </c>
      <c r="Q469" s="10">
        <v>88.5</v>
      </c>
      <c r="R469" s="10">
        <f t="shared" si="126"/>
        <v>350</v>
      </c>
      <c r="S469" s="10">
        <v>250</v>
      </c>
      <c r="T469" s="9" t="s">
        <v>76</v>
      </c>
      <c r="U469" s="10">
        <v>500</v>
      </c>
      <c r="V469" s="10">
        <f t="shared" si="127"/>
        <v>350</v>
      </c>
      <c r="W469" s="166">
        <v>490110</v>
      </c>
      <c r="X469" s="12" t="s">
        <v>29</v>
      </c>
      <c r="Y469" s="12">
        <f t="shared" si="128"/>
        <v>250</v>
      </c>
      <c r="Z469" s="13">
        <f t="shared" si="129"/>
        <v>250</v>
      </c>
      <c r="AA469" s="13">
        <f t="shared" si="130"/>
        <v>250</v>
      </c>
      <c r="AB469" s="13">
        <f t="shared" si="131"/>
        <v>44.25</v>
      </c>
      <c r="AC469" s="13">
        <f t="shared" si="132"/>
        <v>205.75</v>
      </c>
      <c r="AD469" s="14">
        <f t="shared" si="133"/>
        <v>0.82299999999999995</v>
      </c>
      <c r="AE469" s="14">
        <f t="shared" si="134"/>
        <v>4.6497175141242941</v>
      </c>
      <c r="AF469" s="13" t="str">
        <f>IF(AD469&gt;=Assumptions!$B$3,"OK","Review")</f>
        <v>OK</v>
      </c>
      <c r="AG469" s="13">
        <f>IFERROR(IF(Assumptions!$B$13="Cost Price",AB469,AA469)*SUMIF(Assumptions!$A$6:$A$10,X469,Assumptions!$B$6:$B$10),0)</f>
        <v>20</v>
      </c>
      <c r="AH469" s="13">
        <f>IFERROR(IF(Assumptions!$B$13="Cost Price",AB469,AA469)*SUMIF(Assumptions!$A$6:$A$10,X469,Assumptions!$C$6:$C$10),0)</f>
        <v>12.5</v>
      </c>
      <c r="AI469" s="13">
        <f>IFERROR(IF(Assumptions!$B$13="Cost Price",AB469,AA469)*SUMIF(Assumptions!$A$6:$A$10,X469,Assumptions!$D$6:$D$10),0)</f>
        <v>25</v>
      </c>
      <c r="AJ469" s="13">
        <v>25</v>
      </c>
      <c r="AK469" s="13">
        <f t="shared" si="135"/>
        <v>82.5</v>
      </c>
      <c r="AL469" s="14">
        <v>0.33</v>
      </c>
      <c r="AM469" s="13">
        <f t="shared" si="136"/>
        <v>123.25</v>
      </c>
      <c r="AN469" s="14">
        <f t="shared" si="137"/>
        <v>0.49299999999999999</v>
      </c>
      <c r="AO469" t="str">
        <f>IF(AN469&gt;=Assumptions!$B$3,"OK","Review")</f>
        <v>OK</v>
      </c>
    </row>
    <row r="470" spans="1:41">
      <c r="A470" s="9" t="s">
        <v>47</v>
      </c>
      <c r="B470" s="9" t="s">
        <v>38</v>
      </c>
      <c r="C470" s="9" t="s">
        <v>261</v>
      </c>
      <c r="D470" s="9" t="s">
        <v>301</v>
      </c>
      <c r="E470" s="9" t="s">
        <v>73</v>
      </c>
      <c r="F470" s="9" t="s">
        <v>74</v>
      </c>
      <c r="G470" s="9" t="s">
        <v>28</v>
      </c>
      <c r="H470" s="9" t="s">
        <v>84</v>
      </c>
      <c r="I470" s="9">
        <v>4000010176</v>
      </c>
      <c r="J470" s="10">
        <v>44.25</v>
      </c>
      <c r="K470" s="10"/>
      <c r="L470" s="10">
        <v>44.25</v>
      </c>
      <c r="M470" s="11">
        <v>0</v>
      </c>
      <c r="N470" s="10">
        <v>0</v>
      </c>
      <c r="O470" s="10">
        <v>44.25</v>
      </c>
      <c r="P470" s="11">
        <v>0.5</v>
      </c>
      <c r="Q470" s="10">
        <v>88.5</v>
      </c>
      <c r="R470" s="10">
        <f t="shared" si="126"/>
        <v>350</v>
      </c>
      <c r="S470" s="10">
        <v>250</v>
      </c>
      <c r="T470" s="9" t="s">
        <v>76</v>
      </c>
      <c r="U470" s="10">
        <v>500</v>
      </c>
      <c r="V470" s="10">
        <f t="shared" si="127"/>
        <v>350</v>
      </c>
      <c r="W470" s="166">
        <v>490110</v>
      </c>
      <c r="X470" s="12" t="s">
        <v>29</v>
      </c>
      <c r="Y470" s="12">
        <f t="shared" si="128"/>
        <v>250</v>
      </c>
      <c r="Z470" s="13">
        <f t="shared" si="129"/>
        <v>250</v>
      </c>
      <c r="AA470" s="13">
        <f t="shared" si="130"/>
        <v>250</v>
      </c>
      <c r="AB470" s="13">
        <f t="shared" si="131"/>
        <v>44.25</v>
      </c>
      <c r="AC470" s="13">
        <f t="shared" si="132"/>
        <v>205.75</v>
      </c>
      <c r="AD470" s="14">
        <f t="shared" si="133"/>
        <v>0.82299999999999995</v>
      </c>
      <c r="AE470" s="14">
        <f t="shared" si="134"/>
        <v>4.6497175141242941</v>
      </c>
      <c r="AF470" s="13" t="str">
        <f>IF(AD470&gt;=Assumptions!$B$3,"OK","Review")</f>
        <v>OK</v>
      </c>
      <c r="AG470" s="13">
        <f>IFERROR(IF(Assumptions!$B$13="Cost Price",AB470,AA470)*SUMIF(Assumptions!$A$6:$A$10,X470,Assumptions!$B$6:$B$10),0)</f>
        <v>20</v>
      </c>
      <c r="AH470" s="13">
        <f>IFERROR(IF(Assumptions!$B$13="Cost Price",AB470,AA470)*SUMIF(Assumptions!$A$6:$A$10,X470,Assumptions!$C$6:$C$10),0)</f>
        <v>12.5</v>
      </c>
      <c r="AI470" s="13">
        <f>IFERROR(IF(Assumptions!$B$13="Cost Price",AB470,AA470)*SUMIF(Assumptions!$A$6:$A$10,X470,Assumptions!$D$6:$D$10),0)</f>
        <v>25</v>
      </c>
      <c r="AJ470" s="13">
        <v>25</v>
      </c>
      <c r="AK470" s="13">
        <f t="shared" si="135"/>
        <v>82.5</v>
      </c>
      <c r="AL470" s="14">
        <v>0.33</v>
      </c>
      <c r="AM470" s="13">
        <f t="shared" si="136"/>
        <v>123.25</v>
      </c>
      <c r="AN470" s="14">
        <f t="shared" si="137"/>
        <v>0.49299999999999999</v>
      </c>
      <c r="AO470" t="str">
        <f>IF(AN470&gt;=Assumptions!$B$3,"OK","Review")</f>
        <v>OK</v>
      </c>
    </row>
    <row r="471" spans="1:41">
      <c r="A471" s="9" t="s">
        <v>47</v>
      </c>
      <c r="B471" s="9" t="s">
        <v>38</v>
      </c>
      <c r="C471" s="9" t="s">
        <v>264</v>
      </c>
      <c r="D471" s="9" t="s">
        <v>302</v>
      </c>
      <c r="E471" s="9" t="s">
        <v>73</v>
      </c>
      <c r="F471" s="9" t="s">
        <v>74</v>
      </c>
      <c r="G471" s="9" t="s">
        <v>28</v>
      </c>
      <c r="H471" s="9" t="s">
        <v>75</v>
      </c>
      <c r="I471" s="9">
        <v>4000010152</v>
      </c>
      <c r="J471" s="10">
        <v>57.35</v>
      </c>
      <c r="K471" s="10"/>
      <c r="L471" s="10">
        <v>57.35</v>
      </c>
      <c r="M471" s="11">
        <v>0</v>
      </c>
      <c r="N471" s="10">
        <v>0</v>
      </c>
      <c r="O471" s="10">
        <v>57.35</v>
      </c>
      <c r="P471" s="11">
        <v>1</v>
      </c>
      <c r="Q471" s="10">
        <v>57.35</v>
      </c>
      <c r="R471" s="10">
        <f t="shared" si="126"/>
        <v>262.5</v>
      </c>
      <c r="S471" s="10">
        <v>375</v>
      </c>
      <c r="T471" s="9" t="s">
        <v>76</v>
      </c>
      <c r="U471" s="10">
        <v>375</v>
      </c>
      <c r="V471" s="10">
        <f t="shared" si="127"/>
        <v>262.5</v>
      </c>
      <c r="W471" s="166">
        <v>490110</v>
      </c>
      <c r="X471" s="12" t="s">
        <v>29</v>
      </c>
      <c r="Y471" s="12">
        <f t="shared" si="128"/>
        <v>375</v>
      </c>
      <c r="Z471" s="13">
        <f t="shared" si="129"/>
        <v>375</v>
      </c>
      <c r="AA471" s="13">
        <f t="shared" si="130"/>
        <v>375</v>
      </c>
      <c r="AB471" s="13">
        <f t="shared" si="131"/>
        <v>57.35</v>
      </c>
      <c r="AC471" s="13">
        <f t="shared" si="132"/>
        <v>317.64999999999998</v>
      </c>
      <c r="AD471" s="14">
        <f t="shared" si="133"/>
        <v>0.84706666666666663</v>
      </c>
      <c r="AE471" s="14">
        <f t="shared" si="134"/>
        <v>5.5387968613775058</v>
      </c>
      <c r="AF471" s="13" t="str">
        <f>IF(AD471&gt;=Assumptions!$B$3,"OK","Review")</f>
        <v>OK</v>
      </c>
      <c r="AG471" s="13">
        <f>IFERROR(IF(Assumptions!$B$13="Cost Price",AB471,AA471)*SUMIF(Assumptions!$A$6:$A$10,X471,Assumptions!$B$6:$B$10),0)</f>
        <v>30</v>
      </c>
      <c r="AH471" s="13">
        <f>IFERROR(IF(Assumptions!$B$13="Cost Price",AB471,AA471)*SUMIF(Assumptions!$A$6:$A$10,X471,Assumptions!$C$6:$C$10),0)</f>
        <v>18.75</v>
      </c>
      <c r="AI471" s="13">
        <f>IFERROR(IF(Assumptions!$B$13="Cost Price",AB471,AA471)*SUMIF(Assumptions!$A$6:$A$10,X471,Assumptions!$D$6:$D$10),0)</f>
        <v>37.5</v>
      </c>
      <c r="AJ471" s="13">
        <v>37.5</v>
      </c>
      <c r="AK471" s="13">
        <f t="shared" si="135"/>
        <v>123.75</v>
      </c>
      <c r="AL471" s="14">
        <v>0.33</v>
      </c>
      <c r="AM471" s="13">
        <f t="shared" si="136"/>
        <v>193.89999999999998</v>
      </c>
      <c r="AN471" s="14">
        <f t="shared" si="137"/>
        <v>0.51706666666666656</v>
      </c>
      <c r="AO471" t="str">
        <f>IF(AN471&gt;=Assumptions!$B$3,"OK","Review")</f>
        <v>OK</v>
      </c>
    </row>
    <row r="472" spans="1:41">
      <c r="A472" s="9" t="s">
        <v>47</v>
      </c>
      <c r="B472" s="9" t="s">
        <v>38</v>
      </c>
      <c r="C472" s="9" t="s">
        <v>282</v>
      </c>
      <c r="D472" s="9" t="s">
        <v>303</v>
      </c>
      <c r="E472" s="9" t="s">
        <v>73</v>
      </c>
      <c r="F472" s="9" t="s">
        <v>74</v>
      </c>
      <c r="G472" s="9" t="s">
        <v>28</v>
      </c>
      <c r="H472" s="9" t="s">
        <v>75</v>
      </c>
      <c r="I472" s="9">
        <v>4000010093</v>
      </c>
      <c r="J472" s="10">
        <v>72.599999999999994</v>
      </c>
      <c r="K472" s="10"/>
      <c r="L472" s="10">
        <v>72.599999999999994</v>
      </c>
      <c r="M472" s="11">
        <v>0</v>
      </c>
      <c r="N472" s="10">
        <v>0</v>
      </c>
      <c r="O472" s="10">
        <v>72.599999999999994</v>
      </c>
      <c r="P472" s="11">
        <v>0.40300000000000002</v>
      </c>
      <c r="Q472" s="10">
        <v>180.14</v>
      </c>
      <c r="R472" s="10">
        <f t="shared" si="126"/>
        <v>392</v>
      </c>
      <c r="S472" s="10">
        <v>225.69</v>
      </c>
      <c r="T472" s="9" t="s">
        <v>76</v>
      </c>
      <c r="U472" s="10">
        <v>560</v>
      </c>
      <c r="V472" s="10">
        <f t="shared" si="127"/>
        <v>392</v>
      </c>
      <c r="W472" s="166">
        <v>490110</v>
      </c>
      <c r="X472" s="12" t="s">
        <v>29</v>
      </c>
      <c r="Y472" s="12">
        <f t="shared" si="128"/>
        <v>225.69</v>
      </c>
      <c r="Z472" s="13">
        <f t="shared" si="129"/>
        <v>225.69</v>
      </c>
      <c r="AA472" s="13">
        <f t="shared" si="130"/>
        <v>225.69</v>
      </c>
      <c r="AB472" s="13">
        <f t="shared" si="131"/>
        <v>72.599999999999994</v>
      </c>
      <c r="AC472" s="13">
        <f t="shared" si="132"/>
        <v>153.09</v>
      </c>
      <c r="AD472" s="14">
        <f t="shared" si="133"/>
        <v>0.67831981922105544</v>
      </c>
      <c r="AE472" s="14">
        <f t="shared" si="134"/>
        <v>2.1086776859504135</v>
      </c>
      <c r="AF472" s="13" t="str">
        <f>IF(AD472&gt;=Assumptions!$B$3,"OK","Review")</f>
        <v>OK</v>
      </c>
      <c r="AG472" s="13">
        <f>IFERROR(IF(Assumptions!$B$13="Cost Price",AB472,AA472)*SUMIF(Assumptions!$A$6:$A$10,X472,Assumptions!$B$6:$B$10),0)</f>
        <v>18.055199999999999</v>
      </c>
      <c r="AH472" s="13">
        <f>IFERROR(IF(Assumptions!$B$13="Cost Price",AB472,AA472)*SUMIF(Assumptions!$A$6:$A$10,X472,Assumptions!$C$6:$C$10),0)</f>
        <v>11.284500000000001</v>
      </c>
      <c r="AI472" s="13">
        <f>IFERROR(IF(Assumptions!$B$13="Cost Price",AB472,AA472)*SUMIF(Assumptions!$A$6:$A$10,X472,Assumptions!$D$6:$D$10),0)</f>
        <v>22.569000000000003</v>
      </c>
      <c r="AJ472" s="13">
        <v>22.569000000000003</v>
      </c>
      <c r="AK472" s="13">
        <f t="shared" si="135"/>
        <v>74.477699999999999</v>
      </c>
      <c r="AL472" s="14">
        <v>0.33</v>
      </c>
      <c r="AM472" s="13">
        <f t="shared" si="136"/>
        <v>78.612300000000005</v>
      </c>
      <c r="AN472" s="14">
        <f t="shared" si="137"/>
        <v>0.34831981922105548</v>
      </c>
      <c r="AO472" t="str">
        <f>IF(AN472&gt;=Assumptions!$B$3,"OK","Review")</f>
        <v>OK</v>
      </c>
    </row>
    <row r="473" spans="1:41">
      <c r="A473" s="9" t="s">
        <v>47</v>
      </c>
      <c r="B473" s="9" t="s">
        <v>38</v>
      </c>
      <c r="C473" s="9" t="s">
        <v>282</v>
      </c>
      <c r="D473" s="9" t="s">
        <v>304</v>
      </c>
      <c r="E473" s="9" t="s">
        <v>73</v>
      </c>
      <c r="F473" s="9" t="s">
        <v>74</v>
      </c>
      <c r="G473" s="9" t="s">
        <v>28</v>
      </c>
      <c r="H473" s="9" t="s">
        <v>84</v>
      </c>
      <c r="I473" s="9">
        <v>4000010177</v>
      </c>
      <c r="J473" s="10">
        <v>107.54</v>
      </c>
      <c r="K473" s="10"/>
      <c r="L473" s="10">
        <v>107.54</v>
      </c>
      <c r="M473" s="11">
        <v>0</v>
      </c>
      <c r="N473" s="10">
        <v>0</v>
      </c>
      <c r="O473" s="10">
        <v>107.54</v>
      </c>
      <c r="P473" s="11">
        <v>0.59699999999999998</v>
      </c>
      <c r="Q473" s="10">
        <v>180.14</v>
      </c>
      <c r="R473" s="10">
        <f t="shared" si="126"/>
        <v>392</v>
      </c>
      <c r="S473" s="10">
        <v>334.31</v>
      </c>
      <c r="T473" s="9" t="s">
        <v>76</v>
      </c>
      <c r="U473" s="10">
        <v>560</v>
      </c>
      <c r="V473" s="10">
        <f t="shared" si="127"/>
        <v>392</v>
      </c>
      <c r="W473" s="166">
        <v>490110</v>
      </c>
      <c r="X473" s="12" t="s">
        <v>29</v>
      </c>
      <c r="Y473" s="12">
        <f t="shared" si="128"/>
        <v>334.31</v>
      </c>
      <c r="Z473" s="13">
        <f t="shared" si="129"/>
        <v>334.31</v>
      </c>
      <c r="AA473" s="13">
        <f t="shared" si="130"/>
        <v>334.31</v>
      </c>
      <c r="AB473" s="13">
        <f t="shared" si="131"/>
        <v>107.54</v>
      </c>
      <c r="AC473" s="13">
        <f t="shared" si="132"/>
        <v>226.76999999999998</v>
      </c>
      <c r="AD473" s="14">
        <f t="shared" si="133"/>
        <v>0.67832251503095919</v>
      </c>
      <c r="AE473" s="14">
        <f t="shared" si="134"/>
        <v>2.1087037381439462</v>
      </c>
      <c r="AF473" s="13" t="str">
        <f>IF(AD473&gt;=Assumptions!$B$3,"OK","Review")</f>
        <v>OK</v>
      </c>
      <c r="AG473" s="13">
        <f>IFERROR(IF(Assumptions!$B$13="Cost Price",AB473,AA473)*SUMIF(Assumptions!$A$6:$A$10,X473,Assumptions!$B$6:$B$10),0)</f>
        <v>26.744800000000001</v>
      </c>
      <c r="AH473" s="13">
        <f>IFERROR(IF(Assumptions!$B$13="Cost Price",AB473,AA473)*SUMIF(Assumptions!$A$6:$A$10,X473,Assumptions!$C$6:$C$10),0)</f>
        <v>16.715500000000002</v>
      </c>
      <c r="AI473" s="13">
        <f>IFERROR(IF(Assumptions!$B$13="Cost Price",AB473,AA473)*SUMIF(Assumptions!$A$6:$A$10,X473,Assumptions!$D$6:$D$10),0)</f>
        <v>33.431000000000004</v>
      </c>
      <c r="AJ473" s="13">
        <v>33.431000000000004</v>
      </c>
      <c r="AK473" s="13">
        <f t="shared" si="135"/>
        <v>110.32230000000001</v>
      </c>
      <c r="AL473" s="14">
        <v>0.33</v>
      </c>
      <c r="AM473" s="13">
        <f t="shared" si="136"/>
        <v>116.44769999999997</v>
      </c>
      <c r="AN473" s="14">
        <f t="shared" si="137"/>
        <v>0.34832251503095918</v>
      </c>
      <c r="AO473" t="str">
        <f>IF(AN473&gt;=Assumptions!$B$3,"OK","Review")</f>
        <v>OK</v>
      </c>
    </row>
    <row r="474" spans="1:41">
      <c r="A474" s="9" t="s">
        <v>47</v>
      </c>
      <c r="B474" s="9" t="s">
        <v>38</v>
      </c>
      <c r="C474" s="9" t="s">
        <v>271</v>
      </c>
      <c r="D474" s="9" t="s">
        <v>305</v>
      </c>
      <c r="E474" s="9" t="s">
        <v>73</v>
      </c>
      <c r="F474" s="9" t="s">
        <v>74</v>
      </c>
      <c r="G474" s="9" t="s">
        <v>28</v>
      </c>
      <c r="H474" s="9" t="s">
        <v>75</v>
      </c>
      <c r="I474" s="9">
        <v>4000010153</v>
      </c>
      <c r="J474" s="10">
        <v>39.06</v>
      </c>
      <c r="K474" s="10"/>
      <c r="L474" s="10">
        <v>39.06</v>
      </c>
      <c r="M474" s="11">
        <v>0</v>
      </c>
      <c r="N474" s="10">
        <v>0</v>
      </c>
      <c r="O474" s="10">
        <v>39.06</v>
      </c>
      <c r="P474" s="11">
        <v>1</v>
      </c>
      <c r="Q474" s="10">
        <v>39.06</v>
      </c>
      <c r="R474" s="10">
        <f t="shared" si="126"/>
        <v>140</v>
      </c>
      <c r="S474" s="10">
        <v>200</v>
      </c>
      <c r="T474" s="9" t="s">
        <v>76</v>
      </c>
      <c r="U474" s="10">
        <v>200</v>
      </c>
      <c r="V474" s="10">
        <f t="shared" si="127"/>
        <v>140</v>
      </c>
      <c r="W474" s="166">
        <v>490110</v>
      </c>
      <c r="X474" s="12" t="s">
        <v>29</v>
      </c>
      <c r="Y474" s="12">
        <f t="shared" si="128"/>
        <v>200</v>
      </c>
      <c r="Z474" s="13">
        <f t="shared" si="129"/>
        <v>200</v>
      </c>
      <c r="AA474" s="13">
        <f t="shared" si="130"/>
        <v>200</v>
      </c>
      <c r="AB474" s="13">
        <f t="shared" si="131"/>
        <v>39.06</v>
      </c>
      <c r="AC474" s="13">
        <f t="shared" si="132"/>
        <v>160.94</v>
      </c>
      <c r="AD474" s="14">
        <f t="shared" si="133"/>
        <v>0.80469999999999997</v>
      </c>
      <c r="AE474" s="14">
        <f t="shared" si="134"/>
        <v>4.1203277009728616</v>
      </c>
      <c r="AF474" s="13" t="str">
        <f>IF(AD474&gt;=Assumptions!$B$3,"OK","Review")</f>
        <v>OK</v>
      </c>
      <c r="AG474" s="13">
        <f>IFERROR(IF(Assumptions!$B$13="Cost Price",AB474,AA474)*SUMIF(Assumptions!$A$6:$A$10,X474,Assumptions!$B$6:$B$10),0)</f>
        <v>16</v>
      </c>
      <c r="AH474" s="13">
        <f>IFERROR(IF(Assumptions!$B$13="Cost Price",AB474,AA474)*SUMIF(Assumptions!$A$6:$A$10,X474,Assumptions!$C$6:$C$10),0)</f>
        <v>10</v>
      </c>
      <c r="AI474" s="13">
        <f>IFERROR(IF(Assumptions!$B$13="Cost Price",AB474,AA474)*SUMIF(Assumptions!$A$6:$A$10,X474,Assumptions!$D$6:$D$10),0)</f>
        <v>20</v>
      </c>
      <c r="AJ474" s="13">
        <v>20</v>
      </c>
      <c r="AK474" s="13">
        <f t="shared" si="135"/>
        <v>66</v>
      </c>
      <c r="AL474" s="14">
        <v>0.33</v>
      </c>
      <c r="AM474" s="13">
        <f t="shared" si="136"/>
        <v>94.94</v>
      </c>
      <c r="AN474" s="14">
        <f t="shared" si="137"/>
        <v>0.47470000000000001</v>
      </c>
      <c r="AO474" t="str">
        <f>IF(AN474&gt;=Assumptions!$B$3,"OK","Review")</f>
        <v>OK</v>
      </c>
    </row>
    <row r="475" spans="1:41">
      <c r="A475" s="9" t="s">
        <v>47</v>
      </c>
      <c r="B475" s="9" t="s">
        <v>38</v>
      </c>
      <c r="C475" s="9" t="s">
        <v>273</v>
      </c>
      <c r="D475" s="9" t="s">
        <v>306</v>
      </c>
      <c r="E475" s="9" t="s">
        <v>73</v>
      </c>
      <c r="F475" s="9" t="s">
        <v>74</v>
      </c>
      <c r="G475" s="9" t="s">
        <v>28</v>
      </c>
      <c r="H475" s="9" t="s">
        <v>75</v>
      </c>
      <c r="I475" s="9">
        <v>4000001486</v>
      </c>
      <c r="J475" s="10">
        <v>118.8</v>
      </c>
      <c r="K475" s="10"/>
      <c r="L475" s="10">
        <v>118.8</v>
      </c>
      <c r="M475" s="11">
        <v>0</v>
      </c>
      <c r="N475" s="10">
        <v>0</v>
      </c>
      <c r="O475" s="10">
        <v>118.8</v>
      </c>
      <c r="P475" s="11">
        <v>0.48209999999999997</v>
      </c>
      <c r="Q475" s="10">
        <v>246.4</v>
      </c>
      <c r="R475" s="10">
        <f t="shared" si="126"/>
        <v>1131.1999999999998</v>
      </c>
      <c r="S475" s="10">
        <v>779.14</v>
      </c>
      <c r="T475" s="9" t="s">
        <v>76</v>
      </c>
      <c r="U475" s="10">
        <v>1616</v>
      </c>
      <c r="V475" s="10">
        <f t="shared" si="127"/>
        <v>1131.1999999999998</v>
      </c>
      <c r="W475" s="166">
        <v>490110</v>
      </c>
      <c r="X475" s="12" t="s">
        <v>29</v>
      </c>
      <c r="Y475" s="12">
        <f t="shared" si="128"/>
        <v>779.14</v>
      </c>
      <c r="Z475" s="13">
        <f t="shared" si="129"/>
        <v>779.14</v>
      </c>
      <c r="AA475" s="13">
        <f t="shared" si="130"/>
        <v>779.14</v>
      </c>
      <c r="AB475" s="13">
        <f t="shared" si="131"/>
        <v>118.8</v>
      </c>
      <c r="AC475" s="13">
        <f t="shared" si="132"/>
        <v>660.34</v>
      </c>
      <c r="AD475" s="14">
        <f t="shared" si="133"/>
        <v>0.84752419334137641</v>
      </c>
      <c r="AE475" s="14">
        <f t="shared" si="134"/>
        <v>5.5584175084175085</v>
      </c>
      <c r="AF475" s="13" t="str">
        <f>IF(AD475&gt;=Assumptions!$B$3,"OK","Review")</f>
        <v>OK</v>
      </c>
      <c r="AG475" s="13">
        <f>IFERROR(IF(Assumptions!$B$13="Cost Price",AB475,AA475)*SUMIF(Assumptions!$A$6:$A$10,X475,Assumptions!$B$6:$B$10),0)</f>
        <v>62.331200000000003</v>
      </c>
      <c r="AH475" s="13">
        <f>IFERROR(IF(Assumptions!$B$13="Cost Price",AB475,AA475)*SUMIF(Assumptions!$A$6:$A$10,X475,Assumptions!$C$6:$C$10),0)</f>
        <v>38.957000000000001</v>
      </c>
      <c r="AI475" s="13">
        <f>IFERROR(IF(Assumptions!$B$13="Cost Price",AB475,AA475)*SUMIF(Assumptions!$A$6:$A$10,X475,Assumptions!$D$6:$D$10),0)</f>
        <v>77.914000000000001</v>
      </c>
      <c r="AJ475" s="13">
        <v>77.914000000000001</v>
      </c>
      <c r="AK475" s="13">
        <f t="shared" si="135"/>
        <v>257.11619999999999</v>
      </c>
      <c r="AL475" s="14">
        <v>0.33</v>
      </c>
      <c r="AM475" s="13">
        <f t="shared" si="136"/>
        <v>403.22380000000004</v>
      </c>
      <c r="AN475" s="14">
        <f t="shared" si="137"/>
        <v>0.51752419334137645</v>
      </c>
      <c r="AO475" t="str">
        <f>IF(AN475&gt;=Assumptions!$B$3,"OK","Review")</f>
        <v>OK</v>
      </c>
    </row>
    <row r="476" spans="1:41">
      <c r="A476" s="9" t="s">
        <v>47</v>
      </c>
      <c r="B476" s="9" t="s">
        <v>38</v>
      </c>
      <c r="C476" s="9" t="s">
        <v>273</v>
      </c>
      <c r="D476" s="9" t="s">
        <v>307</v>
      </c>
      <c r="E476" s="9" t="s">
        <v>73</v>
      </c>
      <c r="F476" s="9" t="s">
        <v>74</v>
      </c>
      <c r="G476" s="9" t="s">
        <v>28</v>
      </c>
      <c r="H476" s="9" t="s">
        <v>84</v>
      </c>
      <c r="I476" s="9">
        <v>4000001477</v>
      </c>
      <c r="J476" s="10">
        <v>127.6</v>
      </c>
      <c r="K476" s="10"/>
      <c r="L476" s="10">
        <v>127.6</v>
      </c>
      <c r="M476" s="11">
        <v>0</v>
      </c>
      <c r="N476" s="10">
        <v>0</v>
      </c>
      <c r="O476" s="10">
        <v>127.6</v>
      </c>
      <c r="P476" s="11">
        <v>0.51790000000000003</v>
      </c>
      <c r="Q476" s="10">
        <v>246.4</v>
      </c>
      <c r="R476" s="10">
        <f t="shared" si="126"/>
        <v>1131.1999999999998</v>
      </c>
      <c r="S476" s="10">
        <v>836.86</v>
      </c>
      <c r="T476" s="9" t="s">
        <v>76</v>
      </c>
      <c r="U476" s="10">
        <v>1616</v>
      </c>
      <c r="V476" s="10">
        <f t="shared" si="127"/>
        <v>1131.1999999999998</v>
      </c>
      <c r="W476" s="166">
        <v>490110</v>
      </c>
      <c r="X476" s="12" t="s">
        <v>29</v>
      </c>
      <c r="Y476" s="12">
        <f t="shared" si="128"/>
        <v>836.86</v>
      </c>
      <c r="Z476" s="13">
        <f t="shared" si="129"/>
        <v>836.86</v>
      </c>
      <c r="AA476" s="13">
        <f t="shared" si="130"/>
        <v>836.86</v>
      </c>
      <c r="AB476" s="13">
        <f t="shared" si="131"/>
        <v>127.6</v>
      </c>
      <c r="AC476" s="13">
        <f t="shared" si="132"/>
        <v>709.26</v>
      </c>
      <c r="AD476" s="14">
        <f t="shared" si="133"/>
        <v>0.84752527304447578</v>
      </c>
      <c r="AE476" s="14">
        <f t="shared" si="134"/>
        <v>5.5584639498432606</v>
      </c>
      <c r="AF476" s="13" t="str">
        <f>IF(AD476&gt;=Assumptions!$B$3,"OK","Review")</f>
        <v>OK</v>
      </c>
      <c r="AG476" s="13">
        <f>IFERROR(IF(Assumptions!$B$13="Cost Price",AB476,AA476)*SUMIF(Assumptions!$A$6:$A$10,X476,Assumptions!$B$6:$B$10),0)</f>
        <v>66.948800000000006</v>
      </c>
      <c r="AH476" s="13">
        <f>IFERROR(IF(Assumptions!$B$13="Cost Price",AB476,AA476)*SUMIF(Assumptions!$A$6:$A$10,X476,Assumptions!$C$6:$C$10),0)</f>
        <v>41.843000000000004</v>
      </c>
      <c r="AI476" s="13">
        <f>IFERROR(IF(Assumptions!$B$13="Cost Price",AB476,AA476)*SUMIF(Assumptions!$A$6:$A$10,X476,Assumptions!$D$6:$D$10),0)</f>
        <v>83.686000000000007</v>
      </c>
      <c r="AJ476" s="13">
        <v>83.686000000000007</v>
      </c>
      <c r="AK476" s="13">
        <f t="shared" si="135"/>
        <v>276.16380000000004</v>
      </c>
      <c r="AL476" s="14">
        <v>0.33</v>
      </c>
      <c r="AM476" s="13">
        <f t="shared" si="136"/>
        <v>433.09619999999995</v>
      </c>
      <c r="AN476" s="14">
        <f t="shared" si="137"/>
        <v>0.51752527304447571</v>
      </c>
      <c r="AO476" t="str">
        <f>IF(AN476&gt;=Assumptions!$B$3,"OK","Review")</f>
        <v>OK</v>
      </c>
    </row>
    <row r="477" spans="1:41">
      <c r="A477" s="9" t="s">
        <v>47</v>
      </c>
      <c r="B477" s="9" t="s">
        <v>39</v>
      </c>
      <c r="C477" s="9" t="s">
        <v>257</v>
      </c>
      <c r="D477" s="9" t="s">
        <v>308</v>
      </c>
      <c r="E477" s="9" t="s">
        <v>73</v>
      </c>
      <c r="F477" s="9" t="s">
        <v>74</v>
      </c>
      <c r="G477" s="9" t="s">
        <v>28</v>
      </c>
      <c r="H477" s="9" t="s">
        <v>75</v>
      </c>
      <c r="I477" s="9">
        <v>4000010158</v>
      </c>
      <c r="J477" s="10">
        <v>131.29</v>
      </c>
      <c r="K477" s="10"/>
      <c r="L477" s="10">
        <v>131.29</v>
      </c>
      <c r="M477" s="11">
        <v>0</v>
      </c>
      <c r="N477" s="10">
        <v>0</v>
      </c>
      <c r="O477" s="10">
        <v>131.29</v>
      </c>
      <c r="P477" s="11">
        <v>1</v>
      </c>
      <c r="Q477" s="10">
        <v>131.29</v>
      </c>
      <c r="R477" s="10">
        <f t="shared" si="126"/>
        <v>210</v>
      </c>
      <c r="S477" s="10">
        <v>300</v>
      </c>
      <c r="T477" s="9" t="s">
        <v>76</v>
      </c>
      <c r="U477" s="10">
        <v>300</v>
      </c>
      <c r="V477" s="10">
        <f t="shared" si="127"/>
        <v>210</v>
      </c>
      <c r="W477" s="166">
        <v>490300</v>
      </c>
      <c r="X477" s="12" t="s">
        <v>29</v>
      </c>
      <c r="Y477" s="12">
        <f t="shared" si="128"/>
        <v>300</v>
      </c>
      <c r="Z477" s="13">
        <f t="shared" si="129"/>
        <v>300</v>
      </c>
      <c r="AA477" s="13">
        <f t="shared" si="130"/>
        <v>300</v>
      </c>
      <c r="AB477" s="13">
        <f t="shared" si="131"/>
        <v>131.29</v>
      </c>
      <c r="AC477" s="13">
        <f t="shared" si="132"/>
        <v>168.71</v>
      </c>
      <c r="AD477" s="14">
        <f t="shared" si="133"/>
        <v>0.56236666666666668</v>
      </c>
      <c r="AE477" s="14">
        <f t="shared" si="134"/>
        <v>1.2850178993068782</v>
      </c>
      <c r="AF477" s="13" t="str">
        <f>IF(AD477&gt;=Assumptions!$B$3,"OK","Review")</f>
        <v>OK</v>
      </c>
      <c r="AG477" s="13">
        <f>IFERROR(IF(Assumptions!$B$13="Cost Price",AB477,AA477)*SUMIF(Assumptions!$A$6:$A$10,X477,Assumptions!$B$6:$B$10),0)</f>
        <v>24</v>
      </c>
      <c r="AH477" s="13">
        <f>IFERROR(IF(Assumptions!$B$13="Cost Price",AB477,AA477)*SUMIF(Assumptions!$A$6:$A$10,X477,Assumptions!$C$6:$C$10),0)</f>
        <v>15</v>
      </c>
      <c r="AI477" s="13">
        <f>IFERROR(IF(Assumptions!$B$13="Cost Price",AB477,AA477)*SUMIF(Assumptions!$A$6:$A$10,X477,Assumptions!$D$6:$D$10),0)</f>
        <v>30</v>
      </c>
      <c r="AJ477" s="13">
        <v>30</v>
      </c>
      <c r="AK477" s="13">
        <f t="shared" si="135"/>
        <v>99</v>
      </c>
      <c r="AL477" s="14">
        <v>0.33</v>
      </c>
      <c r="AM477" s="13">
        <f t="shared" si="136"/>
        <v>69.710000000000008</v>
      </c>
      <c r="AN477" s="14">
        <f t="shared" si="137"/>
        <v>0.23236666666666669</v>
      </c>
      <c r="AO477" t="str">
        <f>IF(AN477&gt;=Assumptions!$B$3,"OK","Review")</f>
        <v>Review</v>
      </c>
    </row>
    <row r="478" spans="1:41">
      <c r="A478" s="9" t="s">
        <v>47</v>
      </c>
      <c r="B478" s="9" t="s">
        <v>39</v>
      </c>
      <c r="C478" s="9" t="s">
        <v>259</v>
      </c>
      <c r="D478" s="9" t="s">
        <v>309</v>
      </c>
      <c r="E478" s="9" t="s">
        <v>73</v>
      </c>
      <c r="F478" s="9" t="s">
        <v>90</v>
      </c>
      <c r="G478" s="9" t="s">
        <v>28</v>
      </c>
      <c r="H478" s="9" t="s">
        <v>75</v>
      </c>
      <c r="I478" s="9">
        <v>4000006331</v>
      </c>
      <c r="J478" s="10">
        <v>391.49</v>
      </c>
      <c r="K478" s="10"/>
      <c r="L478" s="10">
        <v>391.49</v>
      </c>
      <c r="M478" s="11">
        <v>0.18</v>
      </c>
      <c r="N478" s="10">
        <v>70.47</v>
      </c>
      <c r="O478" s="10">
        <v>461.96</v>
      </c>
      <c r="P478" s="11">
        <v>1</v>
      </c>
      <c r="Q478" s="10">
        <v>461.96</v>
      </c>
      <c r="R478" s="10">
        <f t="shared" si="126"/>
        <v>489.99999999999994</v>
      </c>
      <c r="S478" s="10">
        <v>700</v>
      </c>
      <c r="T478" s="9" t="s">
        <v>76</v>
      </c>
      <c r="U478" s="10">
        <v>700</v>
      </c>
      <c r="V478" s="10">
        <f t="shared" si="127"/>
        <v>489.99999999999994</v>
      </c>
      <c r="W478" s="166">
        <v>90172090</v>
      </c>
      <c r="X478" s="12" t="s">
        <v>29</v>
      </c>
      <c r="Y478" s="12">
        <f t="shared" si="128"/>
        <v>700</v>
      </c>
      <c r="Z478" s="13">
        <f t="shared" si="129"/>
        <v>700</v>
      </c>
      <c r="AA478" s="13">
        <f t="shared" si="130"/>
        <v>593.22033898305085</v>
      </c>
      <c r="AB478" s="13">
        <f t="shared" si="131"/>
        <v>391.49</v>
      </c>
      <c r="AC478" s="13">
        <f t="shared" si="132"/>
        <v>201.73033898305084</v>
      </c>
      <c r="AD478" s="14">
        <f t="shared" si="133"/>
        <v>0.3400597142857143</v>
      </c>
      <c r="AE478" s="14">
        <f t="shared" si="134"/>
        <v>0.51528861269266346</v>
      </c>
      <c r="AF478" s="13" t="str">
        <f>IF(AD478&gt;=Assumptions!$B$3,"OK","Review")</f>
        <v>OK</v>
      </c>
      <c r="AG478" s="13">
        <f>IFERROR(IF(Assumptions!$B$13="Cost Price",AB478,AA478)*SUMIF(Assumptions!$A$6:$A$10,X478,Assumptions!$B$6:$B$10),0)</f>
        <v>47.457627118644069</v>
      </c>
      <c r="AH478" s="13">
        <f>IFERROR(IF(Assumptions!$B$13="Cost Price",AB478,AA478)*SUMIF(Assumptions!$A$6:$A$10,X478,Assumptions!$C$6:$C$10),0)</f>
        <v>29.661016949152543</v>
      </c>
      <c r="AI478" s="13">
        <f>IFERROR(IF(Assumptions!$B$13="Cost Price",AB478,AA478)*SUMIF(Assumptions!$A$6:$A$10,X478,Assumptions!$D$6:$D$10),0)</f>
        <v>59.322033898305087</v>
      </c>
      <c r="AJ478" s="13">
        <v>59.322033898305087</v>
      </c>
      <c r="AK478" s="13">
        <f t="shared" si="135"/>
        <v>195.76271186440678</v>
      </c>
      <c r="AL478" s="14">
        <v>0.33</v>
      </c>
      <c r="AM478" s="13">
        <f t="shared" si="136"/>
        <v>5.9676271186440601</v>
      </c>
      <c r="AN478" s="14">
        <f t="shared" si="137"/>
        <v>1.0059714285714273E-2</v>
      </c>
      <c r="AO478" t="str">
        <f>IF(AN478&gt;=Assumptions!$B$3,"OK","Review")</f>
        <v>Review</v>
      </c>
    </row>
    <row r="479" spans="1:41">
      <c r="A479" s="9" t="s">
        <v>47</v>
      </c>
      <c r="B479" s="9" t="s">
        <v>39</v>
      </c>
      <c r="C479" s="9" t="s">
        <v>261</v>
      </c>
      <c r="D479" s="9" t="s">
        <v>310</v>
      </c>
      <c r="E479" s="9" t="s">
        <v>73</v>
      </c>
      <c r="F479" s="9" t="s">
        <v>74</v>
      </c>
      <c r="G479" s="9" t="s">
        <v>28</v>
      </c>
      <c r="H479" s="9" t="s">
        <v>75</v>
      </c>
      <c r="I479" s="9">
        <v>4000010094</v>
      </c>
      <c r="J479" s="10">
        <v>44.25</v>
      </c>
      <c r="K479" s="10"/>
      <c r="L479" s="10">
        <v>44.25</v>
      </c>
      <c r="M479" s="11">
        <v>0</v>
      </c>
      <c r="N479" s="10">
        <v>0</v>
      </c>
      <c r="O479" s="10">
        <v>44.25</v>
      </c>
      <c r="P479" s="11">
        <v>0.5</v>
      </c>
      <c r="Q479" s="10">
        <v>88.5</v>
      </c>
      <c r="R479" s="10">
        <f t="shared" si="126"/>
        <v>350</v>
      </c>
      <c r="S479" s="10">
        <v>250</v>
      </c>
      <c r="T479" s="9" t="s">
        <v>76</v>
      </c>
      <c r="U479" s="10">
        <v>500</v>
      </c>
      <c r="V479" s="10">
        <f t="shared" si="127"/>
        <v>350</v>
      </c>
      <c r="W479" s="166">
        <v>490300</v>
      </c>
      <c r="X479" s="12" t="s">
        <v>29</v>
      </c>
      <c r="Y479" s="12">
        <f t="shared" si="128"/>
        <v>250</v>
      </c>
      <c r="Z479" s="13">
        <f t="shared" si="129"/>
        <v>250</v>
      </c>
      <c r="AA479" s="13">
        <f t="shared" si="130"/>
        <v>250</v>
      </c>
      <c r="AB479" s="13">
        <f t="shared" si="131"/>
        <v>44.25</v>
      </c>
      <c r="AC479" s="13">
        <f t="shared" si="132"/>
        <v>205.75</v>
      </c>
      <c r="AD479" s="14">
        <f t="shared" si="133"/>
        <v>0.82299999999999995</v>
      </c>
      <c r="AE479" s="14">
        <f t="shared" si="134"/>
        <v>4.6497175141242941</v>
      </c>
      <c r="AF479" s="13" t="str">
        <f>IF(AD479&gt;=Assumptions!$B$3,"OK","Review")</f>
        <v>OK</v>
      </c>
      <c r="AG479" s="13">
        <f>IFERROR(IF(Assumptions!$B$13="Cost Price",AB479,AA479)*SUMIF(Assumptions!$A$6:$A$10,X479,Assumptions!$B$6:$B$10),0)</f>
        <v>20</v>
      </c>
      <c r="AH479" s="13">
        <f>IFERROR(IF(Assumptions!$B$13="Cost Price",AB479,AA479)*SUMIF(Assumptions!$A$6:$A$10,X479,Assumptions!$C$6:$C$10),0)</f>
        <v>12.5</v>
      </c>
      <c r="AI479" s="13">
        <f>IFERROR(IF(Assumptions!$B$13="Cost Price",AB479,AA479)*SUMIF(Assumptions!$A$6:$A$10,X479,Assumptions!$D$6:$D$10),0)</f>
        <v>25</v>
      </c>
      <c r="AJ479" s="13">
        <v>25</v>
      </c>
      <c r="AK479" s="13">
        <f t="shared" si="135"/>
        <v>82.5</v>
      </c>
      <c r="AL479" s="14">
        <v>0.33</v>
      </c>
      <c r="AM479" s="13">
        <f t="shared" si="136"/>
        <v>123.25</v>
      </c>
      <c r="AN479" s="14">
        <f t="shared" si="137"/>
        <v>0.49299999999999999</v>
      </c>
      <c r="AO479" t="str">
        <f>IF(AN479&gt;=Assumptions!$B$3,"OK","Review")</f>
        <v>OK</v>
      </c>
    </row>
    <row r="480" spans="1:41">
      <c r="A480" s="9" t="s">
        <v>47</v>
      </c>
      <c r="B480" s="9" t="s">
        <v>39</v>
      </c>
      <c r="C480" s="9" t="s">
        <v>261</v>
      </c>
      <c r="D480" s="9" t="s">
        <v>311</v>
      </c>
      <c r="E480" s="9" t="s">
        <v>73</v>
      </c>
      <c r="F480" s="9" t="s">
        <v>74</v>
      </c>
      <c r="G480" s="9" t="s">
        <v>28</v>
      </c>
      <c r="H480" s="9" t="s">
        <v>84</v>
      </c>
      <c r="I480" s="9">
        <v>4000010178</v>
      </c>
      <c r="J480" s="10">
        <v>44.25</v>
      </c>
      <c r="K480" s="10"/>
      <c r="L480" s="10">
        <v>44.25</v>
      </c>
      <c r="M480" s="11">
        <v>0</v>
      </c>
      <c r="N480" s="10">
        <v>0</v>
      </c>
      <c r="O480" s="10">
        <v>44.25</v>
      </c>
      <c r="P480" s="11">
        <v>0.5</v>
      </c>
      <c r="Q480" s="10">
        <v>88.5</v>
      </c>
      <c r="R480" s="10">
        <f t="shared" si="126"/>
        <v>350</v>
      </c>
      <c r="S480" s="10">
        <v>250</v>
      </c>
      <c r="T480" s="9" t="s">
        <v>76</v>
      </c>
      <c r="U480" s="10">
        <v>500</v>
      </c>
      <c r="V480" s="10">
        <f t="shared" si="127"/>
        <v>350</v>
      </c>
      <c r="W480" s="166">
        <v>490300</v>
      </c>
      <c r="X480" s="12" t="s">
        <v>29</v>
      </c>
      <c r="Y480" s="12">
        <f t="shared" si="128"/>
        <v>250</v>
      </c>
      <c r="Z480" s="13">
        <f t="shared" si="129"/>
        <v>250</v>
      </c>
      <c r="AA480" s="13">
        <f t="shared" si="130"/>
        <v>250</v>
      </c>
      <c r="AB480" s="13">
        <f t="shared" si="131"/>
        <v>44.25</v>
      </c>
      <c r="AC480" s="13">
        <f t="shared" si="132"/>
        <v>205.75</v>
      </c>
      <c r="AD480" s="14">
        <f t="shared" si="133"/>
        <v>0.82299999999999995</v>
      </c>
      <c r="AE480" s="14">
        <f t="shared" si="134"/>
        <v>4.6497175141242941</v>
      </c>
      <c r="AF480" s="13" t="str">
        <f>IF(AD480&gt;=Assumptions!$B$3,"OK","Review")</f>
        <v>OK</v>
      </c>
      <c r="AG480" s="13">
        <f>IFERROR(IF(Assumptions!$B$13="Cost Price",AB480,AA480)*SUMIF(Assumptions!$A$6:$A$10,X480,Assumptions!$B$6:$B$10),0)</f>
        <v>20</v>
      </c>
      <c r="AH480" s="13">
        <f>IFERROR(IF(Assumptions!$B$13="Cost Price",AB480,AA480)*SUMIF(Assumptions!$A$6:$A$10,X480,Assumptions!$C$6:$C$10),0)</f>
        <v>12.5</v>
      </c>
      <c r="AI480" s="13">
        <f>IFERROR(IF(Assumptions!$B$13="Cost Price",AB480,AA480)*SUMIF(Assumptions!$A$6:$A$10,X480,Assumptions!$D$6:$D$10),0)</f>
        <v>25</v>
      </c>
      <c r="AJ480" s="13">
        <v>25</v>
      </c>
      <c r="AK480" s="13">
        <f t="shared" si="135"/>
        <v>82.5</v>
      </c>
      <c r="AL480" s="14">
        <v>0.33</v>
      </c>
      <c r="AM480" s="13">
        <f t="shared" si="136"/>
        <v>123.25</v>
      </c>
      <c r="AN480" s="14">
        <f t="shared" si="137"/>
        <v>0.49299999999999999</v>
      </c>
      <c r="AO480" t="str">
        <f>IF(AN480&gt;=Assumptions!$B$3,"OK","Review")</f>
        <v>OK</v>
      </c>
    </row>
    <row r="481" spans="1:41">
      <c r="A481" s="9" t="s">
        <v>47</v>
      </c>
      <c r="B481" s="9" t="s">
        <v>39</v>
      </c>
      <c r="C481" s="9" t="s">
        <v>264</v>
      </c>
      <c r="D481" s="9" t="s">
        <v>312</v>
      </c>
      <c r="E481" s="9" t="s">
        <v>73</v>
      </c>
      <c r="F481" s="9" t="s">
        <v>74</v>
      </c>
      <c r="G481" s="9" t="s">
        <v>28</v>
      </c>
      <c r="H481" s="9" t="s">
        <v>75</v>
      </c>
      <c r="I481" s="9">
        <v>4000010160</v>
      </c>
      <c r="J481" s="10">
        <v>57.35</v>
      </c>
      <c r="K481" s="10"/>
      <c r="L481" s="10">
        <v>57.35</v>
      </c>
      <c r="M481" s="11">
        <v>0</v>
      </c>
      <c r="N481" s="10">
        <v>0</v>
      </c>
      <c r="O481" s="10">
        <v>57.35</v>
      </c>
      <c r="P481" s="11">
        <v>1</v>
      </c>
      <c r="Q481" s="10">
        <v>57.35</v>
      </c>
      <c r="R481" s="10">
        <f t="shared" si="126"/>
        <v>262.5</v>
      </c>
      <c r="S481" s="10">
        <v>375</v>
      </c>
      <c r="T481" s="9" t="s">
        <v>76</v>
      </c>
      <c r="U481" s="10">
        <v>375</v>
      </c>
      <c r="V481" s="10">
        <f t="shared" si="127"/>
        <v>262.5</v>
      </c>
      <c r="W481" s="166">
        <v>490300</v>
      </c>
      <c r="X481" s="12" t="s">
        <v>29</v>
      </c>
      <c r="Y481" s="12">
        <f t="shared" si="128"/>
        <v>375</v>
      </c>
      <c r="Z481" s="13">
        <f t="shared" si="129"/>
        <v>375</v>
      </c>
      <c r="AA481" s="13">
        <f t="shared" si="130"/>
        <v>375</v>
      </c>
      <c r="AB481" s="13">
        <f t="shared" si="131"/>
        <v>57.35</v>
      </c>
      <c r="AC481" s="13">
        <f t="shared" si="132"/>
        <v>317.64999999999998</v>
      </c>
      <c r="AD481" s="14">
        <f t="shared" si="133"/>
        <v>0.84706666666666663</v>
      </c>
      <c r="AE481" s="14">
        <f t="shared" si="134"/>
        <v>5.5387968613775058</v>
      </c>
      <c r="AF481" s="13" t="str">
        <f>IF(AD481&gt;=Assumptions!$B$3,"OK","Review")</f>
        <v>OK</v>
      </c>
      <c r="AG481" s="13">
        <f>IFERROR(IF(Assumptions!$B$13="Cost Price",AB481,AA481)*SUMIF(Assumptions!$A$6:$A$10,X481,Assumptions!$B$6:$B$10),0)</f>
        <v>30</v>
      </c>
      <c r="AH481" s="13">
        <f>IFERROR(IF(Assumptions!$B$13="Cost Price",AB481,AA481)*SUMIF(Assumptions!$A$6:$A$10,X481,Assumptions!$C$6:$C$10),0)</f>
        <v>18.75</v>
      </c>
      <c r="AI481" s="13">
        <f>IFERROR(IF(Assumptions!$B$13="Cost Price",AB481,AA481)*SUMIF(Assumptions!$A$6:$A$10,X481,Assumptions!$D$6:$D$10),0)</f>
        <v>37.5</v>
      </c>
      <c r="AJ481" s="13">
        <v>37.5</v>
      </c>
      <c r="AK481" s="13">
        <f t="shared" si="135"/>
        <v>123.75</v>
      </c>
      <c r="AL481" s="14">
        <v>0.33</v>
      </c>
      <c r="AM481" s="13">
        <f t="shared" si="136"/>
        <v>193.89999999999998</v>
      </c>
      <c r="AN481" s="14">
        <f t="shared" si="137"/>
        <v>0.51706666666666656</v>
      </c>
      <c r="AO481" t="str">
        <f>IF(AN481&gt;=Assumptions!$B$3,"OK","Review")</f>
        <v>OK</v>
      </c>
    </row>
    <row r="482" spans="1:41">
      <c r="A482" s="9" t="s">
        <v>47</v>
      </c>
      <c r="B482" s="9" t="s">
        <v>39</v>
      </c>
      <c r="C482" s="9" t="s">
        <v>282</v>
      </c>
      <c r="D482" s="9" t="s">
        <v>313</v>
      </c>
      <c r="E482" s="9" t="s">
        <v>73</v>
      </c>
      <c r="F482" s="9" t="s">
        <v>74</v>
      </c>
      <c r="G482" s="9" t="s">
        <v>28</v>
      </c>
      <c r="H482" s="9" t="s">
        <v>75</v>
      </c>
      <c r="I482" s="9">
        <v>4000010095</v>
      </c>
      <c r="J482" s="10">
        <v>89</v>
      </c>
      <c r="K482" s="10"/>
      <c r="L482" s="10">
        <v>129</v>
      </c>
      <c r="M482" s="11">
        <v>0</v>
      </c>
      <c r="N482" s="10">
        <v>0</v>
      </c>
      <c r="O482" s="10">
        <v>129</v>
      </c>
      <c r="P482" s="11">
        <v>0.2606</v>
      </c>
      <c r="Q482" s="10">
        <v>495</v>
      </c>
      <c r="R482" s="10">
        <f t="shared" si="126"/>
        <v>406</v>
      </c>
      <c r="S482" s="10">
        <v>151.15</v>
      </c>
      <c r="T482" s="9" t="s">
        <v>76</v>
      </c>
      <c r="U482" s="10">
        <v>580</v>
      </c>
      <c r="V482" s="10">
        <f t="shared" si="127"/>
        <v>406</v>
      </c>
      <c r="W482" s="166">
        <v>490110</v>
      </c>
      <c r="X482" s="12" t="s">
        <v>29</v>
      </c>
      <c r="Y482" s="12">
        <f t="shared" si="128"/>
        <v>151.15</v>
      </c>
      <c r="Z482" s="13">
        <f t="shared" si="129"/>
        <v>151.15</v>
      </c>
      <c r="AA482" s="13">
        <f t="shared" si="130"/>
        <v>151.15</v>
      </c>
      <c r="AB482" s="13">
        <f t="shared" si="131"/>
        <v>89</v>
      </c>
      <c r="AC482" s="13">
        <f t="shared" si="132"/>
        <v>62.150000000000006</v>
      </c>
      <c r="AD482" s="14">
        <f t="shared" si="133"/>
        <v>0.41118094608005296</v>
      </c>
      <c r="AE482" s="14">
        <f t="shared" si="134"/>
        <v>0.69831460674157309</v>
      </c>
      <c r="AF482" s="13" t="str">
        <f>IF(AD482&gt;=Assumptions!$B$3,"OK","Review")</f>
        <v>OK</v>
      </c>
      <c r="AG482" s="13">
        <f>IFERROR(IF(Assumptions!$B$13="Cost Price",AB482,AA482)*SUMIF(Assumptions!$A$6:$A$10,X482,Assumptions!$B$6:$B$10),0)</f>
        <v>12.092000000000001</v>
      </c>
      <c r="AH482" s="13">
        <f>IFERROR(IF(Assumptions!$B$13="Cost Price",AB482,AA482)*SUMIF(Assumptions!$A$6:$A$10,X482,Assumptions!$C$6:$C$10),0)</f>
        <v>7.557500000000001</v>
      </c>
      <c r="AI482" s="13">
        <f>IFERROR(IF(Assumptions!$B$13="Cost Price",AB482,AA482)*SUMIF(Assumptions!$A$6:$A$10,X482,Assumptions!$D$6:$D$10),0)</f>
        <v>15.115000000000002</v>
      </c>
      <c r="AJ482" s="13">
        <v>15.115000000000002</v>
      </c>
      <c r="AK482" s="13">
        <f t="shared" si="135"/>
        <v>49.879500000000007</v>
      </c>
      <c r="AL482" s="14">
        <v>0.33</v>
      </c>
      <c r="AM482" s="13">
        <f t="shared" si="136"/>
        <v>12.270499999999998</v>
      </c>
      <c r="AN482" s="14">
        <f t="shared" si="137"/>
        <v>8.1180946080052913E-2</v>
      </c>
      <c r="AO482" t="str">
        <f>IF(AN482&gt;=Assumptions!$B$3,"OK","Review")</f>
        <v>Review</v>
      </c>
    </row>
    <row r="483" spans="1:41">
      <c r="A483" s="9" t="s">
        <v>47</v>
      </c>
      <c r="B483" s="9" t="s">
        <v>47</v>
      </c>
      <c r="C483" s="9" t="s">
        <v>47</v>
      </c>
      <c r="D483" s="9" t="s">
        <v>47</v>
      </c>
      <c r="E483" s="9" t="s">
        <v>47</v>
      </c>
      <c r="F483" s="9" t="s">
        <v>47</v>
      </c>
      <c r="G483" s="9" t="s">
        <v>47</v>
      </c>
      <c r="H483" s="9" t="s">
        <v>47</v>
      </c>
      <c r="I483" s="9" t="s">
        <v>47</v>
      </c>
      <c r="J483" s="10" t="s">
        <v>47</v>
      </c>
      <c r="K483" s="10" t="s">
        <v>47</v>
      </c>
      <c r="L483" s="10" t="s">
        <v>47</v>
      </c>
      <c r="M483" s="11" t="s">
        <v>47</v>
      </c>
      <c r="N483" s="10" t="s">
        <v>47</v>
      </c>
      <c r="O483" s="10" t="s">
        <v>47</v>
      </c>
      <c r="P483" s="11" t="s">
        <v>47</v>
      </c>
      <c r="Q483" s="10" t="s">
        <v>47</v>
      </c>
      <c r="R483" s="10">
        <f t="shared" si="126"/>
        <v>0</v>
      </c>
      <c r="S483" s="10" t="s">
        <v>47</v>
      </c>
      <c r="T483" s="9" t="s">
        <v>47</v>
      </c>
      <c r="U483" s="10" t="s">
        <v>47</v>
      </c>
      <c r="V483" s="10">
        <f t="shared" si="127"/>
        <v>0</v>
      </c>
      <c r="W483" s="166" t="s">
        <v>47</v>
      </c>
      <c r="X483" s="12" t="s">
        <v>29</v>
      </c>
      <c r="Y483" s="12" t="str">
        <f t="shared" si="128"/>
        <v>Optional AY 26-27</v>
      </c>
      <c r="Z483" s="13">
        <f t="shared" si="129"/>
        <v>0</v>
      </c>
      <c r="AA483" s="13">
        <f t="shared" si="130"/>
        <v>0</v>
      </c>
      <c r="AB483" s="13">
        <f t="shared" si="131"/>
        <v>0</v>
      </c>
      <c r="AC483" s="13">
        <f t="shared" si="132"/>
        <v>0</v>
      </c>
      <c r="AD483" s="14">
        <f t="shared" si="133"/>
        <v>0</v>
      </c>
      <c r="AE483" s="14">
        <f t="shared" si="134"/>
        <v>0</v>
      </c>
      <c r="AF483" s="13" t="str">
        <f>IF(AD483&gt;=Assumptions!$B$3,"OK","Review")</f>
        <v>Review</v>
      </c>
      <c r="AG483" s="13">
        <f>IFERROR(IF(Assumptions!$B$13="Cost Price",AB483,AA483)*SUMIF(Assumptions!$A$6:$A$10,X483,Assumptions!$B$6:$B$10),0)</f>
        <v>0</v>
      </c>
      <c r="AH483" s="13">
        <f>IFERROR(IF(Assumptions!$B$13="Cost Price",AB483,AA483)*SUMIF(Assumptions!$A$6:$A$10,X483,Assumptions!$C$6:$C$10),0)</f>
        <v>0</v>
      </c>
      <c r="AI483" s="13">
        <f>IFERROR(IF(Assumptions!$B$13="Cost Price",AB483,AA483)*SUMIF(Assumptions!$A$6:$A$10,X483,Assumptions!$D$6:$D$10),0)</f>
        <v>0</v>
      </c>
      <c r="AJ483" s="13">
        <v>0</v>
      </c>
      <c r="AK483" s="13">
        <f t="shared" si="135"/>
        <v>0</v>
      </c>
      <c r="AL483" s="14">
        <v>0.33</v>
      </c>
      <c r="AM483" s="13">
        <f t="shared" si="136"/>
        <v>0</v>
      </c>
      <c r="AN483" s="14">
        <f t="shared" si="137"/>
        <v>0</v>
      </c>
      <c r="AO483" t="str">
        <f>IF(AN483&gt;=Assumptions!$B$3,"OK","Review")</f>
        <v>Review</v>
      </c>
    </row>
    <row r="484" spans="1:41">
      <c r="A484" s="9" t="s">
        <v>47</v>
      </c>
      <c r="B484" s="9" t="s">
        <v>39</v>
      </c>
      <c r="C484" s="9" t="s">
        <v>282</v>
      </c>
      <c r="D484" s="9" t="s">
        <v>314</v>
      </c>
      <c r="E484" s="9" t="s">
        <v>73</v>
      </c>
      <c r="F484" s="9" t="s">
        <v>74</v>
      </c>
      <c r="G484" s="9" t="s">
        <v>28</v>
      </c>
      <c r="H484" s="9" t="s">
        <v>84</v>
      </c>
      <c r="I484" s="9">
        <v>4000010179</v>
      </c>
      <c r="J484" s="10">
        <v>87</v>
      </c>
      <c r="K484" s="10"/>
      <c r="L484" s="10">
        <v>132</v>
      </c>
      <c r="M484" s="11">
        <v>0</v>
      </c>
      <c r="N484" s="10">
        <v>0</v>
      </c>
      <c r="O484" s="10">
        <v>132</v>
      </c>
      <c r="P484" s="11">
        <v>0.26669999999999999</v>
      </c>
      <c r="Q484" s="10">
        <v>495</v>
      </c>
      <c r="R484" s="10">
        <f t="shared" si="126"/>
        <v>406</v>
      </c>
      <c r="S484" s="10">
        <v>154.66999999999999</v>
      </c>
      <c r="T484" s="9" t="s">
        <v>76</v>
      </c>
      <c r="U484" s="10">
        <v>580</v>
      </c>
      <c r="V484" s="10">
        <f t="shared" si="127"/>
        <v>406</v>
      </c>
      <c r="W484" s="166">
        <v>490110</v>
      </c>
      <c r="X484" s="12" t="s">
        <v>29</v>
      </c>
      <c r="Y484" s="12">
        <f t="shared" si="128"/>
        <v>154.66999999999999</v>
      </c>
      <c r="Z484" s="13">
        <f t="shared" si="129"/>
        <v>154.66999999999999</v>
      </c>
      <c r="AA484" s="13">
        <f t="shared" si="130"/>
        <v>154.66999999999999</v>
      </c>
      <c r="AB484" s="13">
        <f t="shared" si="131"/>
        <v>87</v>
      </c>
      <c r="AC484" s="13">
        <f t="shared" si="132"/>
        <v>67.669999999999987</v>
      </c>
      <c r="AD484" s="14">
        <f t="shared" si="133"/>
        <v>0.43751212258356498</v>
      </c>
      <c r="AE484" s="14">
        <f t="shared" si="134"/>
        <v>0.77781609195402279</v>
      </c>
      <c r="AF484" s="13" t="str">
        <f>IF(AD484&gt;=Assumptions!$B$3,"OK","Review")</f>
        <v>OK</v>
      </c>
      <c r="AG484" s="13">
        <f>IFERROR(IF(Assumptions!$B$13="Cost Price",AB484,AA484)*SUMIF(Assumptions!$A$6:$A$10,X484,Assumptions!$B$6:$B$10),0)</f>
        <v>12.3736</v>
      </c>
      <c r="AH484" s="13">
        <f>IFERROR(IF(Assumptions!$B$13="Cost Price",AB484,AA484)*SUMIF(Assumptions!$A$6:$A$10,X484,Assumptions!$C$6:$C$10),0)</f>
        <v>7.7334999999999994</v>
      </c>
      <c r="AI484" s="13">
        <f>IFERROR(IF(Assumptions!$B$13="Cost Price",AB484,AA484)*SUMIF(Assumptions!$A$6:$A$10,X484,Assumptions!$D$6:$D$10),0)</f>
        <v>15.466999999999999</v>
      </c>
      <c r="AJ484" s="13">
        <v>15.466999999999999</v>
      </c>
      <c r="AK484" s="13">
        <f t="shared" si="135"/>
        <v>51.0411</v>
      </c>
      <c r="AL484" s="14">
        <v>0.33</v>
      </c>
      <c r="AM484" s="13">
        <f t="shared" si="136"/>
        <v>16.628899999999987</v>
      </c>
      <c r="AN484" s="14">
        <f t="shared" si="137"/>
        <v>0.10751212258356493</v>
      </c>
      <c r="AO484" t="str">
        <f>IF(AN484&gt;=Assumptions!$B$3,"OK","Review")</f>
        <v>Review</v>
      </c>
    </row>
    <row r="485" spans="1:41">
      <c r="A485" s="9" t="s">
        <v>47</v>
      </c>
      <c r="B485" s="9" t="s">
        <v>39</v>
      </c>
      <c r="C485" s="9" t="s">
        <v>271</v>
      </c>
      <c r="D485" s="9" t="s">
        <v>315</v>
      </c>
      <c r="E485" s="9" t="s">
        <v>73</v>
      </c>
      <c r="F485" s="9" t="s">
        <v>74</v>
      </c>
      <c r="G485" s="9" t="s">
        <v>28</v>
      </c>
      <c r="H485" s="9" t="s">
        <v>75</v>
      </c>
      <c r="I485" s="9">
        <v>4000010161</v>
      </c>
      <c r="J485" s="10">
        <v>50.91</v>
      </c>
      <c r="K485" s="10"/>
      <c r="L485" s="10">
        <v>50.91</v>
      </c>
      <c r="M485" s="11">
        <v>0</v>
      </c>
      <c r="N485" s="10">
        <v>0</v>
      </c>
      <c r="O485" s="10">
        <v>50.91</v>
      </c>
      <c r="P485" s="11">
        <v>1</v>
      </c>
      <c r="Q485" s="10">
        <v>50.91</v>
      </c>
      <c r="R485" s="10">
        <f t="shared" si="126"/>
        <v>140</v>
      </c>
      <c r="S485" s="10">
        <v>200</v>
      </c>
      <c r="T485" s="9" t="s">
        <v>76</v>
      </c>
      <c r="U485" s="10">
        <v>200</v>
      </c>
      <c r="V485" s="10">
        <f t="shared" si="127"/>
        <v>140</v>
      </c>
      <c r="W485" s="166">
        <v>490110</v>
      </c>
      <c r="X485" s="12" t="s">
        <v>29</v>
      </c>
      <c r="Y485" s="12">
        <f t="shared" si="128"/>
        <v>200</v>
      </c>
      <c r="Z485" s="13">
        <f t="shared" si="129"/>
        <v>200</v>
      </c>
      <c r="AA485" s="13">
        <f t="shared" si="130"/>
        <v>200</v>
      </c>
      <c r="AB485" s="13">
        <f t="shared" si="131"/>
        <v>50.91</v>
      </c>
      <c r="AC485" s="13">
        <f t="shared" si="132"/>
        <v>149.09</v>
      </c>
      <c r="AD485" s="14">
        <f t="shared" si="133"/>
        <v>0.74545000000000006</v>
      </c>
      <c r="AE485" s="14">
        <f t="shared" si="134"/>
        <v>2.9285012767629151</v>
      </c>
      <c r="AF485" s="13" t="str">
        <f>IF(AD485&gt;=Assumptions!$B$3,"OK","Review")</f>
        <v>OK</v>
      </c>
      <c r="AG485" s="13">
        <f>IFERROR(IF(Assumptions!$B$13="Cost Price",AB485,AA485)*SUMIF(Assumptions!$A$6:$A$10,X485,Assumptions!$B$6:$B$10),0)</f>
        <v>16</v>
      </c>
      <c r="AH485" s="13">
        <f>IFERROR(IF(Assumptions!$B$13="Cost Price",AB485,AA485)*SUMIF(Assumptions!$A$6:$A$10,X485,Assumptions!$C$6:$C$10),0)</f>
        <v>10</v>
      </c>
      <c r="AI485" s="13">
        <f>IFERROR(IF(Assumptions!$B$13="Cost Price",AB485,AA485)*SUMIF(Assumptions!$A$6:$A$10,X485,Assumptions!$D$6:$D$10),0)</f>
        <v>20</v>
      </c>
      <c r="AJ485" s="13">
        <v>20</v>
      </c>
      <c r="AK485" s="13">
        <f t="shared" si="135"/>
        <v>66</v>
      </c>
      <c r="AL485" s="14">
        <v>0.33</v>
      </c>
      <c r="AM485" s="13">
        <f t="shared" si="136"/>
        <v>83.09</v>
      </c>
      <c r="AN485" s="14">
        <f t="shared" si="137"/>
        <v>0.41545000000000004</v>
      </c>
      <c r="AO485" t="str">
        <f>IF(AN485&gt;=Assumptions!$B$3,"OK","Review")</f>
        <v>OK</v>
      </c>
    </row>
    <row r="486" spans="1:41">
      <c r="A486" s="9" t="s">
        <v>47</v>
      </c>
      <c r="B486" s="9" t="s">
        <v>39</v>
      </c>
      <c r="C486" s="9" t="s">
        <v>273</v>
      </c>
      <c r="D486" s="9" t="s">
        <v>316</v>
      </c>
      <c r="E486" s="9" t="s">
        <v>73</v>
      </c>
      <c r="F486" s="9" t="s">
        <v>74</v>
      </c>
      <c r="G486" s="9" t="s">
        <v>28</v>
      </c>
      <c r="H486" s="9" t="s">
        <v>75</v>
      </c>
      <c r="I486" s="9">
        <v>4000001487</v>
      </c>
      <c r="J486" s="10">
        <v>132</v>
      </c>
      <c r="K486" s="10"/>
      <c r="L486" s="10">
        <v>132</v>
      </c>
      <c r="M486" s="11">
        <v>0</v>
      </c>
      <c r="N486" s="10">
        <v>0</v>
      </c>
      <c r="O486" s="10">
        <v>132</v>
      </c>
      <c r="P486" s="11">
        <v>0.50849999999999995</v>
      </c>
      <c r="Q486" s="10">
        <v>259.60000000000002</v>
      </c>
      <c r="R486" s="10">
        <f t="shared" si="126"/>
        <v>590.79999999999995</v>
      </c>
      <c r="S486" s="10">
        <v>429.15</v>
      </c>
      <c r="T486" s="9" t="s">
        <v>76</v>
      </c>
      <c r="U486" s="10">
        <v>844</v>
      </c>
      <c r="V486" s="10">
        <f t="shared" si="127"/>
        <v>590.79999999999995</v>
      </c>
      <c r="W486" s="166">
        <v>490110</v>
      </c>
      <c r="X486" s="12" t="s">
        <v>29</v>
      </c>
      <c r="Y486" s="12">
        <f t="shared" si="128"/>
        <v>429.15</v>
      </c>
      <c r="Z486" s="13">
        <f t="shared" si="129"/>
        <v>429.15</v>
      </c>
      <c r="AA486" s="13">
        <f t="shared" si="130"/>
        <v>429.15</v>
      </c>
      <c r="AB486" s="13">
        <f t="shared" si="131"/>
        <v>132</v>
      </c>
      <c r="AC486" s="13">
        <f t="shared" si="132"/>
        <v>297.14999999999998</v>
      </c>
      <c r="AD486" s="14">
        <f t="shared" si="133"/>
        <v>0.69241523942677385</v>
      </c>
      <c r="AE486" s="14">
        <f t="shared" si="134"/>
        <v>2.2511363636363635</v>
      </c>
      <c r="AF486" s="13" t="str">
        <f>IF(AD486&gt;=Assumptions!$B$3,"OK","Review")</f>
        <v>OK</v>
      </c>
      <c r="AG486" s="13">
        <f>IFERROR(IF(Assumptions!$B$13="Cost Price",AB486,AA486)*SUMIF(Assumptions!$A$6:$A$10,X486,Assumptions!$B$6:$B$10),0)</f>
        <v>34.332000000000001</v>
      </c>
      <c r="AH486" s="13">
        <f>IFERROR(IF(Assumptions!$B$13="Cost Price",AB486,AA486)*SUMIF(Assumptions!$A$6:$A$10,X486,Assumptions!$C$6:$C$10),0)</f>
        <v>21.4575</v>
      </c>
      <c r="AI486" s="13">
        <f>IFERROR(IF(Assumptions!$B$13="Cost Price",AB486,AA486)*SUMIF(Assumptions!$A$6:$A$10,X486,Assumptions!$D$6:$D$10),0)</f>
        <v>42.914999999999999</v>
      </c>
      <c r="AJ486" s="13">
        <v>42.914999999999999</v>
      </c>
      <c r="AK486" s="13">
        <f t="shared" si="135"/>
        <v>141.61949999999999</v>
      </c>
      <c r="AL486" s="14">
        <v>0.33</v>
      </c>
      <c r="AM486" s="13">
        <f t="shared" si="136"/>
        <v>155.53049999999999</v>
      </c>
      <c r="AN486" s="14">
        <f t="shared" si="137"/>
        <v>0.36241523942677384</v>
      </c>
      <c r="AO486" t="str">
        <f>IF(AN486&gt;=Assumptions!$B$3,"OK","Review")</f>
        <v>OK</v>
      </c>
    </row>
    <row r="487" spans="1:41">
      <c r="A487" s="9" t="s">
        <v>47</v>
      </c>
      <c r="B487" s="9" t="s">
        <v>39</v>
      </c>
      <c r="C487" s="9" t="s">
        <v>273</v>
      </c>
      <c r="D487" s="9" t="s">
        <v>317</v>
      </c>
      <c r="E487" s="9" t="s">
        <v>73</v>
      </c>
      <c r="F487" s="9" t="s">
        <v>74</v>
      </c>
      <c r="G487" s="9" t="s">
        <v>28</v>
      </c>
      <c r="H487" s="9" t="s">
        <v>84</v>
      </c>
      <c r="I487" s="9">
        <v>4000001478</v>
      </c>
      <c r="J487" s="10">
        <v>127.6</v>
      </c>
      <c r="K487" s="10"/>
      <c r="L487" s="10">
        <v>127.6</v>
      </c>
      <c r="M487" s="11">
        <v>0</v>
      </c>
      <c r="N487" s="10">
        <v>0</v>
      </c>
      <c r="O487" s="10">
        <v>127.6</v>
      </c>
      <c r="P487" s="11">
        <v>0.49149999999999999</v>
      </c>
      <c r="Q487" s="10">
        <v>259.60000000000002</v>
      </c>
      <c r="R487" s="10">
        <f t="shared" si="126"/>
        <v>590.79999999999995</v>
      </c>
      <c r="S487" s="10">
        <v>414.85</v>
      </c>
      <c r="T487" s="9" t="s">
        <v>76</v>
      </c>
      <c r="U487" s="10">
        <v>844</v>
      </c>
      <c r="V487" s="10">
        <f t="shared" si="127"/>
        <v>590.79999999999995</v>
      </c>
      <c r="W487" s="166">
        <v>490110</v>
      </c>
      <c r="X487" s="12" t="s">
        <v>29</v>
      </c>
      <c r="Y487" s="12">
        <f t="shared" si="128"/>
        <v>414.85</v>
      </c>
      <c r="Z487" s="13">
        <f t="shared" si="129"/>
        <v>414.85</v>
      </c>
      <c r="AA487" s="13">
        <f t="shared" si="130"/>
        <v>414.85</v>
      </c>
      <c r="AB487" s="13">
        <f t="shared" si="131"/>
        <v>127.6</v>
      </c>
      <c r="AC487" s="13">
        <f t="shared" si="132"/>
        <v>287.25</v>
      </c>
      <c r="AD487" s="14">
        <f t="shared" si="133"/>
        <v>0.69241894660720738</v>
      </c>
      <c r="AE487" s="14">
        <f t="shared" si="134"/>
        <v>2.2511755485893419</v>
      </c>
      <c r="AF487" s="13" t="str">
        <f>IF(AD487&gt;=Assumptions!$B$3,"OK","Review")</f>
        <v>OK</v>
      </c>
      <c r="AG487" s="13">
        <f>IFERROR(IF(Assumptions!$B$13="Cost Price",AB487,AA487)*SUMIF(Assumptions!$A$6:$A$10,X487,Assumptions!$B$6:$B$10),0)</f>
        <v>33.188000000000002</v>
      </c>
      <c r="AH487" s="13">
        <f>IFERROR(IF(Assumptions!$B$13="Cost Price",AB487,AA487)*SUMIF(Assumptions!$A$6:$A$10,X487,Assumptions!$C$6:$C$10),0)</f>
        <v>20.742500000000003</v>
      </c>
      <c r="AI487" s="13">
        <f>IFERROR(IF(Assumptions!$B$13="Cost Price",AB487,AA487)*SUMIF(Assumptions!$A$6:$A$10,X487,Assumptions!$D$6:$D$10),0)</f>
        <v>41.485000000000007</v>
      </c>
      <c r="AJ487" s="13">
        <v>41.485000000000007</v>
      </c>
      <c r="AK487" s="13">
        <f t="shared" si="135"/>
        <v>136.90050000000002</v>
      </c>
      <c r="AL487" s="14">
        <v>0.33</v>
      </c>
      <c r="AM487" s="13">
        <f t="shared" si="136"/>
        <v>150.34949999999998</v>
      </c>
      <c r="AN487" s="14">
        <f t="shared" si="137"/>
        <v>0.36241894660720736</v>
      </c>
      <c r="AO487" t="str">
        <f>IF(AN487&gt;=Assumptions!$B$3,"OK","Review")</f>
        <v>OK</v>
      </c>
    </row>
    <row r="488" spans="1:41">
      <c r="A488" s="9" t="s">
        <v>47</v>
      </c>
      <c r="B488" s="9" t="s">
        <v>40</v>
      </c>
      <c r="C488" s="9" t="s">
        <v>261</v>
      </c>
      <c r="D488" s="9" t="s">
        <v>318</v>
      </c>
      <c r="E488" s="9" t="s">
        <v>73</v>
      </c>
      <c r="F488" s="9" t="s">
        <v>74</v>
      </c>
      <c r="G488" s="9" t="s">
        <v>28</v>
      </c>
      <c r="H488" s="9" t="s">
        <v>75</v>
      </c>
      <c r="I488" s="9">
        <v>4000010097</v>
      </c>
      <c r="J488" s="10">
        <v>44.25</v>
      </c>
      <c r="K488" s="10"/>
      <c r="L488" s="10">
        <v>44.25</v>
      </c>
      <c r="M488" s="11">
        <v>0</v>
      </c>
      <c r="N488" s="10">
        <v>0</v>
      </c>
      <c r="O488" s="10">
        <v>44.25</v>
      </c>
      <c r="P488" s="11">
        <v>0.5</v>
      </c>
      <c r="Q488" s="10">
        <v>88.5</v>
      </c>
      <c r="R488" s="10">
        <f t="shared" si="126"/>
        <v>350</v>
      </c>
      <c r="S488" s="10">
        <v>250</v>
      </c>
      <c r="T488" s="9" t="s">
        <v>76</v>
      </c>
      <c r="U488" s="10">
        <v>500</v>
      </c>
      <c r="V488" s="10">
        <f t="shared" si="127"/>
        <v>350</v>
      </c>
      <c r="W488" s="166">
        <v>490110</v>
      </c>
      <c r="X488" s="12" t="s">
        <v>29</v>
      </c>
      <c r="Y488" s="12">
        <f t="shared" si="128"/>
        <v>250</v>
      </c>
      <c r="Z488" s="13">
        <f t="shared" si="129"/>
        <v>250</v>
      </c>
      <c r="AA488" s="13">
        <f t="shared" si="130"/>
        <v>250</v>
      </c>
      <c r="AB488" s="13">
        <f t="shared" si="131"/>
        <v>44.25</v>
      </c>
      <c r="AC488" s="13">
        <f t="shared" si="132"/>
        <v>205.75</v>
      </c>
      <c r="AD488" s="14">
        <f t="shared" si="133"/>
        <v>0.82299999999999995</v>
      </c>
      <c r="AE488" s="14">
        <f t="shared" si="134"/>
        <v>4.6497175141242941</v>
      </c>
      <c r="AF488" s="13" t="str">
        <f>IF(AD488&gt;=Assumptions!$B$3,"OK","Review")</f>
        <v>OK</v>
      </c>
      <c r="AG488" s="13">
        <f>IFERROR(IF(Assumptions!$B$13="Cost Price",AB488,AA488)*SUMIF(Assumptions!$A$6:$A$10,X488,Assumptions!$B$6:$B$10),0)</f>
        <v>20</v>
      </c>
      <c r="AH488" s="13">
        <f>IFERROR(IF(Assumptions!$B$13="Cost Price",AB488,AA488)*SUMIF(Assumptions!$A$6:$A$10,X488,Assumptions!$C$6:$C$10),0)</f>
        <v>12.5</v>
      </c>
      <c r="AI488" s="13">
        <f>IFERROR(IF(Assumptions!$B$13="Cost Price",AB488,AA488)*SUMIF(Assumptions!$A$6:$A$10,X488,Assumptions!$D$6:$D$10),0)</f>
        <v>25</v>
      </c>
      <c r="AJ488" s="13">
        <v>25</v>
      </c>
      <c r="AK488" s="13">
        <f t="shared" si="135"/>
        <v>82.5</v>
      </c>
      <c r="AL488" s="14">
        <v>0.33</v>
      </c>
      <c r="AM488" s="13">
        <f t="shared" si="136"/>
        <v>123.25</v>
      </c>
      <c r="AN488" s="14">
        <f t="shared" si="137"/>
        <v>0.49299999999999999</v>
      </c>
      <c r="AO488" t="str">
        <f>IF(AN488&gt;=Assumptions!$B$3,"OK","Review")</f>
        <v>OK</v>
      </c>
    </row>
    <row r="489" spans="1:41">
      <c r="A489" s="9" t="s">
        <v>47</v>
      </c>
      <c r="B489" s="9" t="s">
        <v>40</v>
      </c>
      <c r="C489" s="9" t="s">
        <v>261</v>
      </c>
      <c r="D489" s="9" t="s">
        <v>319</v>
      </c>
      <c r="E489" s="9" t="s">
        <v>73</v>
      </c>
      <c r="F489" s="9" t="s">
        <v>74</v>
      </c>
      <c r="G489" s="9" t="s">
        <v>28</v>
      </c>
      <c r="H489" s="9" t="s">
        <v>84</v>
      </c>
      <c r="I489" s="9">
        <v>4000010098</v>
      </c>
      <c r="J489" s="10">
        <v>44.25</v>
      </c>
      <c r="K489" s="10"/>
      <c r="L489" s="10">
        <v>44.25</v>
      </c>
      <c r="M489" s="11">
        <v>0</v>
      </c>
      <c r="N489" s="10">
        <v>0</v>
      </c>
      <c r="O489" s="10">
        <v>44.25</v>
      </c>
      <c r="P489" s="11">
        <v>0.5</v>
      </c>
      <c r="Q489" s="10">
        <v>88.5</v>
      </c>
      <c r="R489" s="10">
        <f t="shared" si="126"/>
        <v>350</v>
      </c>
      <c r="S489" s="10">
        <v>250</v>
      </c>
      <c r="T489" s="9" t="s">
        <v>76</v>
      </c>
      <c r="U489" s="10">
        <v>500</v>
      </c>
      <c r="V489" s="10">
        <f t="shared" si="127"/>
        <v>350</v>
      </c>
      <c r="W489" s="166">
        <v>490110</v>
      </c>
      <c r="X489" s="12" t="s">
        <v>29</v>
      </c>
      <c r="Y489" s="12">
        <f t="shared" si="128"/>
        <v>250</v>
      </c>
      <c r="Z489" s="13">
        <f t="shared" si="129"/>
        <v>250</v>
      </c>
      <c r="AA489" s="13">
        <f t="shared" si="130"/>
        <v>250</v>
      </c>
      <c r="AB489" s="13">
        <f t="shared" si="131"/>
        <v>44.25</v>
      </c>
      <c r="AC489" s="13">
        <f t="shared" si="132"/>
        <v>205.75</v>
      </c>
      <c r="AD489" s="14">
        <f t="shared" si="133"/>
        <v>0.82299999999999995</v>
      </c>
      <c r="AE489" s="14">
        <f t="shared" si="134"/>
        <v>4.6497175141242941</v>
      </c>
      <c r="AF489" s="13" t="str">
        <f>IF(AD489&gt;=Assumptions!$B$3,"OK","Review")</f>
        <v>OK</v>
      </c>
      <c r="AG489" s="13">
        <f>IFERROR(IF(Assumptions!$B$13="Cost Price",AB489,AA489)*SUMIF(Assumptions!$A$6:$A$10,X489,Assumptions!$B$6:$B$10),0)</f>
        <v>20</v>
      </c>
      <c r="AH489" s="13">
        <f>IFERROR(IF(Assumptions!$B$13="Cost Price",AB489,AA489)*SUMIF(Assumptions!$A$6:$A$10,X489,Assumptions!$C$6:$C$10),0)</f>
        <v>12.5</v>
      </c>
      <c r="AI489" s="13">
        <f>IFERROR(IF(Assumptions!$B$13="Cost Price",AB489,AA489)*SUMIF(Assumptions!$A$6:$A$10,X489,Assumptions!$D$6:$D$10),0)</f>
        <v>25</v>
      </c>
      <c r="AJ489" s="13">
        <v>25</v>
      </c>
      <c r="AK489" s="13">
        <f t="shared" si="135"/>
        <v>82.5</v>
      </c>
      <c r="AL489" s="14">
        <v>0.33</v>
      </c>
      <c r="AM489" s="13">
        <f t="shared" si="136"/>
        <v>123.25</v>
      </c>
      <c r="AN489" s="14">
        <f t="shared" si="137"/>
        <v>0.49299999999999999</v>
      </c>
      <c r="AO489" t="str">
        <f>IF(AN489&gt;=Assumptions!$B$3,"OK","Review")</f>
        <v>OK</v>
      </c>
    </row>
    <row r="490" spans="1:41">
      <c r="A490" s="9" t="s">
        <v>47</v>
      </c>
      <c r="B490" s="9" t="s">
        <v>40</v>
      </c>
      <c r="C490" s="9" t="s">
        <v>264</v>
      </c>
      <c r="D490" s="9" t="s">
        <v>320</v>
      </c>
      <c r="E490" s="9" t="s">
        <v>73</v>
      </c>
      <c r="F490" s="9" t="s">
        <v>74</v>
      </c>
      <c r="G490" s="9" t="s">
        <v>28</v>
      </c>
      <c r="H490" s="9" t="s">
        <v>75</v>
      </c>
      <c r="I490" s="9">
        <v>4000010166</v>
      </c>
      <c r="J490" s="10">
        <v>57.35</v>
      </c>
      <c r="K490" s="10"/>
      <c r="L490" s="10">
        <v>57.35</v>
      </c>
      <c r="M490" s="11">
        <v>0</v>
      </c>
      <c r="N490" s="10">
        <v>0</v>
      </c>
      <c r="O490" s="10">
        <v>57.35</v>
      </c>
      <c r="P490" s="11">
        <v>1</v>
      </c>
      <c r="Q490" s="10">
        <v>57.35</v>
      </c>
      <c r="R490" s="10">
        <f t="shared" si="126"/>
        <v>262.5</v>
      </c>
      <c r="S490" s="10">
        <v>375</v>
      </c>
      <c r="T490" s="9" t="s">
        <v>76</v>
      </c>
      <c r="U490" s="10">
        <v>375</v>
      </c>
      <c r="V490" s="10">
        <f t="shared" si="127"/>
        <v>262.5</v>
      </c>
      <c r="W490" s="166">
        <v>490110</v>
      </c>
      <c r="X490" s="12" t="s">
        <v>29</v>
      </c>
      <c r="Y490" s="12">
        <f t="shared" si="128"/>
        <v>375</v>
      </c>
      <c r="Z490" s="13">
        <f t="shared" si="129"/>
        <v>375</v>
      </c>
      <c r="AA490" s="13">
        <f t="shared" si="130"/>
        <v>375</v>
      </c>
      <c r="AB490" s="13">
        <f t="shared" si="131"/>
        <v>57.35</v>
      </c>
      <c r="AC490" s="13">
        <f t="shared" si="132"/>
        <v>317.64999999999998</v>
      </c>
      <c r="AD490" s="14">
        <f t="shared" si="133"/>
        <v>0.84706666666666663</v>
      </c>
      <c r="AE490" s="14">
        <f t="shared" si="134"/>
        <v>5.5387968613775058</v>
      </c>
      <c r="AF490" s="13" t="str">
        <f>IF(AD490&gt;=Assumptions!$B$3,"OK","Review")</f>
        <v>OK</v>
      </c>
      <c r="AG490" s="13">
        <f>IFERROR(IF(Assumptions!$B$13="Cost Price",AB490,AA490)*SUMIF(Assumptions!$A$6:$A$10,X490,Assumptions!$B$6:$B$10),0)</f>
        <v>30</v>
      </c>
      <c r="AH490" s="13">
        <f>IFERROR(IF(Assumptions!$B$13="Cost Price",AB490,AA490)*SUMIF(Assumptions!$A$6:$A$10,X490,Assumptions!$C$6:$C$10),0)</f>
        <v>18.75</v>
      </c>
      <c r="AI490" s="13">
        <f>IFERROR(IF(Assumptions!$B$13="Cost Price",AB490,AA490)*SUMIF(Assumptions!$A$6:$A$10,X490,Assumptions!$D$6:$D$10),0)</f>
        <v>37.5</v>
      </c>
      <c r="AJ490" s="13">
        <v>37.5</v>
      </c>
      <c r="AK490" s="13">
        <f t="shared" si="135"/>
        <v>123.75</v>
      </c>
      <c r="AL490" s="14">
        <v>0.33</v>
      </c>
      <c r="AM490" s="13">
        <f t="shared" si="136"/>
        <v>193.89999999999998</v>
      </c>
      <c r="AN490" s="14">
        <f t="shared" si="137"/>
        <v>0.51706666666666656</v>
      </c>
      <c r="AO490" t="str">
        <f>IF(AN490&gt;=Assumptions!$B$3,"OK","Review")</f>
        <v>OK</v>
      </c>
    </row>
    <row r="491" spans="1:41">
      <c r="A491" s="9" t="s">
        <v>47</v>
      </c>
      <c r="B491" s="9" t="s">
        <v>40</v>
      </c>
      <c r="C491" s="9" t="s">
        <v>282</v>
      </c>
      <c r="D491" s="9" t="s">
        <v>321</v>
      </c>
      <c r="E491" s="9" t="s">
        <v>73</v>
      </c>
      <c r="F491" s="9" t="s">
        <v>74</v>
      </c>
      <c r="G491" s="9" t="s">
        <v>28</v>
      </c>
      <c r="H491" s="9" t="s">
        <v>75</v>
      </c>
      <c r="I491" s="9">
        <v>4000010099</v>
      </c>
      <c r="J491" s="10">
        <v>90</v>
      </c>
      <c r="K491" s="10"/>
      <c r="L491" s="10">
        <v>125</v>
      </c>
      <c r="M491" s="11">
        <v>0</v>
      </c>
      <c r="N491" s="10">
        <v>0</v>
      </c>
      <c r="O491" s="10">
        <v>125</v>
      </c>
      <c r="P491" s="11">
        <v>0.2505</v>
      </c>
      <c r="Q491" s="10">
        <v>499</v>
      </c>
      <c r="R491" s="10">
        <f t="shared" si="126"/>
        <v>406</v>
      </c>
      <c r="S491" s="10">
        <v>145.29</v>
      </c>
      <c r="T491" s="9" t="s">
        <v>76</v>
      </c>
      <c r="U491" s="10">
        <v>580</v>
      </c>
      <c r="V491" s="10">
        <f t="shared" si="127"/>
        <v>406</v>
      </c>
      <c r="W491" s="166">
        <v>490110</v>
      </c>
      <c r="X491" s="12" t="s">
        <v>29</v>
      </c>
      <c r="Y491" s="12">
        <f t="shared" si="128"/>
        <v>145.29</v>
      </c>
      <c r="Z491" s="13">
        <f t="shared" si="129"/>
        <v>145.29</v>
      </c>
      <c r="AA491" s="13">
        <f t="shared" si="130"/>
        <v>145.29</v>
      </c>
      <c r="AB491" s="13">
        <f t="shared" si="131"/>
        <v>90</v>
      </c>
      <c r="AC491" s="13">
        <f t="shared" si="132"/>
        <v>55.289999999999992</v>
      </c>
      <c r="AD491" s="14">
        <f t="shared" si="133"/>
        <v>0.38054924633491632</v>
      </c>
      <c r="AE491" s="14">
        <f t="shared" si="134"/>
        <v>0.61433333333333329</v>
      </c>
      <c r="AF491" s="13" t="str">
        <f>IF(AD491&gt;=Assumptions!$B$3,"OK","Review")</f>
        <v>OK</v>
      </c>
      <c r="AG491" s="13">
        <f>IFERROR(IF(Assumptions!$B$13="Cost Price",AB491,AA491)*SUMIF(Assumptions!$A$6:$A$10,X491,Assumptions!$B$6:$B$10),0)</f>
        <v>11.623199999999999</v>
      </c>
      <c r="AH491" s="13">
        <f>IFERROR(IF(Assumptions!$B$13="Cost Price",AB491,AA491)*SUMIF(Assumptions!$A$6:$A$10,X491,Assumptions!$C$6:$C$10),0)</f>
        <v>7.2645</v>
      </c>
      <c r="AI491" s="13">
        <f>IFERROR(IF(Assumptions!$B$13="Cost Price",AB491,AA491)*SUMIF(Assumptions!$A$6:$A$10,X491,Assumptions!$D$6:$D$10),0)</f>
        <v>14.529</v>
      </c>
      <c r="AJ491" s="13">
        <v>14.529</v>
      </c>
      <c r="AK491" s="13">
        <f t="shared" si="135"/>
        <v>47.945700000000002</v>
      </c>
      <c r="AL491" s="14">
        <v>0.33</v>
      </c>
      <c r="AM491" s="13">
        <f t="shared" si="136"/>
        <v>7.3442999999999898</v>
      </c>
      <c r="AN491" s="14">
        <f t="shared" si="137"/>
        <v>5.0549246334916309E-2</v>
      </c>
      <c r="AO491" t="str">
        <f>IF(AN491&gt;=Assumptions!$B$3,"OK","Review")</f>
        <v>Review</v>
      </c>
    </row>
    <row r="492" spans="1:41">
      <c r="A492" s="9" t="s">
        <v>47</v>
      </c>
      <c r="B492" s="9" t="s">
        <v>40</v>
      </c>
      <c r="C492" s="9" t="s">
        <v>282</v>
      </c>
      <c r="D492" s="9" t="s">
        <v>322</v>
      </c>
      <c r="E492" s="9" t="s">
        <v>73</v>
      </c>
      <c r="F492" s="9" t="s">
        <v>74</v>
      </c>
      <c r="G492" s="9" t="s">
        <v>28</v>
      </c>
      <c r="H492" s="9" t="s">
        <v>75</v>
      </c>
      <c r="I492" s="9">
        <v>4000010168</v>
      </c>
      <c r="J492" s="10">
        <v>240</v>
      </c>
      <c r="K492" s="10"/>
      <c r="L492" s="10">
        <v>240</v>
      </c>
      <c r="M492" s="11">
        <v>0</v>
      </c>
      <c r="N492" s="10">
        <v>0</v>
      </c>
      <c r="O492" s="10">
        <v>240</v>
      </c>
      <c r="P492" s="11">
        <v>0.48099999999999998</v>
      </c>
      <c r="Q492" s="10">
        <v>499</v>
      </c>
      <c r="R492" s="10">
        <f t="shared" si="126"/>
        <v>406</v>
      </c>
      <c r="S492" s="10">
        <v>278.95999999999998</v>
      </c>
      <c r="T492" s="9" t="s">
        <v>76</v>
      </c>
      <c r="U492" s="10">
        <v>580</v>
      </c>
      <c r="V492" s="10">
        <f t="shared" si="127"/>
        <v>406</v>
      </c>
      <c r="W492" s="166">
        <v>490110</v>
      </c>
      <c r="X492" s="12" t="s">
        <v>29</v>
      </c>
      <c r="Y492" s="12">
        <f t="shared" si="128"/>
        <v>278.95999999999998</v>
      </c>
      <c r="Z492" s="13">
        <f t="shared" si="129"/>
        <v>278.95999999999998</v>
      </c>
      <c r="AA492" s="13">
        <f t="shared" si="130"/>
        <v>278.95999999999998</v>
      </c>
      <c r="AB492" s="13">
        <f t="shared" si="131"/>
        <v>240</v>
      </c>
      <c r="AC492" s="13">
        <f t="shared" si="132"/>
        <v>38.95999999999998</v>
      </c>
      <c r="AD492" s="14">
        <f t="shared" si="133"/>
        <v>0.1396616002294235</v>
      </c>
      <c r="AE492" s="14">
        <f t="shared" si="134"/>
        <v>0.16233333333333325</v>
      </c>
      <c r="AF492" s="13" t="str">
        <f>IF(AD492&gt;=Assumptions!$B$3,"OK","Review")</f>
        <v>Review</v>
      </c>
      <c r="AG492" s="13">
        <f>IFERROR(IF(Assumptions!$B$13="Cost Price",AB492,AA492)*SUMIF(Assumptions!$A$6:$A$10,X492,Assumptions!$B$6:$B$10),0)</f>
        <v>22.316799999999997</v>
      </c>
      <c r="AH492" s="13">
        <f>IFERROR(IF(Assumptions!$B$13="Cost Price",AB492,AA492)*SUMIF(Assumptions!$A$6:$A$10,X492,Assumptions!$C$6:$C$10),0)</f>
        <v>13.948</v>
      </c>
      <c r="AI492" s="13">
        <f>IFERROR(IF(Assumptions!$B$13="Cost Price",AB492,AA492)*SUMIF(Assumptions!$A$6:$A$10,X492,Assumptions!$D$6:$D$10),0)</f>
        <v>27.896000000000001</v>
      </c>
      <c r="AJ492" s="13">
        <v>27.896000000000001</v>
      </c>
      <c r="AK492" s="13">
        <f t="shared" si="135"/>
        <v>92.056799999999996</v>
      </c>
      <c r="AL492" s="14">
        <v>0.33</v>
      </c>
      <c r="AM492" s="13">
        <f t="shared" si="136"/>
        <v>-53.096800000000016</v>
      </c>
      <c r="AN492" s="14">
        <f t="shared" si="137"/>
        <v>-0.19033839977057651</v>
      </c>
      <c r="AO492" t="str">
        <f>IF(AN492&gt;=Assumptions!$B$3,"OK","Review")</f>
        <v>Review</v>
      </c>
    </row>
    <row r="493" spans="1:41">
      <c r="A493" s="9" t="s">
        <v>47</v>
      </c>
      <c r="B493" s="9" t="s">
        <v>40</v>
      </c>
      <c r="C493" s="9" t="s">
        <v>282</v>
      </c>
      <c r="D493" s="9" t="s">
        <v>323</v>
      </c>
      <c r="E493" s="9" t="s">
        <v>73</v>
      </c>
      <c r="F493" s="9" t="s">
        <v>74</v>
      </c>
      <c r="G493" s="9" t="s">
        <v>28</v>
      </c>
      <c r="H493" s="9" t="s">
        <v>84</v>
      </c>
      <c r="I493" s="9">
        <v>4000010180</v>
      </c>
      <c r="J493" s="10">
        <v>109</v>
      </c>
      <c r="K493" s="10"/>
      <c r="L493" s="10">
        <v>134</v>
      </c>
      <c r="M493" s="11">
        <v>0</v>
      </c>
      <c r="N493" s="10">
        <v>0</v>
      </c>
      <c r="O493" s="10">
        <v>134</v>
      </c>
      <c r="P493" s="11">
        <v>0.26850000000000002</v>
      </c>
      <c r="Q493" s="10">
        <v>499</v>
      </c>
      <c r="R493" s="10">
        <f t="shared" si="126"/>
        <v>406</v>
      </c>
      <c r="S493" s="10">
        <v>155.75</v>
      </c>
      <c r="T493" s="9" t="s">
        <v>76</v>
      </c>
      <c r="U493" s="10">
        <v>580</v>
      </c>
      <c r="V493" s="10">
        <f t="shared" si="127"/>
        <v>406</v>
      </c>
      <c r="W493" s="166">
        <v>490110</v>
      </c>
      <c r="X493" s="12" t="s">
        <v>29</v>
      </c>
      <c r="Y493" s="12">
        <f t="shared" si="128"/>
        <v>155.75</v>
      </c>
      <c r="Z493" s="13">
        <f t="shared" si="129"/>
        <v>155.75</v>
      </c>
      <c r="AA493" s="13">
        <f t="shared" si="130"/>
        <v>155.75</v>
      </c>
      <c r="AB493" s="13">
        <f t="shared" si="131"/>
        <v>109</v>
      </c>
      <c r="AC493" s="13">
        <f t="shared" si="132"/>
        <v>46.75</v>
      </c>
      <c r="AD493" s="14">
        <f t="shared" si="133"/>
        <v>0.3001605136436597</v>
      </c>
      <c r="AE493" s="14">
        <f t="shared" si="134"/>
        <v>0.42889908256880732</v>
      </c>
      <c r="AF493" s="13" t="str">
        <f>IF(AD493&gt;=Assumptions!$B$3,"OK","Review")</f>
        <v>OK</v>
      </c>
      <c r="AG493" s="13">
        <f>IFERROR(IF(Assumptions!$B$13="Cost Price",AB493,AA493)*SUMIF(Assumptions!$A$6:$A$10,X493,Assumptions!$B$6:$B$10),0)</f>
        <v>12.46</v>
      </c>
      <c r="AH493" s="13">
        <f>IFERROR(IF(Assumptions!$B$13="Cost Price",AB493,AA493)*SUMIF(Assumptions!$A$6:$A$10,X493,Assumptions!$C$6:$C$10),0)</f>
        <v>7.7875000000000005</v>
      </c>
      <c r="AI493" s="13">
        <f>IFERROR(IF(Assumptions!$B$13="Cost Price",AB493,AA493)*SUMIF(Assumptions!$A$6:$A$10,X493,Assumptions!$D$6:$D$10),0)</f>
        <v>15.575000000000001</v>
      </c>
      <c r="AJ493" s="13">
        <v>15.575000000000001</v>
      </c>
      <c r="AK493" s="13">
        <f t="shared" si="135"/>
        <v>51.397500000000008</v>
      </c>
      <c r="AL493" s="14">
        <v>0.33</v>
      </c>
      <c r="AM493" s="13">
        <f t="shared" si="136"/>
        <v>-4.647500000000008</v>
      </c>
      <c r="AN493" s="14">
        <f t="shared" si="137"/>
        <v>-2.9839486356340341E-2</v>
      </c>
      <c r="AO493" t="str">
        <f>IF(AN493&gt;=Assumptions!$B$3,"OK","Review")</f>
        <v>Review</v>
      </c>
    </row>
    <row r="494" spans="1:41">
      <c r="A494" s="9" t="s">
        <v>47</v>
      </c>
      <c r="B494" s="9" t="s">
        <v>40</v>
      </c>
      <c r="C494" s="9" t="s">
        <v>271</v>
      </c>
      <c r="D494" s="9" t="s">
        <v>324</v>
      </c>
      <c r="E494" s="9" t="s">
        <v>73</v>
      </c>
      <c r="F494" s="9" t="s">
        <v>74</v>
      </c>
      <c r="G494" s="9" t="s">
        <v>28</v>
      </c>
      <c r="H494" s="9" t="s">
        <v>75</v>
      </c>
      <c r="I494" s="9">
        <v>4000010169</v>
      </c>
      <c r="J494" s="10">
        <v>58.28</v>
      </c>
      <c r="K494" s="10"/>
      <c r="L494" s="10">
        <v>58.28</v>
      </c>
      <c r="M494" s="11">
        <v>0</v>
      </c>
      <c r="N494" s="10">
        <v>0</v>
      </c>
      <c r="O494" s="10">
        <v>58.28</v>
      </c>
      <c r="P494" s="11">
        <v>1</v>
      </c>
      <c r="Q494" s="10">
        <v>58.28</v>
      </c>
      <c r="R494" s="10">
        <f t="shared" si="126"/>
        <v>140</v>
      </c>
      <c r="S494" s="10">
        <v>200</v>
      </c>
      <c r="T494" s="9" t="s">
        <v>76</v>
      </c>
      <c r="U494" s="10">
        <v>200</v>
      </c>
      <c r="V494" s="10">
        <f t="shared" si="127"/>
        <v>140</v>
      </c>
      <c r="W494" s="166">
        <v>490110</v>
      </c>
      <c r="X494" s="12" t="s">
        <v>29</v>
      </c>
      <c r="Y494" s="12">
        <f t="shared" si="128"/>
        <v>200</v>
      </c>
      <c r="Z494" s="13">
        <f t="shared" si="129"/>
        <v>200</v>
      </c>
      <c r="AA494" s="13">
        <f t="shared" si="130"/>
        <v>200</v>
      </c>
      <c r="AB494" s="13">
        <f t="shared" si="131"/>
        <v>58.28</v>
      </c>
      <c r="AC494" s="13">
        <f t="shared" si="132"/>
        <v>141.72</v>
      </c>
      <c r="AD494" s="14">
        <f t="shared" si="133"/>
        <v>0.70860000000000001</v>
      </c>
      <c r="AE494" s="14">
        <f t="shared" si="134"/>
        <v>2.4317089910775564</v>
      </c>
      <c r="AF494" s="13" t="str">
        <f>IF(AD494&gt;=Assumptions!$B$3,"OK","Review")</f>
        <v>OK</v>
      </c>
      <c r="AG494" s="13">
        <f>IFERROR(IF(Assumptions!$B$13="Cost Price",AB494,AA494)*SUMIF(Assumptions!$A$6:$A$10,X494,Assumptions!$B$6:$B$10),0)</f>
        <v>16</v>
      </c>
      <c r="AH494" s="13">
        <f>IFERROR(IF(Assumptions!$B$13="Cost Price",AB494,AA494)*SUMIF(Assumptions!$A$6:$A$10,X494,Assumptions!$C$6:$C$10),0)</f>
        <v>10</v>
      </c>
      <c r="AI494" s="13">
        <f>IFERROR(IF(Assumptions!$B$13="Cost Price",AB494,AA494)*SUMIF(Assumptions!$A$6:$A$10,X494,Assumptions!$D$6:$D$10),0)</f>
        <v>20</v>
      </c>
      <c r="AJ494" s="13">
        <v>20</v>
      </c>
      <c r="AK494" s="13">
        <f t="shared" si="135"/>
        <v>66</v>
      </c>
      <c r="AL494" s="14">
        <v>0.33</v>
      </c>
      <c r="AM494" s="13">
        <f t="shared" si="136"/>
        <v>75.72</v>
      </c>
      <c r="AN494" s="14">
        <f t="shared" si="137"/>
        <v>0.37859999999999999</v>
      </c>
      <c r="AO494" t="str">
        <f>IF(AN494&gt;=Assumptions!$B$3,"OK","Review")</f>
        <v>OK</v>
      </c>
    </row>
    <row r="495" spans="1:41">
      <c r="A495" s="9" t="s">
        <v>47</v>
      </c>
      <c r="B495" s="9" t="s">
        <v>40</v>
      </c>
      <c r="C495" s="9" t="s">
        <v>273</v>
      </c>
      <c r="D495" s="9" t="s">
        <v>325</v>
      </c>
      <c r="E495" s="9" t="s">
        <v>73</v>
      </c>
      <c r="F495" s="9" t="s">
        <v>74</v>
      </c>
      <c r="G495" s="9" t="s">
        <v>28</v>
      </c>
      <c r="H495" s="9" t="s">
        <v>75</v>
      </c>
      <c r="I495" s="9">
        <v>4000001488</v>
      </c>
      <c r="J495" s="10">
        <v>193.6</v>
      </c>
      <c r="K495" s="10"/>
      <c r="L495" s="10">
        <v>193.6</v>
      </c>
      <c r="M495" s="11">
        <v>0</v>
      </c>
      <c r="N495" s="10">
        <v>0</v>
      </c>
      <c r="O495" s="10">
        <v>193.6</v>
      </c>
      <c r="P495" s="11">
        <v>0.61109999999999998</v>
      </c>
      <c r="Q495" s="10">
        <v>316.81</v>
      </c>
      <c r="R495" s="10">
        <f t="shared" si="126"/>
        <v>618.79999999999995</v>
      </c>
      <c r="S495" s="10">
        <v>540.21</v>
      </c>
      <c r="T495" s="9" t="s">
        <v>76</v>
      </c>
      <c r="U495" s="10">
        <v>884</v>
      </c>
      <c r="V495" s="10">
        <f t="shared" si="127"/>
        <v>618.79999999999995</v>
      </c>
      <c r="W495" s="166">
        <v>490110</v>
      </c>
      <c r="X495" s="12" t="s">
        <v>29</v>
      </c>
      <c r="Y495" s="12">
        <f t="shared" si="128"/>
        <v>540.21</v>
      </c>
      <c r="Z495" s="13">
        <f t="shared" si="129"/>
        <v>540.21</v>
      </c>
      <c r="AA495" s="13">
        <f t="shared" si="130"/>
        <v>540.21</v>
      </c>
      <c r="AB495" s="13">
        <f t="shared" si="131"/>
        <v>193.6</v>
      </c>
      <c r="AC495" s="13">
        <f t="shared" si="132"/>
        <v>346.61</v>
      </c>
      <c r="AD495" s="14">
        <f t="shared" si="133"/>
        <v>0.64162085115047851</v>
      </c>
      <c r="AE495" s="14">
        <f t="shared" si="134"/>
        <v>1.7903409090909093</v>
      </c>
      <c r="AF495" s="13" t="str">
        <f>IF(AD495&gt;=Assumptions!$B$3,"OK","Review")</f>
        <v>OK</v>
      </c>
      <c r="AG495" s="13">
        <f>IFERROR(IF(Assumptions!$B$13="Cost Price",AB495,AA495)*SUMIF(Assumptions!$A$6:$A$10,X495,Assumptions!$B$6:$B$10),0)</f>
        <v>43.216800000000006</v>
      </c>
      <c r="AH495" s="13">
        <f>IFERROR(IF(Assumptions!$B$13="Cost Price",AB495,AA495)*SUMIF(Assumptions!$A$6:$A$10,X495,Assumptions!$C$6:$C$10),0)</f>
        <v>27.010500000000004</v>
      </c>
      <c r="AI495" s="13">
        <f>IFERROR(IF(Assumptions!$B$13="Cost Price",AB495,AA495)*SUMIF(Assumptions!$A$6:$A$10,X495,Assumptions!$D$6:$D$10),0)</f>
        <v>54.021000000000008</v>
      </c>
      <c r="AJ495" s="13">
        <v>54.021000000000008</v>
      </c>
      <c r="AK495" s="13">
        <f t="shared" si="135"/>
        <v>178.26930000000004</v>
      </c>
      <c r="AL495" s="14">
        <v>0.33</v>
      </c>
      <c r="AM495" s="13">
        <f t="shared" si="136"/>
        <v>168.34069999999997</v>
      </c>
      <c r="AN495" s="14">
        <f t="shared" si="137"/>
        <v>0.31162085115047844</v>
      </c>
      <c r="AO495" t="str">
        <f>IF(AN495&gt;=Assumptions!$B$3,"OK","Review")</f>
        <v>OK</v>
      </c>
    </row>
    <row r="496" spans="1:41">
      <c r="A496" s="9" t="s">
        <v>47</v>
      </c>
      <c r="B496" s="9" t="s">
        <v>40</v>
      </c>
      <c r="C496" s="9" t="s">
        <v>273</v>
      </c>
      <c r="D496" s="9" t="s">
        <v>326</v>
      </c>
      <c r="E496" s="9" t="s">
        <v>73</v>
      </c>
      <c r="F496" s="9" t="s">
        <v>74</v>
      </c>
      <c r="G496" s="9" t="s">
        <v>28</v>
      </c>
      <c r="H496" s="9" t="s">
        <v>84</v>
      </c>
      <c r="I496" s="9">
        <v>4000001479</v>
      </c>
      <c r="J496" s="10">
        <v>123.21</v>
      </c>
      <c r="K496" s="10"/>
      <c r="L496" s="10">
        <v>123.21</v>
      </c>
      <c r="M496" s="11">
        <v>0</v>
      </c>
      <c r="N496" s="10">
        <v>0</v>
      </c>
      <c r="O496" s="10">
        <v>123.21</v>
      </c>
      <c r="P496" s="11">
        <v>0.38890000000000002</v>
      </c>
      <c r="Q496" s="10">
        <v>316.81</v>
      </c>
      <c r="R496" s="10">
        <f t="shared" si="126"/>
        <v>618.79999999999995</v>
      </c>
      <c r="S496" s="10">
        <v>343.79</v>
      </c>
      <c r="T496" s="9" t="s">
        <v>76</v>
      </c>
      <c r="U496" s="10">
        <v>884</v>
      </c>
      <c r="V496" s="10">
        <f t="shared" si="127"/>
        <v>618.79999999999995</v>
      </c>
      <c r="W496" s="166">
        <v>490110</v>
      </c>
      <c r="X496" s="12" t="s">
        <v>29</v>
      </c>
      <c r="Y496" s="12">
        <f t="shared" si="128"/>
        <v>343.79</v>
      </c>
      <c r="Z496" s="13">
        <f t="shared" si="129"/>
        <v>343.79</v>
      </c>
      <c r="AA496" s="13">
        <f t="shared" si="130"/>
        <v>343.79</v>
      </c>
      <c r="AB496" s="13">
        <f t="shared" si="131"/>
        <v>123.21</v>
      </c>
      <c r="AC496" s="13">
        <f t="shared" si="132"/>
        <v>220.58000000000004</v>
      </c>
      <c r="AD496" s="14">
        <f t="shared" si="133"/>
        <v>0.64161261235056288</v>
      </c>
      <c r="AE496" s="14">
        <f t="shared" si="134"/>
        <v>1.7902767632497367</v>
      </c>
      <c r="AF496" s="13" t="str">
        <f>IF(AD496&gt;=Assumptions!$B$3,"OK","Review")</f>
        <v>OK</v>
      </c>
      <c r="AG496" s="13">
        <f>IFERROR(IF(Assumptions!$B$13="Cost Price",AB496,AA496)*SUMIF(Assumptions!$A$6:$A$10,X496,Assumptions!$B$6:$B$10),0)</f>
        <v>27.503200000000003</v>
      </c>
      <c r="AH496" s="13">
        <f>IFERROR(IF(Assumptions!$B$13="Cost Price",AB496,AA496)*SUMIF(Assumptions!$A$6:$A$10,X496,Assumptions!$C$6:$C$10),0)</f>
        <v>17.189500000000002</v>
      </c>
      <c r="AI496" s="13">
        <f>IFERROR(IF(Assumptions!$B$13="Cost Price",AB496,AA496)*SUMIF(Assumptions!$A$6:$A$10,X496,Assumptions!$D$6:$D$10),0)</f>
        <v>34.379000000000005</v>
      </c>
      <c r="AJ496" s="13">
        <v>34.379000000000005</v>
      </c>
      <c r="AK496" s="13">
        <f t="shared" si="135"/>
        <v>113.45070000000001</v>
      </c>
      <c r="AL496" s="14">
        <v>0.33</v>
      </c>
      <c r="AM496" s="13">
        <f t="shared" si="136"/>
        <v>107.12930000000003</v>
      </c>
      <c r="AN496" s="14">
        <f t="shared" si="137"/>
        <v>0.31161261235056292</v>
      </c>
      <c r="AO496" t="str">
        <f>IF(AN496&gt;=Assumptions!$B$3,"OK","Review")</f>
        <v>OK</v>
      </c>
    </row>
    <row r="497" spans="1:41">
      <c r="A497" s="9" t="s">
        <v>47</v>
      </c>
      <c r="B497" s="9" t="s">
        <v>41</v>
      </c>
      <c r="C497" s="9" t="s">
        <v>261</v>
      </c>
      <c r="D497" s="9" t="s">
        <v>327</v>
      </c>
      <c r="E497" s="9" t="s">
        <v>73</v>
      </c>
      <c r="F497" s="9" t="s">
        <v>74</v>
      </c>
      <c r="G497" s="9" t="s">
        <v>28</v>
      </c>
      <c r="H497" s="9" t="s">
        <v>75</v>
      </c>
      <c r="I497" s="9">
        <v>4000010101</v>
      </c>
      <c r="J497" s="10">
        <v>44.25</v>
      </c>
      <c r="K497" s="10"/>
      <c r="L497" s="10">
        <v>44.25</v>
      </c>
      <c r="M497" s="11">
        <v>0</v>
      </c>
      <c r="N497" s="10">
        <v>0</v>
      </c>
      <c r="O497" s="10">
        <v>44.25</v>
      </c>
      <c r="P497" s="11">
        <v>0.5</v>
      </c>
      <c r="Q497" s="10">
        <v>88.5</v>
      </c>
      <c r="R497" s="10">
        <f t="shared" si="126"/>
        <v>350</v>
      </c>
      <c r="S497" s="10">
        <v>250</v>
      </c>
      <c r="T497" s="9" t="s">
        <v>76</v>
      </c>
      <c r="U497" s="10">
        <v>500</v>
      </c>
      <c r="V497" s="10">
        <f t="shared" si="127"/>
        <v>350</v>
      </c>
      <c r="W497" s="166">
        <v>490110</v>
      </c>
      <c r="X497" s="12" t="s">
        <v>29</v>
      </c>
      <c r="Y497" s="12">
        <f t="shared" si="128"/>
        <v>250</v>
      </c>
      <c r="Z497" s="13">
        <f t="shared" si="129"/>
        <v>250</v>
      </c>
      <c r="AA497" s="13">
        <f t="shared" si="130"/>
        <v>250</v>
      </c>
      <c r="AB497" s="13">
        <f t="shared" si="131"/>
        <v>44.25</v>
      </c>
      <c r="AC497" s="13">
        <f t="shared" si="132"/>
        <v>205.75</v>
      </c>
      <c r="AD497" s="14">
        <f t="shared" si="133"/>
        <v>0.82299999999999995</v>
      </c>
      <c r="AE497" s="14">
        <f t="shared" si="134"/>
        <v>4.6497175141242941</v>
      </c>
      <c r="AF497" s="13" t="str">
        <f>IF(AD497&gt;=Assumptions!$B$3,"OK","Review")</f>
        <v>OK</v>
      </c>
      <c r="AG497" s="13">
        <f>IFERROR(IF(Assumptions!$B$13="Cost Price",AB497,AA497)*SUMIF(Assumptions!$A$6:$A$10,X497,Assumptions!$B$6:$B$10),0)</f>
        <v>20</v>
      </c>
      <c r="AH497" s="13">
        <f>IFERROR(IF(Assumptions!$B$13="Cost Price",AB497,AA497)*SUMIF(Assumptions!$A$6:$A$10,X497,Assumptions!$C$6:$C$10),0)</f>
        <v>12.5</v>
      </c>
      <c r="AI497" s="13">
        <f>IFERROR(IF(Assumptions!$B$13="Cost Price",AB497,AA497)*SUMIF(Assumptions!$A$6:$A$10,X497,Assumptions!$D$6:$D$10),0)</f>
        <v>25</v>
      </c>
      <c r="AJ497" s="13">
        <v>25</v>
      </c>
      <c r="AK497" s="13">
        <f t="shared" si="135"/>
        <v>82.5</v>
      </c>
      <c r="AL497" s="14">
        <v>0.33</v>
      </c>
      <c r="AM497" s="13">
        <f t="shared" si="136"/>
        <v>123.25</v>
      </c>
      <c r="AN497" s="14">
        <f t="shared" si="137"/>
        <v>0.49299999999999999</v>
      </c>
      <c r="AO497" t="str">
        <f>IF(AN497&gt;=Assumptions!$B$3,"OK","Review")</f>
        <v>OK</v>
      </c>
    </row>
    <row r="498" spans="1:41">
      <c r="A498" s="9" t="s">
        <v>47</v>
      </c>
      <c r="B498" s="9" t="s">
        <v>41</v>
      </c>
      <c r="C498" s="9" t="s">
        <v>261</v>
      </c>
      <c r="D498" s="9" t="s">
        <v>328</v>
      </c>
      <c r="E498" s="9" t="s">
        <v>73</v>
      </c>
      <c r="F498" s="9" t="s">
        <v>74</v>
      </c>
      <c r="G498" s="9" t="s">
        <v>28</v>
      </c>
      <c r="H498" s="9" t="s">
        <v>84</v>
      </c>
      <c r="I498" s="9">
        <v>4000010181</v>
      </c>
      <c r="J498" s="10">
        <v>44.25</v>
      </c>
      <c r="K498" s="10"/>
      <c r="L498" s="10">
        <v>44.25</v>
      </c>
      <c r="M498" s="11">
        <v>0</v>
      </c>
      <c r="N498" s="10">
        <v>0</v>
      </c>
      <c r="O498" s="10">
        <v>44.25</v>
      </c>
      <c r="P498" s="11">
        <v>0.5</v>
      </c>
      <c r="Q498" s="10">
        <v>88.5</v>
      </c>
      <c r="R498" s="10">
        <f t="shared" si="126"/>
        <v>350</v>
      </c>
      <c r="S498" s="10">
        <v>250</v>
      </c>
      <c r="T498" s="9" t="s">
        <v>76</v>
      </c>
      <c r="U498" s="10">
        <v>500</v>
      </c>
      <c r="V498" s="10">
        <f t="shared" si="127"/>
        <v>350</v>
      </c>
      <c r="W498" s="166">
        <v>490110</v>
      </c>
      <c r="X498" s="12" t="s">
        <v>29</v>
      </c>
      <c r="Y498" s="12">
        <f t="shared" si="128"/>
        <v>250</v>
      </c>
      <c r="Z498" s="13">
        <f t="shared" si="129"/>
        <v>250</v>
      </c>
      <c r="AA498" s="13">
        <f t="shared" si="130"/>
        <v>250</v>
      </c>
      <c r="AB498" s="13">
        <f t="shared" si="131"/>
        <v>44.25</v>
      </c>
      <c r="AC498" s="13">
        <f t="shared" si="132"/>
        <v>205.75</v>
      </c>
      <c r="AD498" s="14">
        <f t="shared" si="133"/>
        <v>0.82299999999999995</v>
      </c>
      <c r="AE498" s="14">
        <f t="shared" si="134"/>
        <v>4.6497175141242941</v>
      </c>
      <c r="AF498" s="13" t="str">
        <f>IF(AD498&gt;=Assumptions!$B$3,"OK","Review")</f>
        <v>OK</v>
      </c>
      <c r="AG498" s="13">
        <f>IFERROR(IF(Assumptions!$B$13="Cost Price",AB498,AA498)*SUMIF(Assumptions!$A$6:$A$10,X498,Assumptions!$B$6:$B$10),0)</f>
        <v>20</v>
      </c>
      <c r="AH498" s="13">
        <f>IFERROR(IF(Assumptions!$B$13="Cost Price",AB498,AA498)*SUMIF(Assumptions!$A$6:$A$10,X498,Assumptions!$C$6:$C$10),0)</f>
        <v>12.5</v>
      </c>
      <c r="AI498" s="13">
        <f>IFERROR(IF(Assumptions!$B$13="Cost Price",AB498,AA498)*SUMIF(Assumptions!$A$6:$A$10,X498,Assumptions!$D$6:$D$10),0)</f>
        <v>25</v>
      </c>
      <c r="AJ498" s="13">
        <v>25</v>
      </c>
      <c r="AK498" s="13">
        <f t="shared" si="135"/>
        <v>82.5</v>
      </c>
      <c r="AL498" s="14">
        <v>0.33</v>
      </c>
      <c r="AM498" s="13">
        <f t="shared" si="136"/>
        <v>123.25</v>
      </c>
      <c r="AN498" s="14">
        <f t="shared" si="137"/>
        <v>0.49299999999999999</v>
      </c>
      <c r="AO498" t="str">
        <f>IF(AN498&gt;=Assumptions!$B$3,"OK","Review")</f>
        <v>OK</v>
      </c>
    </row>
    <row r="499" spans="1:41">
      <c r="A499" s="9" t="s">
        <v>47</v>
      </c>
      <c r="B499" s="9" t="s">
        <v>41</v>
      </c>
      <c r="C499" s="9" t="s">
        <v>264</v>
      </c>
      <c r="D499" s="9" t="s">
        <v>329</v>
      </c>
      <c r="E499" s="9" t="s">
        <v>73</v>
      </c>
      <c r="F499" s="9" t="s">
        <v>74</v>
      </c>
      <c r="G499" s="9" t="s">
        <v>28</v>
      </c>
      <c r="H499" s="9" t="s">
        <v>75</v>
      </c>
      <c r="I499" s="9">
        <v>4000010052</v>
      </c>
      <c r="J499" s="10">
        <v>57.35</v>
      </c>
      <c r="K499" s="10"/>
      <c r="L499" s="10">
        <v>57.35</v>
      </c>
      <c r="M499" s="11">
        <v>0</v>
      </c>
      <c r="N499" s="10">
        <v>0</v>
      </c>
      <c r="O499" s="10">
        <v>57.35</v>
      </c>
      <c r="P499" s="11">
        <v>1</v>
      </c>
      <c r="Q499" s="10">
        <v>57.35</v>
      </c>
      <c r="R499" s="10">
        <f t="shared" ref="R499:R562" si="138">V499-SUMIFS(Q:Q,A:A,A499,B:B,B499,G:G,G499,E:E,E499,T:T,"Fixed Price ( Base Price with GST)")</f>
        <v>262.5</v>
      </c>
      <c r="S499" s="10">
        <v>375</v>
      </c>
      <c r="T499" s="9" t="s">
        <v>76</v>
      </c>
      <c r="U499" s="10">
        <v>375</v>
      </c>
      <c r="V499" s="10">
        <f t="shared" si="127"/>
        <v>262.5</v>
      </c>
      <c r="W499" s="166">
        <v>490110</v>
      </c>
      <c r="X499" s="12" t="s">
        <v>29</v>
      </c>
      <c r="Y499" s="12">
        <f t="shared" si="128"/>
        <v>375</v>
      </c>
      <c r="Z499" s="13">
        <f t="shared" si="129"/>
        <v>375</v>
      </c>
      <c r="AA499" s="13">
        <f t="shared" si="130"/>
        <v>375</v>
      </c>
      <c r="AB499" s="13">
        <f t="shared" si="131"/>
        <v>57.35</v>
      </c>
      <c r="AC499" s="13">
        <f t="shared" si="132"/>
        <v>317.64999999999998</v>
      </c>
      <c r="AD499" s="14">
        <f t="shared" si="133"/>
        <v>0.84706666666666663</v>
      </c>
      <c r="AE499" s="14">
        <f t="shared" si="134"/>
        <v>5.5387968613775058</v>
      </c>
      <c r="AF499" s="13" t="str">
        <f>IF(AD499&gt;=Assumptions!$B$3,"OK","Review")</f>
        <v>OK</v>
      </c>
      <c r="AG499" s="13">
        <f>IFERROR(IF(Assumptions!$B$13="Cost Price",AB499,AA499)*SUMIF(Assumptions!$A$6:$A$10,X499,Assumptions!$B$6:$B$10),0)</f>
        <v>30</v>
      </c>
      <c r="AH499" s="13">
        <f>IFERROR(IF(Assumptions!$B$13="Cost Price",AB499,AA499)*SUMIF(Assumptions!$A$6:$A$10,X499,Assumptions!$C$6:$C$10),0)</f>
        <v>18.75</v>
      </c>
      <c r="AI499" s="13">
        <f>IFERROR(IF(Assumptions!$B$13="Cost Price",AB499,AA499)*SUMIF(Assumptions!$A$6:$A$10,X499,Assumptions!$D$6:$D$10),0)</f>
        <v>37.5</v>
      </c>
      <c r="AJ499" s="13">
        <v>37.5</v>
      </c>
      <c r="AK499" s="13">
        <f t="shared" si="135"/>
        <v>123.75</v>
      </c>
      <c r="AL499" s="14">
        <v>0.33</v>
      </c>
      <c r="AM499" s="13">
        <f t="shared" si="136"/>
        <v>193.89999999999998</v>
      </c>
      <c r="AN499" s="14">
        <f t="shared" si="137"/>
        <v>0.51706666666666656</v>
      </c>
      <c r="AO499" t="str">
        <f>IF(AN499&gt;=Assumptions!$B$3,"OK","Review")</f>
        <v>OK</v>
      </c>
    </row>
    <row r="500" spans="1:41">
      <c r="A500" s="9" t="s">
        <v>47</v>
      </c>
      <c r="B500" s="9" t="s">
        <v>41</v>
      </c>
      <c r="C500" s="9" t="s">
        <v>282</v>
      </c>
      <c r="D500" s="9" t="s">
        <v>330</v>
      </c>
      <c r="E500" s="9" t="s">
        <v>73</v>
      </c>
      <c r="F500" s="9" t="s">
        <v>74</v>
      </c>
      <c r="G500" s="9" t="s">
        <v>28</v>
      </c>
      <c r="H500" s="9" t="s">
        <v>75</v>
      </c>
      <c r="I500" s="9">
        <v>4000010102</v>
      </c>
      <c r="J500" s="10">
        <v>98</v>
      </c>
      <c r="K500" s="10"/>
      <c r="L500" s="10">
        <v>150</v>
      </c>
      <c r="M500" s="11">
        <v>0</v>
      </c>
      <c r="N500" s="10">
        <v>0</v>
      </c>
      <c r="O500" s="10">
        <v>150</v>
      </c>
      <c r="P500" s="11">
        <v>0.26190000000000002</v>
      </c>
      <c r="Q500" s="10">
        <v>572.65</v>
      </c>
      <c r="R500" s="10">
        <f t="shared" si="138"/>
        <v>406</v>
      </c>
      <c r="S500" s="10">
        <v>151.93</v>
      </c>
      <c r="T500" s="9" t="s">
        <v>76</v>
      </c>
      <c r="U500" s="10">
        <v>580</v>
      </c>
      <c r="V500" s="10">
        <f t="shared" si="127"/>
        <v>406</v>
      </c>
      <c r="W500" s="166">
        <v>490110</v>
      </c>
      <c r="X500" s="12" t="s">
        <v>29</v>
      </c>
      <c r="Y500" s="12">
        <f t="shared" si="128"/>
        <v>151.93</v>
      </c>
      <c r="Z500" s="13">
        <f t="shared" si="129"/>
        <v>151.93</v>
      </c>
      <c r="AA500" s="13">
        <f t="shared" si="130"/>
        <v>151.93</v>
      </c>
      <c r="AB500" s="13">
        <f t="shared" si="131"/>
        <v>98</v>
      </c>
      <c r="AC500" s="13">
        <f t="shared" si="132"/>
        <v>53.930000000000007</v>
      </c>
      <c r="AD500" s="14">
        <f t="shared" si="133"/>
        <v>0.35496610281050489</v>
      </c>
      <c r="AE500" s="14">
        <f t="shared" si="134"/>
        <v>0.5503061224489797</v>
      </c>
      <c r="AF500" s="13" t="str">
        <f>IF(AD500&gt;=Assumptions!$B$3,"OK","Review")</f>
        <v>OK</v>
      </c>
      <c r="AG500" s="13">
        <f>IFERROR(IF(Assumptions!$B$13="Cost Price",AB500,AA500)*SUMIF(Assumptions!$A$6:$A$10,X500,Assumptions!$B$6:$B$10),0)</f>
        <v>12.154400000000001</v>
      </c>
      <c r="AH500" s="13">
        <f>IFERROR(IF(Assumptions!$B$13="Cost Price",AB500,AA500)*SUMIF(Assumptions!$A$6:$A$10,X500,Assumptions!$C$6:$C$10),0)</f>
        <v>7.5965000000000007</v>
      </c>
      <c r="AI500" s="13">
        <f>IFERROR(IF(Assumptions!$B$13="Cost Price",AB500,AA500)*SUMIF(Assumptions!$A$6:$A$10,X500,Assumptions!$D$6:$D$10),0)</f>
        <v>15.193000000000001</v>
      </c>
      <c r="AJ500" s="13">
        <v>15.193000000000001</v>
      </c>
      <c r="AK500" s="13">
        <f t="shared" si="135"/>
        <v>50.136899999999997</v>
      </c>
      <c r="AL500" s="14">
        <v>0.33</v>
      </c>
      <c r="AM500" s="13">
        <f t="shared" si="136"/>
        <v>3.7931000000000097</v>
      </c>
      <c r="AN500" s="14">
        <f t="shared" si="137"/>
        <v>2.49661028105049E-2</v>
      </c>
      <c r="AO500" t="str">
        <f>IF(AN500&gt;=Assumptions!$B$3,"OK","Review")</f>
        <v>Review</v>
      </c>
    </row>
    <row r="501" spans="1:41">
      <c r="A501" s="9" t="s">
        <v>47</v>
      </c>
      <c r="B501" s="9" t="s">
        <v>41</v>
      </c>
      <c r="C501" s="9" t="s">
        <v>282</v>
      </c>
      <c r="D501" s="9" t="s">
        <v>331</v>
      </c>
      <c r="E501" s="9" t="s">
        <v>73</v>
      </c>
      <c r="F501" s="9" t="s">
        <v>74</v>
      </c>
      <c r="G501" s="9" t="s">
        <v>28</v>
      </c>
      <c r="H501" s="9" t="s">
        <v>75</v>
      </c>
      <c r="I501" s="9">
        <v>4000010053</v>
      </c>
      <c r="J501" s="10">
        <v>254</v>
      </c>
      <c r="K501" s="10"/>
      <c r="L501" s="10">
        <v>254</v>
      </c>
      <c r="M501" s="11">
        <v>0</v>
      </c>
      <c r="N501" s="10">
        <v>0</v>
      </c>
      <c r="O501" s="10">
        <v>254</v>
      </c>
      <c r="P501" s="11">
        <v>0.44359999999999999</v>
      </c>
      <c r="Q501" s="10">
        <v>572.65</v>
      </c>
      <c r="R501" s="10">
        <f t="shared" si="138"/>
        <v>406</v>
      </c>
      <c r="S501" s="10">
        <v>257.26</v>
      </c>
      <c r="T501" s="9" t="s">
        <v>76</v>
      </c>
      <c r="U501" s="10">
        <v>580</v>
      </c>
      <c r="V501" s="10">
        <f t="shared" si="127"/>
        <v>406</v>
      </c>
      <c r="W501" s="166">
        <v>490110</v>
      </c>
      <c r="X501" s="12" t="s">
        <v>29</v>
      </c>
      <c r="Y501" s="12">
        <f t="shared" si="128"/>
        <v>257.26</v>
      </c>
      <c r="Z501" s="13">
        <f t="shared" si="129"/>
        <v>257.26</v>
      </c>
      <c r="AA501" s="13">
        <f t="shared" si="130"/>
        <v>257.26</v>
      </c>
      <c r="AB501" s="13">
        <f t="shared" si="131"/>
        <v>254</v>
      </c>
      <c r="AC501" s="13">
        <f t="shared" si="132"/>
        <v>3.2599999999999909</v>
      </c>
      <c r="AD501" s="14">
        <f t="shared" si="133"/>
        <v>1.267200497551112E-2</v>
      </c>
      <c r="AE501" s="14">
        <f t="shared" si="134"/>
        <v>1.2834645669291303E-2</v>
      </c>
      <c r="AF501" s="13" t="str">
        <f>IF(AD501&gt;=Assumptions!$B$3,"OK","Review")</f>
        <v>Review</v>
      </c>
      <c r="AG501" s="13">
        <f>IFERROR(IF(Assumptions!$B$13="Cost Price",AB501,AA501)*SUMIF(Assumptions!$A$6:$A$10,X501,Assumptions!$B$6:$B$10),0)</f>
        <v>20.5808</v>
      </c>
      <c r="AH501" s="13">
        <f>IFERROR(IF(Assumptions!$B$13="Cost Price",AB501,AA501)*SUMIF(Assumptions!$A$6:$A$10,X501,Assumptions!$C$6:$C$10),0)</f>
        <v>12.863</v>
      </c>
      <c r="AI501" s="13">
        <f>IFERROR(IF(Assumptions!$B$13="Cost Price",AB501,AA501)*SUMIF(Assumptions!$A$6:$A$10,X501,Assumptions!$D$6:$D$10),0)</f>
        <v>25.725999999999999</v>
      </c>
      <c r="AJ501" s="13">
        <v>25.725999999999999</v>
      </c>
      <c r="AK501" s="13">
        <f t="shared" si="135"/>
        <v>84.895799999999994</v>
      </c>
      <c r="AL501" s="14">
        <v>0.33</v>
      </c>
      <c r="AM501" s="13">
        <f t="shared" si="136"/>
        <v>-81.635800000000003</v>
      </c>
      <c r="AN501" s="14">
        <f t="shared" si="137"/>
        <v>-0.31732799502448888</v>
      </c>
      <c r="AO501" t="str">
        <f>IF(AN501&gt;=Assumptions!$B$3,"OK","Review")</f>
        <v>Review</v>
      </c>
    </row>
    <row r="502" spans="1:41">
      <c r="A502" s="9" t="s">
        <v>47</v>
      </c>
      <c r="B502" s="9" t="s">
        <v>41</v>
      </c>
      <c r="C502" s="9" t="s">
        <v>282</v>
      </c>
      <c r="D502" s="9" t="s">
        <v>332</v>
      </c>
      <c r="E502" s="9" t="s">
        <v>73</v>
      </c>
      <c r="F502" s="9" t="s">
        <v>74</v>
      </c>
      <c r="G502" s="9" t="s">
        <v>28</v>
      </c>
      <c r="H502" s="9" t="s">
        <v>84</v>
      </c>
      <c r="I502" s="9">
        <v>4000010182</v>
      </c>
      <c r="J502" s="10">
        <v>96</v>
      </c>
      <c r="K502" s="10"/>
      <c r="L502" s="10">
        <v>168.65</v>
      </c>
      <c r="M502" s="11">
        <v>0</v>
      </c>
      <c r="N502" s="10">
        <v>0</v>
      </c>
      <c r="O502" s="10">
        <v>168.65</v>
      </c>
      <c r="P502" s="11">
        <v>0.29449999999999998</v>
      </c>
      <c r="Q502" s="10">
        <v>572.65</v>
      </c>
      <c r="R502" s="10">
        <f t="shared" si="138"/>
        <v>406</v>
      </c>
      <c r="S502" s="10">
        <v>170.81</v>
      </c>
      <c r="T502" s="9" t="s">
        <v>76</v>
      </c>
      <c r="U502" s="10">
        <v>580</v>
      </c>
      <c r="V502" s="10">
        <f t="shared" si="127"/>
        <v>406</v>
      </c>
      <c r="W502" s="166">
        <v>490110</v>
      </c>
      <c r="X502" s="12" t="s">
        <v>29</v>
      </c>
      <c r="Y502" s="12">
        <f t="shared" si="128"/>
        <v>170.81</v>
      </c>
      <c r="Z502" s="13">
        <f t="shared" si="129"/>
        <v>170.81</v>
      </c>
      <c r="AA502" s="13">
        <f t="shared" si="130"/>
        <v>170.81</v>
      </c>
      <c r="AB502" s="13">
        <f t="shared" si="131"/>
        <v>96</v>
      </c>
      <c r="AC502" s="13">
        <f t="shared" si="132"/>
        <v>74.81</v>
      </c>
      <c r="AD502" s="14">
        <f t="shared" si="133"/>
        <v>0.43797201568994792</v>
      </c>
      <c r="AE502" s="14">
        <f t="shared" si="134"/>
        <v>0.77927083333333336</v>
      </c>
      <c r="AF502" s="13" t="str">
        <f>IF(AD502&gt;=Assumptions!$B$3,"OK","Review")</f>
        <v>OK</v>
      </c>
      <c r="AG502" s="13">
        <f>IFERROR(IF(Assumptions!$B$13="Cost Price",AB502,AA502)*SUMIF(Assumptions!$A$6:$A$10,X502,Assumptions!$B$6:$B$10),0)</f>
        <v>13.6648</v>
      </c>
      <c r="AH502" s="13">
        <f>IFERROR(IF(Assumptions!$B$13="Cost Price",AB502,AA502)*SUMIF(Assumptions!$A$6:$A$10,X502,Assumptions!$C$6:$C$10),0)</f>
        <v>8.5404999999999998</v>
      </c>
      <c r="AI502" s="13">
        <f>IFERROR(IF(Assumptions!$B$13="Cost Price",AB502,AA502)*SUMIF(Assumptions!$A$6:$A$10,X502,Assumptions!$D$6:$D$10),0)</f>
        <v>17.081</v>
      </c>
      <c r="AJ502" s="13">
        <v>17.081</v>
      </c>
      <c r="AK502" s="13">
        <f t="shared" si="135"/>
        <v>56.3673</v>
      </c>
      <c r="AL502" s="14">
        <v>0.33</v>
      </c>
      <c r="AM502" s="13">
        <f t="shared" si="136"/>
        <v>18.442700000000002</v>
      </c>
      <c r="AN502" s="14">
        <f t="shared" si="137"/>
        <v>0.10797201568994791</v>
      </c>
      <c r="AO502" t="str">
        <f>IF(AN502&gt;=Assumptions!$B$3,"OK","Review")</f>
        <v>Review</v>
      </c>
    </row>
    <row r="503" spans="1:41">
      <c r="A503" s="9" t="s">
        <v>47</v>
      </c>
      <c r="B503" s="9" t="s">
        <v>41</v>
      </c>
      <c r="C503" s="9" t="s">
        <v>271</v>
      </c>
      <c r="D503" s="9" t="s">
        <v>333</v>
      </c>
      <c r="E503" s="9" t="s">
        <v>73</v>
      </c>
      <c r="F503" s="9" t="s">
        <v>74</v>
      </c>
      <c r="G503" s="9" t="s">
        <v>28</v>
      </c>
      <c r="H503" s="9" t="s">
        <v>75</v>
      </c>
      <c r="I503" s="9">
        <v>4000010054</v>
      </c>
      <c r="J503" s="10">
        <v>71.11</v>
      </c>
      <c r="K503" s="10"/>
      <c r="L503" s="10">
        <v>71.11</v>
      </c>
      <c r="M503" s="11">
        <v>0</v>
      </c>
      <c r="N503" s="10">
        <v>0</v>
      </c>
      <c r="O503" s="10">
        <v>71.11</v>
      </c>
      <c r="P503" s="11">
        <v>1</v>
      </c>
      <c r="Q503" s="10">
        <v>71.11</v>
      </c>
      <c r="R503" s="10">
        <f t="shared" si="138"/>
        <v>140</v>
      </c>
      <c r="S503" s="10">
        <v>200</v>
      </c>
      <c r="T503" s="9" t="s">
        <v>76</v>
      </c>
      <c r="U503" s="10">
        <v>200</v>
      </c>
      <c r="V503" s="10">
        <f t="shared" si="127"/>
        <v>140</v>
      </c>
      <c r="W503" s="166">
        <v>490110</v>
      </c>
      <c r="X503" s="12" t="s">
        <v>29</v>
      </c>
      <c r="Y503" s="12">
        <f t="shared" si="128"/>
        <v>200</v>
      </c>
      <c r="Z503" s="13">
        <f t="shared" si="129"/>
        <v>200</v>
      </c>
      <c r="AA503" s="13">
        <f t="shared" si="130"/>
        <v>200</v>
      </c>
      <c r="AB503" s="13">
        <f t="shared" si="131"/>
        <v>71.11</v>
      </c>
      <c r="AC503" s="13">
        <f t="shared" si="132"/>
        <v>128.88999999999999</v>
      </c>
      <c r="AD503" s="14">
        <f t="shared" si="133"/>
        <v>0.64444999999999997</v>
      </c>
      <c r="AE503" s="14">
        <f t="shared" si="134"/>
        <v>1.8125439459991561</v>
      </c>
      <c r="AF503" s="13" t="str">
        <f>IF(AD503&gt;=Assumptions!$B$3,"OK","Review")</f>
        <v>OK</v>
      </c>
      <c r="AG503" s="13">
        <f>IFERROR(IF(Assumptions!$B$13="Cost Price",AB503,AA503)*SUMIF(Assumptions!$A$6:$A$10,X503,Assumptions!$B$6:$B$10),0)</f>
        <v>16</v>
      </c>
      <c r="AH503" s="13">
        <f>IFERROR(IF(Assumptions!$B$13="Cost Price",AB503,AA503)*SUMIF(Assumptions!$A$6:$A$10,X503,Assumptions!$C$6:$C$10),0)</f>
        <v>10</v>
      </c>
      <c r="AI503" s="13">
        <f>IFERROR(IF(Assumptions!$B$13="Cost Price",AB503,AA503)*SUMIF(Assumptions!$A$6:$A$10,X503,Assumptions!$D$6:$D$10),0)</f>
        <v>20</v>
      </c>
      <c r="AJ503" s="13">
        <v>20</v>
      </c>
      <c r="AK503" s="13">
        <f t="shared" si="135"/>
        <v>66</v>
      </c>
      <c r="AL503" s="14">
        <v>0.33</v>
      </c>
      <c r="AM503" s="13">
        <f t="shared" si="136"/>
        <v>62.889999999999986</v>
      </c>
      <c r="AN503" s="14">
        <f t="shared" si="137"/>
        <v>0.31444999999999995</v>
      </c>
      <c r="AO503" t="str">
        <f>IF(AN503&gt;=Assumptions!$B$3,"OK","Review")</f>
        <v>OK</v>
      </c>
    </row>
    <row r="504" spans="1:41">
      <c r="A504" s="9" t="s">
        <v>47</v>
      </c>
      <c r="B504" s="9" t="s">
        <v>41</v>
      </c>
      <c r="C504" s="9" t="s">
        <v>273</v>
      </c>
      <c r="D504" s="9" t="s">
        <v>334</v>
      </c>
      <c r="E504" s="9" t="s">
        <v>73</v>
      </c>
      <c r="F504" s="9" t="s">
        <v>74</v>
      </c>
      <c r="G504" s="9" t="s">
        <v>28</v>
      </c>
      <c r="H504" s="9" t="s">
        <v>75</v>
      </c>
      <c r="I504" s="9">
        <v>4000001489</v>
      </c>
      <c r="J504" s="10">
        <v>202.4</v>
      </c>
      <c r="K504" s="10"/>
      <c r="L504" s="10">
        <v>202.4</v>
      </c>
      <c r="M504" s="11">
        <v>0</v>
      </c>
      <c r="N504" s="10">
        <v>0</v>
      </c>
      <c r="O504" s="10">
        <v>202.4</v>
      </c>
      <c r="P504" s="11">
        <v>0.60529999999999995</v>
      </c>
      <c r="Q504" s="10">
        <v>334.4</v>
      </c>
      <c r="R504" s="10">
        <f t="shared" si="138"/>
        <v>644</v>
      </c>
      <c r="S504" s="10">
        <v>556.84</v>
      </c>
      <c r="T504" s="9" t="s">
        <v>76</v>
      </c>
      <c r="U504" s="10">
        <v>920</v>
      </c>
      <c r="V504" s="10">
        <f t="shared" si="127"/>
        <v>644</v>
      </c>
      <c r="W504" s="166">
        <v>490110</v>
      </c>
      <c r="X504" s="12" t="s">
        <v>29</v>
      </c>
      <c r="Y504" s="12">
        <f t="shared" si="128"/>
        <v>556.84</v>
      </c>
      <c r="Z504" s="13">
        <f t="shared" si="129"/>
        <v>556.84</v>
      </c>
      <c r="AA504" s="13">
        <f t="shared" si="130"/>
        <v>556.84</v>
      </c>
      <c r="AB504" s="13">
        <f t="shared" si="131"/>
        <v>202.4</v>
      </c>
      <c r="AC504" s="13">
        <f t="shared" si="132"/>
        <v>354.44000000000005</v>
      </c>
      <c r="AD504" s="14">
        <f t="shared" si="133"/>
        <v>0.63652036491631359</v>
      </c>
      <c r="AE504" s="14">
        <f t="shared" si="134"/>
        <v>1.7511857707509884</v>
      </c>
      <c r="AF504" s="13" t="str">
        <f>IF(AD504&gt;=Assumptions!$B$3,"OK","Review")</f>
        <v>OK</v>
      </c>
      <c r="AG504" s="13">
        <f>IFERROR(IF(Assumptions!$B$13="Cost Price",AB504,AA504)*SUMIF(Assumptions!$A$6:$A$10,X504,Assumptions!$B$6:$B$10),0)</f>
        <v>44.547200000000004</v>
      </c>
      <c r="AH504" s="13">
        <f>IFERROR(IF(Assumptions!$B$13="Cost Price",AB504,AA504)*SUMIF(Assumptions!$A$6:$A$10,X504,Assumptions!$C$6:$C$10),0)</f>
        <v>27.842000000000002</v>
      </c>
      <c r="AI504" s="13">
        <f>IFERROR(IF(Assumptions!$B$13="Cost Price",AB504,AA504)*SUMIF(Assumptions!$A$6:$A$10,X504,Assumptions!$D$6:$D$10),0)</f>
        <v>55.684000000000005</v>
      </c>
      <c r="AJ504" s="13">
        <v>55.684000000000005</v>
      </c>
      <c r="AK504" s="13">
        <f t="shared" si="135"/>
        <v>183.75720000000001</v>
      </c>
      <c r="AL504" s="14">
        <v>0.33</v>
      </c>
      <c r="AM504" s="13">
        <f t="shared" si="136"/>
        <v>170.68280000000004</v>
      </c>
      <c r="AN504" s="14">
        <f t="shared" si="137"/>
        <v>0.30652036491631357</v>
      </c>
      <c r="AO504" t="str">
        <f>IF(AN504&gt;=Assumptions!$B$3,"OK","Review")</f>
        <v>OK</v>
      </c>
    </row>
    <row r="505" spans="1:41">
      <c r="A505" s="9" t="s">
        <v>47</v>
      </c>
      <c r="B505" s="9" t="s">
        <v>41</v>
      </c>
      <c r="C505" s="9" t="s">
        <v>273</v>
      </c>
      <c r="D505" s="9" t="s">
        <v>335</v>
      </c>
      <c r="E505" s="9" t="s">
        <v>73</v>
      </c>
      <c r="F505" s="9" t="s">
        <v>74</v>
      </c>
      <c r="G505" s="9" t="s">
        <v>28</v>
      </c>
      <c r="H505" s="9" t="s">
        <v>84</v>
      </c>
      <c r="I505" s="9">
        <v>4000001480</v>
      </c>
      <c r="J505" s="10">
        <v>132</v>
      </c>
      <c r="K505" s="10"/>
      <c r="L505" s="10">
        <v>132</v>
      </c>
      <c r="M505" s="11">
        <v>0</v>
      </c>
      <c r="N505" s="10">
        <v>0</v>
      </c>
      <c r="O505" s="10">
        <v>132</v>
      </c>
      <c r="P505" s="11">
        <v>0.3947</v>
      </c>
      <c r="Q505" s="10">
        <v>334.4</v>
      </c>
      <c r="R505" s="10">
        <f t="shared" si="138"/>
        <v>644</v>
      </c>
      <c r="S505" s="10">
        <v>363.16</v>
      </c>
      <c r="T505" s="9" t="s">
        <v>76</v>
      </c>
      <c r="U505" s="10">
        <v>920</v>
      </c>
      <c r="V505" s="10">
        <f t="shared" si="127"/>
        <v>644</v>
      </c>
      <c r="W505" s="166">
        <v>490110</v>
      </c>
      <c r="X505" s="12" t="s">
        <v>29</v>
      </c>
      <c r="Y505" s="12">
        <f t="shared" si="128"/>
        <v>363.16</v>
      </c>
      <c r="Z505" s="13">
        <f t="shared" si="129"/>
        <v>363.16</v>
      </c>
      <c r="AA505" s="13">
        <f t="shared" si="130"/>
        <v>363.16</v>
      </c>
      <c r="AB505" s="13">
        <f t="shared" si="131"/>
        <v>132</v>
      </c>
      <c r="AC505" s="13">
        <f t="shared" si="132"/>
        <v>231.16000000000003</v>
      </c>
      <c r="AD505" s="14">
        <f t="shared" si="133"/>
        <v>0.63652384623857261</v>
      </c>
      <c r="AE505" s="14">
        <f t="shared" si="134"/>
        <v>1.7512121212121214</v>
      </c>
      <c r="AF505" s="13" t="str">
        <f>IF(AD505&gt;=Assumptions!$B$3,"OK","Review")</f>
        <v>OK</v>
      </c>
      <c r="AG505" s="13">
        <f>IFERROR(IF(Assumptions!$B$13="Cost Price",AB505,AA505)*SUMIF(Assumptions!$A$6:$A$10,X505,Assumptions!$B$6:$B$10),0)</f>
        <v>29.052800000000001</v>
      </c>
      <c r="AH505" s="13">
        <f>IFERROR(IF(Assumptions!$B$13="Cost Price",AB505,AA505)*SUMIF(Assumptions!$A$6:$A$10,X505,Assumptions!$C$6:$C$10),0)</f>
        <v>18.158000000000001</v>
      </c>
      <c r="AI505" s="13">
        <f>IFERROR(IF(Assumptions!$B$13="Cost Price",AB505,AA505)*SUMIF(Assumptions!$A$6:$A$10,X505,Assumptions!$D$6:$D$10),0)</f>
        <v>36.316000000000003</v>
      </c>
      <c r="AJ505" s="13">
        <v>36.316000000000003</v>
      </c>
      <c r="AK505" s="13">
        <f t="shared" si="135"/>
        <v>119.84280000000001</v>
      </c>
      <c r="AL505" s="14">
        <v>0.33</v>
      </c>
      <c r="AM505" s="13">
        <f t="shared" si="136"/>
        <v>111.31720000000001</v>
      </c>
      <c r="AN505" s="14">
        <f t="shared" si="137"/>
        <v>0.30652384623857254</v>
      </c>
      <c r="AO505" t="str">
        <f>IF(AN505&gt;=Assumptions!$B$3,"OK","Review")</f>
        <v>OK</v>
      </c>
    </row>
    <row r="506" spans="1:41">
      <c r="A506" s="9" t="s">
        <v>47</v>
      </c>
      <c r="B506" s="9" t="s">
        <v>42</v>
      </c>
      <c r="C506" s="9" t="s">
        <v>261</v>
      </c>
      <c r="D506" s="9" t="s">
        <v>336</v>
      </c>
      <c r="E506" s="9" t="s">
        <v>73</v>
      </c>
      <c r="F506" s="9" t="s">
        <v>74</v>
      </c>
      <c r="G506" s="9" t="s">
        <v>28</v>
      </c>
      <c r="H506" s="9" t="s">
        <v>75</v>
      </c>
      <c r="I506" s="9">
        <v>4000010103</v>
      </c>
      <c r="J506" s="10">
        <v>44.25</v>
      </c>
      <c r="K506" s="10"/>
      <c r="L506" s="10">
        <v>44.25</v>
      </c>
      <c r="M506" s="11">
        <v>0</v>
      </c>
      <c r="N506" s="10">
        <v>0</v>
      </c>
      <c r="O506" s="10">
        <v>44.25</v>
      </c>
      <c r="P506" s="11">
        <v>0.5</v>
      </c>
      <c r="Q506" s="10">
        <v>88.5</v>
      </c>
      <c r="R506" s="10">
        <f t="shared" si="138"/>
        <v>350</v>
      </c>
      <c r="S506" s="10">
        <v>250</v>
      </c>
      <c r="T506" s="9" t="s">
        <v>76</v>
      </c>
      <c r="U506" s="10">
        <v>500</v>
      </c>
      <c r="V506" s="10">
        <f t="shared" si="127"/>
        <v>350</v>
      </c>
      <c r="W506" s="166">
        <v>490110</v>
      </c>
      <c r="X506" s="12" t="s">
        <v>29</v>
      </c>
      <c r="Y506" s="12">
        <f t="shared" si="128"/>
        <v>250</v>
      </c>
      <c r="Z506" s="13">
        <f t="shared" si="129"/>
        <v>250</v>
      </c>
      <c r="AA506" s="13">
        <f t="shared" si="130"/>
        <v>250</v>
      </c>
      <c r="AB506" s="13">
        <f t="shared" si="131"/>
        <v>44.25</v>
      </c>
      <c r="AC506" s="13">
        <f t="shared" si="132"/>
        <v>205.75</v>
      </c>
      <c r="AD506" s="14">
        <f t="shared" si="133"/>
        <v>0.82299999999999995</v>
      </c>
      <c r="AE506" s="14">
        <f t="shared" si="134"/>
        <v>4.6497175141242941</v>
      </c>
      <c r="AF506" s="13" t="str">
        <f>IF(AD506&gt;=Assumptions!$B$3,"OK","Review")</f>
        <v>OK</v>
      </c>
      <c r="AG506" s="13">
        <f>IFERROR(IF(Assumptions!$B$13="Cost Price",AB506,AA506)*SUMIF(Assumptions!$A$6:$A$10,X506,Assumptions!$B$6:$B$10),0)</f>
        <v>20</v>
      </c>
      <c r="AH506" s="13">
        <f>IFERROR(IF(Assumptions!$B$13="Cost Price",AB506,AA506)*SUMIF(Assumptions!$A$6:$A$10,X506,Assumptions!$C$6:$C$10),0)</f>
        <v>12.5</v>
      </c>
      <c r="AI506" s="13">
        <f>IFERROR(IF(Assumptions!$B$13="Cost Price",AB506,AA506)*SUMIF(Assumptions!$A$6:$A$10,X506,Assumptions!$D$6:$D$10),0)</f>
        <v>25</v>
      </c>
      <c r="AJ506" s="13">
        <v>25</v>
      </c>
      <c r="AK506" s="13">
        <f t="shared" si="135"/>
        <v>82.5</v>
      </c>
      <c r="AL506" s="14">
        <v>0.33</v>
      </c>
      <c r="AM506" s="13">
        <f t="shared" si="136"/>
        <v>123.25</v>
      </c>
      <c r="AN506" s="14">
        <f t="shared" si="137"/>
        <v>0.49299999999999999</v>
      </c>
      <c r="AO506" t="str">
        <f>IF(AN506&gt;=Assumptions!$B$3,"OK","Review")</f>
        <v>OK</v>
      </c>
    </row>
    <row r="507" spans="1:41">
      <c r="A507" s="9" t="s">
        <v>47</v>
      </c>
      <c r="B507" s="9" t="s">
        <v>42</v>
      </c>
      <c r="C507" s="9" t="s">
        <v>261</v>
      </c>
      <c r="D507" s="9" t="s">
        <v>337</v>
      </c>
      <c r="E507" s="9" t="s">
        <v>73</v>
      </c>
      <c r="F507" s="9" t="s">
        <v>74</v>
      </c>
      <c r="G507" s="9" t="s">
        <v>28</v>
      </c>
      <c r="H507" s="9" t="s">
        <v>84</v>
      </c>
      <c r="I507" s="9">
        <v>4000010183</v>
      </c>
      <c r="J507" s="10">
        <v>44.25</v>
      </c>
      <c r="K507" s="10"/>
      <c r="L507" s="10">
        <v>44.25</v>
      </c>
      <c r="M507" s="11">
        <v>0</v>
      </c>
      <c r="N507" s="10">
        <v>0</v>
      </c>
      <c r="O507" s="10">
        <v>44.25</v>
      </c>
      <c r="P507" s="11">
        <v>0.5</v>
      </c>
      <c r="Q507" s="10">
        <v>88.5</v>
      </c>
      <c r="R507" s="10">
        <f t="shared" si="138"/>
        <v>350</v>
      </c>
      <c r="S507" s="10">
        <v>250</v>
      </c>
      <c r="T507" s="9" t="s">
        <v>76</v>
      </c>
      <c r="U507" s="10">
        <v>500</v>
      </c>
      <c r="V507" s="10">
        <f t="shared" si="127"/>
        <v>350</v>
      </c>
      <c r="W507" s="166">
        <v>490110</v>
      </c>
      <c r="X507" s="12" t="s">
        <v>29</v>
      </c>
      <c r="Y507" s="12">
        <f t="shared" si="128"/>
        <v>250</v>
      </c>
      <c r="Z507" s="13">
        <f t="shared" si="129"/>
        <v>250</v>
      </c>
      <c r="AA507" s="13">
        <f t="shared" si="130"/>
        <v>250</v>
      </c>
      <c r="AB507" s="13">
        <f t="shared" si="131"/>
        <v>44.25</v>
      </c>
      <c r="AC507" s="13">
        <f t="shared" si="132"/>
        <v>205.75</v>
      </c>
      <c r="AD507" s="14">
        <f t="shared" si="133"/>
        <v>0.82299999999999995</v>
      </c>
      <c r="AE507" s="14">
        <f t="shared" si="134"/>
        <v>4.6497175141242941</v>
      </c>
      <c r="AF507" s="13" t="str">
        <f>IF(AD507&gt;=Assumptions!$B$3,"OK","Review")</f>
        <v>OK</v>
      </c>
      <c r="AG507" s="13">
        <f>IFERROR(IF(Assumptions!$B$13="Cost Price",AB507,AA507)*SUMIF(Assumptions!$A$6:$A$10,X507,Assumptions!$B$6:$B$10),0)</f>
        <v>20</v>
      </c>
      <c r="AH507" s="13">
        <f>IFERROR(IF(Assumptions!$B$13="Cost Price",AB507,AA507)*SUMIF(Assumptions!$A$6:$A$10,X507,Assumptions!$C$6:$C$10),0)</f>
        <v>12.5</v>
      </c>
      <c r="AI507" s="13">
        <f>IFERROR(IF(Assumptions!$B$13="Cost Price",AB507,AA507)*SUMIF(Assumptions!$A$6:$A$10,X507,Assumptions!$D$6:$D$10),0)</f>
        <v>25</v>
      </c>
      <c r="AJ507" s="13">
        <v>25</v>
      </c>
      <c r="AK507" s="13">
        <f t="shared" si="135"/>
        <v>82.5</v>
      </c>
      <c r="AL507" s="14">
        <v>0.33</v>
      </c>
      <c r="AM507" s="13">
        <f t="shared" si="136"/>
        <v>123.25</v>
      </c>
      <c r="AN507" s="14">
        <f t="shared" si="137"/>
        <v>0.49299999999999999</v>
      </c>
      <c r="AO507" t="str">
        <f>IF(AN507&gt;=Assumptions!$B$3,"OK","Review")</f>
        <v>OK</v>
      </c>
    </row>
    <row r="508" spans="1:41">
      <c r="A508" s="9" t="s">
        <v>47</v>
      </c>
      <c r="B508" s="9" t="s">
        <v>42</v>
      </c>
      <c r="C508" s="9" t="s">
        <v>264</v>
      </c>
      <c r="D508" s="9" t="s">
        <v>338</v>
      </c>
      <c r="E508" s="9" t="s">
        <v>73</v>
      </c>
      <c r="F508" s="9" t="s">
        <v>74</v>
      </c>
      <c r="G508" s="9" t="s">
        <v>28</v>
      </c>
      <c r="H508" s="9" t="s">
        <v>75</v>
      </c>
      <c r="I508" s="9">
        <v>4000010060</v>
      </c>
      <c r="J508" s="10">
        <v>57.35</v>
      </c>
      <c r="K508" s="10"/>
      <c r="L508" s="10">
        <v>57.35</v>
      </c>
      <c r="M508" s="11">
        <v>0</v>
      </c>
      <c r="N508" s="10">
        <v>0</v>
      </c>
      <c r="O508" s="10">
        <v>57.35</v>
      </c>
      <c r="P508" s="11">
        <v>1</v>
      </c>
      <c r="Q508" s="10">
        <v>57.35</v>
      </c>
      <c r="R508" s="10">
        <f t="shared" si="138"/>
        <v>262.5</v>
      </c>
      <c r="S508" s="10">
        <v>375</v>
      </c>
      <c r="T508" s="9" t="s">
        <v>76</v>
      </c>
      <c r="U508" s="10">
        <v>375</v>
      </c>
      <c r="V508" s="10">
        <f t="shared" si="127"/>
        <v>262.5</v>
      </c>
      <c r="W508" s="166">
        <v>490110</v>
      </c>
      <c r="X508" s="12" t="s">
        <v>29</v>
      </c>
      <c r="Y508" s="12">
        <f t="shared" si="128"/>
        <v>375</v>
      </c>
      <c r="Z508" s="13">
        <f t="shared" si="129"/>
        <v>375</v>
      </c>
      <c r="AA508" s="13">
        <f t="shared" si="130"/>
        <v>375</v>
      </c>
      <c r="AB508" s="13">
        <f t="shared" si="131"/>
        <v>57.35</v>
      </c>
      <c r="AC508" s="13">
        <f t="shared" si="132"/>
        <v>317.64999999999998</v>
      </c>
      <c r="AD508" s="14">
        <f t="shared" si="133"/>
        <v>0.84706666666666663</v>
      </c>
      <c r="AE508" s="14">
        <f t="shared" si="134"/>
        <v>5.5387968613775058</v>
      </c>
      <c r="AF508" s="13" t="str">
        <f>IF(AD508&gt;=Assumptions!$B$3,"OK","Review")</f>
        <v>OK</v>
      </c>
      <c r="AG508" s="13">
        <f>IFERROR(IF(Assumptions!$B$13="Cost Price",AB508,AA508)*SUMIF(Assumptions!$A$6:$A$10,X508,Assumptions!$B$6:$B$10),0)</f>
        <v>30</v>
      </c>
      <c r="AH508" s="13">
        <f>IFERROR(IF(Assumptions!$B$13="Cost Price",AB508,AA508)*SUMIF(Assumptions!$A$6:$A$10,X508,Assumptions!$C$6:$C$10),0)</f>
        <v>18.75</v>
      </c>
      <c r="AI508" s="13">
        <f>IFERROR(IF(Assumptions!$B$13="Cost Price",AB508,AA508)*SUMIF(Assumptions!$A$6:$A$10,X508,Assumptions!$D$6:$D$10),0)</f>
        <v>37.5</v>
      </c>
      <c r="AJ508" s="13">
        <v>37.5</v>
      </c>
      <c r="AK508" s="13">
        <f t="shared" si="135"/>
        <v>123.75</v>
      </c>
      <c r="AL508" s="14">
        <v>0.33</v>
      </c>
      <c r="AM508" s="13">
        <f t="shared" si="136"/>
        <v>193.89999999999998</v>
      </c>
      <c r="AN508" s="14">
        <f t="shared" si="137"/>
        <v>0.51706666666666656</v>
      </c>
      <c r="AO508" t="str">
        <f>IF(AN508&gt;=Assumptions!$B$3,"OK","Review")</f>
        <v>OK</v>
      </c>
    </row>
    <row r="509" spans="1:41">
      <c r="A509" s="9" t="s">
        <v>47</v>
      </c>
      <c r="B509" s="9" t="s">
        <v>42</v>
      </c>
      <c r="C509" s="9" t="s">
        <v>282</v>
      </c>
      <c r="D509" s="9" t="s">
        <v>339</v>
      </c>
      <c r="E509" s="9" t="s">
        <v>73</v>
      </c>
      <c r="F509" s="9" t="s">
        <v>74</v>
      </c>
      <c r="G509" s="9" t="s">
        <v>28</v>
      </c>
      <c r="H509" s="9" t="s">
        <v>75</v>
      </c>
      <c r="I509" s="9">
        <v>4000010104</v>
      </c>
      <c r="J509" s="10">
        <v>178</v>
      </c>
      <c r="K509" s="10"/>
      <c r="L509" s="10">
        <v>178</v>
      </c>
      <c r="M509" s="11">
        <v>0</v>
      </c>
      <c r="N509" s="10">
        <v>0</v>
      </c>
      <c r="O509" s="10">
        <v>178</v>
      </c>
      <c r="P509" s="11">
        <v>0.29870000000000002</v>
      </c>
      <c r="Q509" s="10">
        <v>596</v>
      </c>
      <c r="R509" s="10">
        <f t="shared" si="138"/>
        <v>406</v>
      </c>
      <c r="S509" s="10">
        <v>173.22</v>
      </c>
      <c r="T509" s="9" t="s">
        <v>76</v>
      </c>
      <c r="U509" s="10">
        <v>580</v>
      </c>
      <c r="V509" s="10">
        <f t="shared" si="127"/>
        <v>406</v>
      </c>
      <c r="W509" s="166">
        <v>490110</v>
      </c>
      <c r="X509" s="12" t="s">
        <v>29</v>
      </c>
      <c r="Y509" s="12">
        <f t="shared" si="128"/>
        <v>173.22</v>
      </c>
      <c r="Z509" s="13">
        <f t="shared" si="129"/>
        <v>173.22</v>
      </c>
      <c r="AA509" s="13">
        <f t="shared" si="130"/>
        <v>173.22</v>
      </c>
      <c r="AB509" s="13">
        <f t="shared" si="131"/>
        <v>178</v>
      </c>
      <c r="AC509" s="13">
        <f t="shared" si="132"/>
        <v>-4.7800000000000011</v>
      </c>
      <c r="AD509" s="14">
        <f t="shared" si="133"/>
        <v>-2.7594965939267989E-2</v>
      </c>
      <c r="AE509" s="14">
        <f t="shared" si="134"/>
        <v>-2.6853932584269668E-2</v>
      </c>
      <c r="AF509" s="13" t="str">
        <f>IF(AD509&gt;=Assumptions!$B$3,"OK","Review")</f>
        <v>Review</v>
      </c>
      <c r="AG509" s="13">
        <f>IFERROR(IF(Assumptions!$B$13="Cost Price",AB509,AA509)*SUMIF(Assumptions!$A$6:$A$10,X509,Assumptions!$B$6:$B$10),0)</f>
        <v>13.8576</v>
      </c>
      <c r="AH509" s="13">
        <f>IFERROR(IF(Assumptions!$B$13="Cost Price",AB509,AA509)*SUMIF(Assumptions!$A$6:$A$10,X509,Assumptions!$C$6:$C$10),0)</f>
        <v>8.6609999999999996</v>
      </c>
      <c r="AI509" s="13">
        <f>IFERROR(IF(Assumptions!$B$13="Cost Price",AB509,AA509)*SUMIF(Assumptions!$A$6:$A$10,X509,Assumptions!$D$6:$D$10),0)</f>
        <v>17.321999999999999</v>
      </c>
      <c r="AJ509" s="13">
        <v>17.321999999999999</v>
      </c>
      <c r="AK509" s="13">
        <f t="shared" si="135"/>
        <v>57.162599999999998</v>
      </c>
      <c r="AL509" s="14">
        <v>0.33</v>
      </c>
      <c r="AM509" s="13">
        <f t="shared" si="136"/>
        <v>-61.942599999999999</v>
      </c>
      <c r="AN509" s="14">
        <f t="shared" si="137"/>
        <v>-0.35759496593926798</v>
      </c>
      <c r="AO509" t="str">
        <f>IF(AN509&gt;=Assumptions!$B$3,"OK","Review")</f>
        <v>Review</v>
      </c>
    </row>
    <row r="510" spans="1:41">
      <c r="A510" s="9" t="s">
        <v>47</v>
      </c>
      <c r="B510" s="9" t="s">
        <v>42</v>
      </c>
      <c r="C510" s="9" t="s">
        <v>282</v>
      </c>
      <c r="D510" s="9" t="s">
        <v>340</v>
      </c>
      <c r="E510" s="9" t="s">
        <v>73</v>
      </c>
      <c r="F510" s="9" t="s">
        <v>74</v>
      </c>
      <c r="G510" s="9" t="s">
        <v>28</v>
      </c>
      <c r="H510" s="9" t="s">
        <v>75</v>
      </c>
      <c r="I510" s="9">
        <v>4000010061</v>
      </c>
      <c r="J510" s="10">
        <v>254</v>
      </c>
      <c r="K510" s="10"/>
      <c r="L510" s="10">
        <v>251</v>
      </c>
      <c r="M510" s="11">
        <v>0</v>
      </c>
      <c r="N510" s="10">
        <v>0</v>
      </c>
      <c r="O510" s="10">
        <v>251</v>
      </c>
      <c r="P510" s="11">
        <v>0.42109999999999997</v>
      </c>
      <c r="Q510" s="10">
        <v>596</v>
      </c>
      <c r="R510" s="10">
        <f t="shared" si="138"/>
        <v>406</v>
      </c>
      <c r="S510" s="10">
        <v>244.26</v>
      </c>
      <c r="T510" s="9" t="s">
        <v>76</v>
      </c>
      <c r="U510" s="10">
        <v>580</v>
      </c>
      <c r="V510" s="10">
        <f t="shared" si="127"/>
        <v>406</v>
      </c>
      <c r="W510" s="166">
        <v>490110</v>
      </c>
      <c r="X510" s="12" t="s">
        <v>29</v>
      </c>
      <c r="Y510" s="12">
        <f t="shared" si="128"/>
        <v>244.26</v>
      </c>
      <c r="Z510" s="13">
        <f t="shared" si="129"/>
        <v>244.26</v>
      </c>
      <c r="AA510" s="13">
        <f t="shared" si="130"/>
        <v>244.26</v>
      </c>
      <c r="AB510" s="13">
        <f t="shared" si="131"/>
        <v>254</v>
      </c>
      <c r="AC510" s="13">
        <f t="shared" si="132"/>
        <v>-9.7400000000000091</v>
      </c>
      <c r="AD510" s="14">
        <f t="shared" si="133"/>
        <v>-3.987554245476136E-2</v>
      </c>
      <c r="AE510" s="14">
        <f t="shared" si="134"/>
        <v>-3.8346456692913422E-2</v>
      </c>
      <c r="AF510" s="13" t="str">
        <f>IF(AD510&gt;=Assumptions!$B$3,"OK","Review")</f>
        <v>Review</v>
      </c>
      <c r="AG510" s="13">
        <f>IFERROR(IF(Assumptions!$B$13="Cost Price",AB510,AA510)*SUMIF(Assumptions!$A$6:$A$10,X510,Assumptions!$B$6:$B$10),0)</f>
        <v>19.540800000000001</v>
      </c>
      <c r="AH510" s="13">
        <f>IFERROR(IF(Assumptions!$B$13="Cost Price",AB510,AA510)*SUMIF(Assumptions!$A$6:$A$10,X510,Assumptions!$C$6:$C$10),0)</f>
        <v>12.213000000000001</v>
      </c>
      <c r="AI510" s="13">
        <f>IFERROR(IF(Assumptions!$B$13="Cost Price",AB510,AA510)*SUMIF(Assumptions!$A$6:$A$10,X510,Assumptions!$D$6:$D$10),0)</f>
        <v>24.426000000000002</v>
      </c>
      <c r="AJ510" s="13">
        <v>24.426000000000002</v>
      </c>
      <c r="AK510" s="13">
        <f t="shared" si="135"/>
        <v>80.605800000000002</v>
      </c>
      <c r="AL510" s="14">
        <v>0.33</v>
      </c>
      <c r="AM510" s="13">
        <f t="shared" si="136"/>
        <v>-90.345800000000011</v>
      </c>
      <c r="AN510" s="14">
        <f t="shared" si="137"/>
        <v>-0.3698755424547614</v>
      </c>
      <c r="AO510" t="str">
        <f>IF(AN510&gt;=Assumptions!$B$3,"OK","Review")</f>
        <v>Review</v>
      </c>
    </row>
    <row r="511" spans="1:41">
      <c r="A511" s="9" t="s">
        <v>47</v>
      </c>
      <c r="B511" s="9" t="s">
        <v>42</v>
      </c>
      <c r="C511" s="9" t="s">
        <v>282</v>
      </c>
      <c r="D511" s="9" t="s">
        <v>341</v>
      </c>
      <c r="E511" s="9" t="s">
        <v>73</v>
      </c>
      <c r="F511" s="9" t="s">
        <v>74</v>
      </c>
      <c r="G511" s="9" t="s">
        <v>28</v>
      </c>
      <c r="H511" s="9" t="s">
        <v>84</v>
      </c>
      <c r="I511" s="9">
        <v>4000010112</v>
      </c>
      <c r="J511" s="10">
        <v>167</v>
      </c>
      <c r="K511" s="10"/>
      <c r="L511" s="10">
        <v>167</v>
      </c>
      <c r="M511" s="11">
        <v>0</v>
      </c>
      <c r="N511" s="10">
        <v>0</v>
      </c>
      <c r="O511" s="10">
        <v>167</v>
      </c>
      <c r="P511" s="11">
        <v>0.2802</v>
      </c>
      <c r="Q511" s="10">
        <v>596</v>
      </c>
      <c r="R511" s="10">
        <f t="shared" si="138"/>
        <v>406</v>
      </c>
      <c r="S511" s="10">
        <v>162.52000000000001</v>
      </c>
      <c r="T511" s="9" t="s">
        <v>76</v>
      </c>
      <c r="U511" s="10">
        <v>580</v>
      </c>
      <c r="V511" s="10">
        <f t="shared" si="127"/>
        <v>406</v>
      </c>
      <c r="W511" s="166">
        <v>490110</v>
      </c>
      <c r="X511" s="12" t="s">
        <v>29</v>
      </c>
      <c r="Y511" s="12">
        <f t="shared" si="128"/>
        <v>162.52000000000001</v>
      </c>
      <c r="Z511" s="13">
        <f t="shared" si="129"/>
        <v>162.52000000000001</v>
      </c>
      <c r="AA511" s="13">
        <f t="shared" si="130"/>
        <v>162.52000000000001</v>
      </c>
      <c r="AB511" s="13">
        <f t="shared" si="131"/>
        <v>167</v>
      </c>
      <c r="AC511" s="13">
        <f t="shared" si="132"/>
        <v>-4.4799999999999898</v>
      </c>
      <c r="AD511" s="14">
        <f t="shared" si="133"/>
        <v>-2.7565838050701386E-2</v>
      </c>
      <c r="AE511" s="14">
        <f t="shared" si="134"/>
        <v>-2.6826347305389159E-2</v>
      </c>
      <c r="AF511" s="13" t="str">
        <f>IF(AD511&gt;=Assumptions!$B$3,"OK","Review")</f>
        <v>Review</v>
      </c>
      <c r="AG511" s="13">
        <f>IFERROR(IF(Assumptions!$B$13="Cost Price",AB511,AA511)*SUMIF(Assumptions!$A$6:$A$10,X511,Assumptions!$B$6:$B$10),0)</f>
        <v>13.001600000000002</v>
      </c>
      <c r="AH511" s="13">
        <f>IFERROR(IF(Assumptions!$B$13="Cost Price",AB511,AA511)*SUMIF(Assumptions!$A$6:$A$10,X511,Assumptions!$C$6:$C$10),0)</f>
        <v>8.1260000000000012</v>
      </c>
      <c r="AI511" s="13">
        <f>IFERROR(IF(Assumptions!$B$13="Cost Price",AB511,AA511)*SUMIF(Assumptions!$A$6:$A$10,X511,Assumptions!$D$6:$D$10),0)</f>
        <v>16.252000000000002</v>
      </c>
      <c r="AJ511" s="13">
        <v>16.252000000000002</v>
      </c>
      <c r="AK511" s="13">
        <f t="shared" si="135"/>
        <v>53.631600000000006</v>
      </c>
      <c r="AL511" s="14">
        <v>0.33</v>
      </c>
      <c r="AM511" s="13">
        <f t="shared" si="136"/>
        <v>-58.111599999999996</v>
      </c>
      <c r="AN511" s="14">
        <f t="shared" si="137"/>
        <v>-0.35756583805070141</v>
      </c>
      <c r="AO511" t="str">
        <f>IF(AN511&gt;=Assumptions!$B$3,"OK","Review")</f>
        <v>Review</v>
      </c>
    </row>
    <row r="512" spans="1:41">
      <c r="A512" s="9" t="s">
        <v>47</v>
      </c>
      <c r="B512" s="9" t="s">
        <v>42</v>
      </c>
      <c r="C512" s="9" t="s">
        <v>271</v>
      </c>
      <c r="D512" s="9" t="s">
        <v>342</v>
      </c>
      <c r="E512" s="9" t="s">
        <v>73</v>
      </c>
      <c r="F512" s="9" t="s">
        <v>74</v>
      </c>
      <c r="G512" s="9" t="s">
        <v>28</v>
      </c>
      <c r="H512" s="9" t="s">
        <v>75</v>
      </c>
      <c r="I512" s="9">
        <v>4000010062</v>
      </c>
      <c r="J512" s="10">
        <v>76.66</v>
      </c>
      <c r="K512" s="10"/>
      <c r="L512" s="10">
        <v>76.66</v>
      </c>
      <c r="M512" s="11">
        <v>0</v>
      </c>
      <c r="N512" s="10">
        <v>0</v>
      </c>
      <c r="O512" s="10">
        <v>76.66</v>
      </c>
      <c r="P512" s="11">
        <v>1</v>
      </c>
      <c r="Q512" s="10">
        <v>76.66</v>
      </c>
      <c r="R512" s="10">
        <f t="shared" si="138"/>
        <v>140</v>
      </c>
      <c r="S512" s="10">
        <v>200</v>
      </c>
      <c r="T512" s="9" t="s">
        <v>76</v>
      </c>
      <c r="U512" s="10">
        <v>200</v>
      </c>
      <c r="V512" s="10">
        <f t="shared" si="127"/>
        <v>140</v>
      </c>
      <c r="W512" s="166">
        <v>490110</v>
      </c>
      <c r="X512" s="12" t="s">
        <v>29</v>
      </c>
      <c r="Y512" s="12">
        <f t="shared" si="128"/>
        <v>200</v>
      </c>
      <c r="Z512" s="13">
        <f t="shared" si="129"/>
        <v>200</v>
      </c>
      <c r="AA512" s="13">
        <f t="shared" si="130"/>
        <v>200</v>
      </c>
      <c r="AB512" s="13">
        <f t="shared" si="131"/>
        <v>76.66</v>
      </c>
      <c r="AC512" s="13">
        <f t="shared" si="132"/>
        <v>123.34</v>
      </c>
      <c r="AD512" s="14">
        <f t="shared" si="133"/>
        <v>0.61670000000000003</v>
      </c>
      <c r="AE512" s="14">
        <f t="shared" si="134"/>
        <v>1.6089225150013047</v>
      </c>
      <c r="AF512" s="13" t="str">
        <f>IF(AD512&gt;=Assumptions!$B$3,"OK","Review")</f>
        <v>OK</v>
      </c>
      <c r="AG512" s="13">
        <f>IFERROR(IF(Assumptions!$B$13="Cost Price",AB512,AA512)*SUMIF(Assumptions!$A$6:$A$10,X512,Assumptions!$B$6:$B$10),0)</f>
        <v>16</v>
      </c>
      <c r="AH512" s="13">
        <f>IFERROR(IF(Assumptions!$B$13="Cost Price",AB512,AA512)*SUMIF(Assumptions!$A$6:$A$10,X512,Assumptions!$C$6:$C$10),0)</f>
        <v>10</v>
      </c>
      <c r="AI512" s="13">
        <f>IFERROR(IF(Assumptions!$B$13="Cost Price",AB512,AA512)*SUMIF(Assumptions!$A$6:$A$10,X512,Assumptions!$D$6:$D$10),0)</f>
        <v>20</v>
      </c>
      <c r="AJ512" s="13">
        <v>20</v>
      </c>
      <c r="AK512" s="13">
        <f t="shared" si="135"/>
        <v>66</v>
      </c>
      <c r="AL512" s="14">
        <v>0.33</v>
      </c>
      <c r="AM512" s="13">
        <f t="shared" si="136"/>
        <v>57.34</v>
      </c>
      <c r="AN512" s="14">
        <f t="shared" si="137"/>
        <v>0.28670000000000001</v>
      </c>
      <c r="AO512" t="str">
        <f>IF(AN512&gt;=Assumptions!$B$3,"OK","Review")</f>
        <v>Review</v>
      </c>
    </row>
    <row r="513" spans="1:41">
      <c r="A513" s="9" t="s">
        <v>47</v>
      </c>
      <c r="B513" s="9" t="s">
        <v>42</v>
      </c>
      <c r="C513" s="9" t="s">
        <v>273</v>
      </c>
      <c r="D513" s="9" t="s">
        <v>343</v>
      </c>
      <c r="E513" s="9" t="s">
        <v>73</v>
      </c>
      <c r="F513" s="9" t="s">
        <v>74</v>
      </c>
      <c r="G513" s="9" t="s">
        <v>28</v>
      </c>
      <c r="H513" s="9" t="s">
        <v>75</v>
      </c>
      <c r="I513" s="9">
        <v>4000001490</v>
      </c>
      <c r="J513" s="10">
        <v>242</v>
      </c>
      <c r="K513" s="10"/>
      <c r="L513" s="10">
        <v>242</v>
      </c>
      <c r="M513" s="11">
        <v>0</v>
      </c>
      <c r="N513" s="10">
        <v>0</v>
      </c>
      <c r="O513" s="10">
        <v>242</v>
      </c>
      <c r="P513" s="11">
        <v>0.625</v>
      </c>
      <c r="Q513" s="10">
        <v>387.22</v>
      </c>
      <c r="R513" s="10">
        <f t="shared" si="138"/>
        <v>658</v>
      </c>
      <c r="S513" s="10">
        <v>587.47</v>
      </c>
      <c r="T513" s="9" t="s">
        <v>76</v>
      </c>
      <c r="U513" s="10">
        <v>940</v>
      </c>
      <c r="V513" s="10">
        <f t="shared" si="127"/>
        <v>658</v>
      </c>
      <c r="W513" s="166">
        <v>490110</v>
      </c>
      <c r="X513" s="12" t="s">
        <v>29</v>
      </c>
      <c r="Y513" s="12">
        <f t="shared" si="128"/>
        <v>587.47</v>
      </c>
      <c r="Z513" s="13">
        <f t="shared" si="129"/>
        <v>587.47</v>
      </c>
      <c r="AA513" s="13">
        <f t="shared" si="130"/>
        <v>587.47</v>
      </c>
      <c r="AB513" s="13">
        <f t="shared" si="131"/>
        <v>242</v>
      </c>
      <c r="AC513" s="13">
        <f t="shared" si="132"/>
        <v>345.47</v>
      </c>
      <c r="AD513" s="14">
        <f t="shared" si="133"/>
        <v>0.58806407135683525</v>
      </c>
      <c r="AE513" s="14">
        <f t="shared" si="134"/>
        <v>1.4275619834710744</v>
      </c>
      <c r="AF513" s="13" t="str">
        <f>IF(AD513&gt;=Assumptions!$B$3,"OK","Review")</f>
        <v>OK</v>
      </c>
      <c r="AG513" s="13">
        <f>IFERROR(IF(Assumptions!$B$13="Cost Price",AB513,AA513)*SUMIF(Assumptions!$A$6:$A$10,X513,Assumptions!$B$6:$B$10),0)</f>
        <v>46.997600000000006</v>
      </c>
      <c r="AH513" s="13">
        <f>IFERROR(IF(Assumptions!$B$13="Cost Price",AB513,AA513)*SUMIF(Assumptions!$A$6:$A$10,X513,Assumptions!$C$6:$C$10),0)</f>
        <v>29.373500000000003</v>
      </c>
      <c r="AI513" s="13">
        <f>IFERROR(IF(Assumptions!$B$13="Cost Price",AB513,AA513)*SUMIF(Assumptions!$A$6:$A$10,X513,Assumptions!$D$6:$D$10),0)</f>
        <v>58.747000000000007</v>
      </c>
      <c r="AJ513" s="13">
        <v>58.747000000000007</v>
      </c>
      <c r="AK513" s="13">
        <f t="shared" si="135"/>
        <v>193.86510000000004</v>
      </c>
      <c r="AL513" s="14">
        <v>0.33</v>
      </c>
      <c r="AM513" s="13">
        <f t="shared" si="136"/>
        <v>151.60489999999999</v>
      </c>
      <c r="AN513" s="14">
        <f t="shared" si="137"/>
        <v>0.25806407135683523</v>
      </c>
      <c r="AO513" t="str">
        <f>IF(AN513&gt;=Assumptions!$B$3,"OK","Review")</f>
        <v>Review</v>
      </c>
    </row>
    <row r="514" spans="1:41">
      <c r="A514" s="9" t="s">
        <v>47</v>
      </c>
      <c r="B514" s="9" t="s">
        <v>42</v>
      </c>
      <c r="C514" s="9" t="s">
        <v>273</v>
      </c>
      <c r="D514" s="9" t="s">
        <v>344</v>
      </c>
      <c r="E514" s="9" t="s">
        <v>73</v>
      </c>
      <c r="F514" s="9" t="s">
        <v>74</v>
      </c>
      <c r="G514" s="9" t="s">
        <v>28</v>
      </c>
      <c r="H514" s="9" t="s">
        <v>84</v>
      </c>
      <c r="I514" s="9">
        <v>4000001481</v>
      </c>
      <c r="J514" s="10">
        <v>145.22</v>
      </c>
      <c r="K514" s="10"/>
      <c r="L514" s="10">
        <v>145.22</v>
      </c>
      <c r="M514" s="11">
        <v>0</v>
      </c>
      <c r="N514" s="10">
        <v>0</v>
      </c>
      <c r="O514" s="10">
        <v>145.22</v>
      </c>
      <c r="P514" s="11">
        <v>0.375</v>
      </c>
      <c r="Q514" s="10">
        <v>387.22</v>
      </c>
      <c r="R514" s="10">
        <f t="shared" si="138"/>
        <v>658</v>
      </c>
      <c r="S514" s="10">
        <v>352.53</v>
      </c>
      <c r="T514" s="9" t="s">
        <v>76</v>
      </c>
      <c r="U514" s="10">
        <v>940</v>
      </c>
      <c r="V514" s="10">
        <f t="shared" ref="V514:V577" si="139">IFERROR(U514*(1-30%),0)</f>
        <v>658</v>
      </c>
      <c r="W514" s="166">
        <v>490110</v>
      </c>
      <c r="X514" s="12" t="s">
        <v>29</v>
      </c>
      <c r="Y514" s="12">
        <f t="shared" ref="Y514:Y577" si="140">IFERROR(S514,0)</f>
        <v>352.53</v>
      </c>
      <c r="Z514" s="13">
        <f t="shared" ref="Z514:Z577" si="141">IF(ISNUMBER(S514),S514,0)</f>
        <v>352.53</v>
      </c>
      <c r="AA514" s="13">
        <f t="shared" ref="AA514:AA577" si="142">IFERROR(Z514/(1+M514),Z514)</f>
        <v>352.53</v>
      </c>
      <c r="AB514" s="13">
        <f t="shared" ref="AB514:AB577" si="143">IF(ISNUMBER(J514),J514,0)</f>
        <v>145.22</v>
      </c>
      <c r="AC514" s="13">
        <f t="shared" ref="AC514:AC577" si="144">AA514-AB514</f>
        <v>207.30999999999997</v>
      </c>
      <c r="AD514" s="14">
        <f t="shared" ref="AD514:AD577" si="145">IFERROR(AC514/AA514,0)</f>
        <v>0.58806342722605165</v>
      </c>
      <c r="AE514" s="14">
        <f t="shared" ref="AE514:AE577" si="146">IFERROR(AC514/AB514,0)</f>
        <v>1.4275581875774686</v>
      </c>
      <c r="AF514" s="13" t="str">
        <f>IF(AD514&gt;=Assumptions!$B$3,"OK","Review")</f>
        <v>OK</v>
      </c>
      <c r="AG514" s="13">
        <f>IFERROR(IF(Assumptions!$B$13="Cost Price",AB514,AA514)*SUMIF(Assumptions!$A$6:$A$10,X514,Assumptions!$B$6:$B$10),0)</f>
        <v>28.202399999999997</v>
      </c>
      <c r="AH514" s="13">
        <f>IFERROR(IF(Assumptions!$B$13="Cost Price",AB514,AA514)*SUMIF(Assumptions!$A$6:$A$10,X514,Assumptions!$C$6:$C$10),0)</f>
        <v>17.6265</v>
      </c>
      <c r="AI514" s="13">
        <f>IFERROR(IF(Assumptions!$B$13="Cost Price",AB514,AA514)*SUMIF(Assumptions!$A$6:$A$10,X514,Assumptions!$D$6:$D$10),0)</f>
        <v>35.253</v>
      </c>
      <c r="AJ514" s="13">
        <v>35.253</v>
      </c>
      <c r="AK514" s="13">
        <f t="shared" ref="AK514:AK577" si="147">SUM(AG514:AJ514)</f>
        <v>116.33489999999999</v>
      </c>
      <c r="AL514" s="14">
        <v>0.33</v>
      </c>
      <c r="AM514" s="13">
        <f t="shared" ref="AM514:AM577" si="148">AC514-AK514</f>
        <v>90.975099999999983</v>
      </c>
      <c r="AN514" s="14">
        <f t="shared" ref="AN514:AN577" si="149">IFERROR(AM514/AA514,0)</f>
        <v>0.25806342722605163</v>
      </c>
      <c r="AO514" t="str">
        <f>IF(AN514&gt;=Assumptions!$B$3,"OK","Review")</f>
        <v>Review</v>
      </c>
    </row>
    <row r="515" spans="1:41">
      <c r="A515" s="9" t="s">
        <v>47</v>
      </c>
      <c r="B515" s="9" t="s">
        <v>43</v>
      </c>
      <c r="C515" s="9" t="s">
        <v>345</v>
      </c>
      <c r="D515" s="9" t="s">
        <v>346</v>
      </c>
      <c r="E515" s="9" t="s">
        <v>73</v>
      </c>
      <c r="F515" s="9" t="s">
        <v>74</v>
      </c>
      <c r="G515" s="9" t="s">
        <v>28</v>
      </c>
      <c r="H515" s="9" t="s">
        <v>84</v>
      </c>
      <c r="I515" s="9">
        <v>4000001493</v>
      </c>
      <c r="J515" s="10">
        <v>44</v>
      </c>
      <c r="K515" s="10"/>
      <c r="L515" s="10">
        <v>44</v>
      </c>
      <c r="M515" s="11">
        <v>0</v>
      </c>
      <c r="N515" s="10">
        <v>0</v>
      </c>
      <c r="O515" s="10">
        <v>44</v>
      </c>
      <c r="P515" s="11">
        <v>0.28570000000000001</v>
      </c>
      <c r="Q515" s="10">
        <v>154</v>
      </c>
      <c r="R515" s="10">
        <f t="shared" si="138"/>
        <v>196</v>
      </c>
      <c r="S515" s="10">
        <v>80</v>
      </c>
      <c r="T515" s="9" t="s">
        <v>76</v>
      </c>
      <c r="U515" s="10">
        <v>280</v>
      </c>
      <c r="V515" s="10">
        <f t="shared" si="139"/>
        <v>196</v>
      </c>
      <c r="W515" s="166">
        <v>490110</v>
      </c>
      <c r="X515" s="12" t="s">
        <v>29</v>
      </c>
      <c r="Y515" s="12">
        <f t="shared" si="140"/>
        <v>80</v>
      </c>
      <c r="Z515" s="13">
        <f t="shared" si="141"/>
        <v>80</v>
      </c>
      <c r="AA515" s="13">
        <f t="shared" si="142"/>
        <v>80</v>
      </c>
      <c r="AB515" s="13">
        <f t="shared" si="143"/>
        <v>44</v>
      </c>
      <c r="AC515" s="13">
        <f t="shared" si="144"/>
        <v>36</v>
      </c>
      <c r="AD515" s="14">
        <f t="shared" si="145"/>
        <v>0.45</v>
      </c>
      <c r="AE515" s="14">
        <f t="shared" si="146"/>
        <v>0.81818181818181823</v>
      </c>
      <c r="AF515" s="13" t="str">
        <f>IF(AD515&gt;=Assumptions!$B$3,"OK","Review")</f>
        <v>OK</v>
      </c>
      <c r="AG515" s="13">
        <f>IFERROR(IF(Assumptions!$B$13="Cost Price",AB515,AA515)*SUMIF(Assumptions!$A$6:$A$10,X515,Assumptions!$B$6:$B$10),0)</f>
        <v>6.4</v>
      </c>
      <c r="AH515" s="13">
        <f>IFERROR(IF(Assumptions!$B$13="Cost Price",AB515,AA515)*SUMIF(Assumptions!$A$6:$A$10,X515,Assumptions!$C$6:$C$10),0)</f>
        <v>4</v>
      </c>
      <c r="AI515" s="13">
        <f>IFERROR(IF(Assumptions!$B$13="Cost Price",AB515,AA515)*SUMIF(Assumptions!$A$6:$A$10,X515,Assumptions!$D$6:$D$10),0)</f>
        <v>8</v>
      </c>
      <c r="AJ515" s="13">
        <v>8</v>
      </c>
      <c r="AK515" s="13">
        <f t="shared" si="147"/>
        <v>26.4</v>
      </c>
      <c r="AL515" s="14">
        <v>0.33</v>
      </c>
      <c r="AM515" s="13">
        <f t="shared" si="148"/>
        <v>9.6000000000000014</v>
      </c>
      <c r="AN515" s="14">
        <f t="shared" si="149"/>
        <v>0.12000000000000002</v>
      </c>
      <c r="AO515" t="str">
        <f>IF(AN515&gt;=Assumptions!$B$3,"OK","Review")</f>
        <v>Review</v>
      </c>
    </row>
    <row r="516" spans="1:41">
      <c r="A516" s="9" t="s">
        <v>47</v>
      </c>
      <c r="B516" s="9" t="s">
        <v>43</v>
      </c>
      <c r="C516" s="9" t="s">
        <v>345</v>
      </c>
      <c r="D516" s="9" t="s">
        <v>347</v>
      </c>
      <c r="E516" s="9" t="s">
        <v>73</v>
      </c>
      <c r="F516" s="9" t="s">
        <v>74</v>
      </c>
      <c r="G516" s="9" t="s">
        <v>28</v>
      </c>
      <c r="H516" s="9" t="s">
        <v>84</v>
      </c>
      <c r="I516" s="9">
        <v>4000001495</v>
      </c>
      <c r="J516" s="10">
        <v>110</v>
      </c>
      <c r="K516" s="10"/>
      <c r="L516" s="10">
        <v>110</v>
      </c>
      <c r="M516" s="11">
        <v>0</v>
      </c>
      <c r="N516" s="10">
        <v>0</v>
      </c>
      <c r="O516" s="10">
        <v>110</v>
      </c>
      <c r="P516" s="11">
        <v>0.71430000000000005</v>
      </c>
      <c r="Q516" s="10">
        <v>154</v>
      </c>
      <c r="R516" s="10">
        <f t="shared" si="138"/>
        <v>196</v>
      </c>
      <c r="S516" s="10">
        <v>200</v>
      </c>
      <c r="T516" s="9" t="s">
        <v>76</v>
      </c>
      <c r="U516" s="10">
        <v>280</v>
      </c>
      <c r="V516" s="10">
        <f t="shared" si="139"/>
        <v>196</v>
      </c>
      <c r="W516" s="166">
        <v>490110</v>
      </c>
      <c r="X516" s="12" t="s">
        <v>29</v>
      </c>
      <c r="Y516" s="12">
        <f t="shared" si="140"/>
        <v>200</v>
      </c>
      <c r="Z516" s="13">
        <f t="shared" si="141"/>
        <v>200</v>
      </c>
      <c r="AA516" s="13">
        <f t="shared" si="142"/>
        <v>200</v>
      </c>
      <c r="AB516" s="13">
        <f t="shared" si="143"/>
        <v>110</v>
      </c>
      <c r="AC516" s="13">
        <f t="shared" si="144"/>
        <v>90</v>
      </c>
      <c r="AD516" s="14">
        <f t="shared" si="145"/>
        <v>0.45</v>
      </c>
      <c r="AE516" s="14">
        <f t="shared" si="146"/>
        <v>0.81818181818181823</v>
      </c>
      <c r="AF516" s="13" t="str">
        <f>IF(AD516&gt;=Assumptions!$B$3,"OK","Review")</f>
        <v>OK</v>
      </c>
      <c r="AG516" s="13">
        <f>IFERROR(IF(Assumptions!$B$13="Cost Price",AB516,AA516)*SUMIF(Assumptions!$A$6:$A$10,X516,Assumptions!$B$6:$B$10),0)</f>
        <v>16</v>
      </c>
      <c r="AH516" s="13">
        <f>IFERROR(IF(Assumptions!$B$13="Cost Price",AB516,AA516)*SUMIF(Assumptions!$A$6:$A$10,X516,Assumptions!$C$6:$C$10),0)</f>
        <v>10</v>
      </c>
      <c r="AI516" s="13">
        <f>IFERROR(IF(Assumptions!$B$13="Cost Price",AB516,AA516)*SUMIF(Assumptions!$A$6:$A$10,X516,Assumptions!$D$6:$D$10),0)</f>
        <v>20</v>
      </c>
      <c r="AJ516" s="13">
        <v>20</v>
      </c>
      <c r="AK516" s="13">
        <f t="shared" si="147"/>
        <v>66</v>
      </c>
      <c r="AL516" s="14">
        <v>0.33</v>
      </c>
      <c r="AM516" s="13">
        <f t="shared" si="148"/>
        <v>24</v>
      </c>
      <c r="AN516" s="14">
        <f t="shared" si="149"/>
        <v>0.12</v>
      </c>
      <c r="AO516" t="str">
        <f>IF(AN516&gt;=Assumptions!$B$3,"OK","Review")</f>
        <v>Review</v>
      </c>
    </row>
    <row r="517" spans="1:41">
      <c r="A517" s="9" t="s">
        <v>47</v>
      </c>
      <c r="B517" s="9" t="s">
        <v>43</v>
      </c>
      <c r="C517" s="9" t="s">
        <v>348</v>
      </c>
      <c r="D517" s="9" t="s">
        <v>349</v>
      </c>
      <c r="E517" s="9" t="s">
        <v>73</v>
      </c>
      <c r="F517" s="9" t="s">
        <v>74</v>
      </c>
      <c r="G517" s="9" t="s">
        <v>28</v>
      </c>
      <c r="H517" s="9" t="s">
        <v>75</v>
      </c>
      <c r="I517" s="9">
        <v>4000010070</v>
      </c>
      <c r="J517" s="10">
        <v>258.8</v>
      </c>
      <c r="K517" s="10"/>
      <c r="L517" s="10">
        <v>258.8</v>
      </c>
      <c r="M517" s="11">
        <v>0</v>
      </c>
      <c r="N517" s="10">
        <v>0</v>
      </c>
      <c r="O517" s="10">
        <v>258.8</v>
      </c>
      <c r="P517" s="11">
        <v>1</v>
      </c>
      <c r="Q517" s="10">
        <v>258.8</v>
      </c>
      <c r="R517" s="10">
        <f t="shared" si="138"/>
        <v>210</v>
      </c>
      <c r="S517" s="10">
        <v>300</v>
      </c>
      <c r="T517" s="9" t="s">
        <v>76</v>
      </c>
      <c r="U517" s="10">
        <v>300</v>
      </c>
      <c r="V517" s="10">
        <f t="shared" si="139"/>
        <v>210</v>
      </c>
      <c r="W517" s="166">
        <v>490300</v>
      </c>
      <c r="X517" s="12" t="s">
        <v>29</v>
      </c>
      <c r="Y517" s="12">
        <f t="shared" si="140"/>
        <v>300</v>
      </c>
      <c r="Z517" s="13">
        <f t="shared" si="141"/>
        <v>300</v>
      </c>
      <c r="AA517" s="13">
        <f t="shared" si="142"/>
        <v>300</v>
      </c>
      <c r="AB517" s="13">
        <f t="shared" si="143"/>
        <v>258.8</v>
      </c>
      <c r="AC517" s="13">
        <f t="shared" si="144"/>
        <v>41.199999999999989</v>
      </c>
      <c r="AD517" s="14">
        <f t="shared" si="145"/>
        <v>0.13733333333333331</v>
      </c>
      <c r="AE517" s="14">
        <f t="shared" si="146"/>
        <v>0.15919629057187012</v>
      </c>
      <c r="AF517" s="13" t="str">
        <f>IF(AD517&gt;=Assumptions!$B$3,"OK","Review")</f>
        <v>Review</v>
      </c>
      <c r="AG517" s="13">
        <f>IFERROR(IF(Assumptions!$B$13="Cost Price",AB517,AA517)*SUMIF(Assumptions!$A$6:$A$10,X517,Assumptions!$B$6:$B$10),0)</f>
        <v>24</v>
      </c>
      <c r="AH517" s="13">
        <f>IFERROR(IF(Assumptions!$B$13="Cost Price",AB517,AA517)*SUMIF(Assumptions!$A$6:$A$10,X517,Assumptions!$C$6:$C$10),0)</f>
        <v>15</v>
      </c>
      <c r="AI517" s="13">
        <f>IFERROR(IF(Assumptions!$B$13="Cost Price",AB517,AA517)*SUMIF(Assumptions!$A$6:$A$10,X517,Assumptions!$D$6:$D$10),0)</f>
        <v>30</v>
      </c>
      <c r="AJ517" s="13">
        <v>30</v>
      </c>
      <c r="AK517" s="13">
        <f t="shared" si="147"/>
        <v>99</v>
      </c>
      <c r="AL517" s="14">
        <v>0.33</v>
      </c>
      <c r="AM517" s="13">
        <f t="shared" si="148"/>
        <v>-57.800000000000011</v>
      </c>
      <c r="AN517" s="14">
        <f t="shared" si="149"/>
        <v>-0.19266666666666671</v>
      </c>
      <c r="AO517" t="str">
        <f>IF(AN517&gt;=Assumptions!$B$3,"OK","Review")</f>
        <v>Review</v>
      </c>
    </row>
    <row r="518" spans="1:41">
      <c r="A518" s="9" t="s">
        <v>47</v>
      </c>
      <c r="B518" s="9" t="s">
        <v>43</v>
      </c>
      <c r="C518" s="9" t="s">
        <v>259</v>
      </c>
      <c r="D518" s="9" t="s">
        <v>350</v>
      </c>
      <c r="E518" s="9" t="s">
        <v>73</v>
      </c>
      <c r="F518" s="9" t="s">
        <v>90</v>
      </c>
      <c r="G518" s="9" t="s">
        <v>28</v>
      </c>
      <c r="H518" s="9" t="s">
        <v>75</v>
      </c>
      <c r="I518" s="9">
        <v>4000006507</v>
      </c>
      <c r="J518" s="10">
        <v>348.66</v>
      </c>
      <c r="K518" s="10"/>
      <c r="L518" s="10">
        <v>348.66</v>
      </c>
      <c r="M518" s="11">
        <v>0.18</v>
      </c>
      <c r="N518" s="10">
        <v>62.76</v>
      </c>
      <c r="O518" s="10">
        <v>411.42</v>
      </c>
      <c r="P518" s="11">
        <v>1</v>
      </c>
      <c r="Q518" s="10">
        <v>411.42</v>
      </c>
      <c r="R518" s="10">
        <f t="shared" si="138"/>
        <v>489.99999999999994</v>
      </c>
      <c r="S518" s="10">
        <v>700</v>
      </c>
      <c r="T518" s="9" t="s">
        <v>76</v>
      </c>
      <c r="U518" s="10">
        <v>700</v>
      </c>
      <c r="V518" s="10">
        <f t="shared" si="139"/>
        <v>489.99999999999994</v>
      </c>
      <c r="W518" s="166">
        <v>90172090</v>
      </c>
      <c r="X518" s="12" t="s">
        <v>29</v>
      </c>
      <c r="Y518" s="12">
        <f t="shared" si="140"/>
        <v>700</v>
      </c>
      <c r="Z518" s="13">
        <f t="shared" si="141"/>
        <v>700</v>
      </c>
      <c r="AA518" s="13">
        <f t="shared" si="142"/>
        <v>593.22033898305085</v>
      </c>
      <c r="AB518" s="13">
        <f t="shared" si="143"/>
        <v>348.66</v>
      </c>
      <c r="AC518" s="13">
        <f t="shared" si="144"/>
        <v>244.56033898305083</v>
      </c>
      <c r="AD518" s="14">
        <f t="shared" si="145"/>
        <v>0.41225885714285709</v>
      </c>
      <c r="AE518" s="14">
        <f t="shared" si="146"/>
        <v>0.70142929783471231</v>
      </c>
      <c r="AF518" s="13" t="str">
        <f>IF(AD518&gt;=Assumptions!$B$3,"OK","Review")</f>
        <v>OK</v>
      </c>
      <c r="AG518" s="13">
        <f>IFERROR(IF(Assumptions!$B$13="Cost Price",AB518,AA518)*SUMIF(Assumptions!$A$6:$A$10,X518,Assumptions!$B$6:$B$10),0)</f>
        <v>47.457627118644069</v>
      </c>
      <c r="AH518" s="13">
        <f>IFERROR(IF(Assumptions!$B$13="Cost Price",AB518,AA518)*SUMIF(Assumptions!$A$6:$A$10,X518,Assumptions!$C$6:$C$10),0)</f>
        <v>29.661016949152543</v>
      </c>
      <c r="AI518" s="13">
        <f>IFERROR(IF(Assumptions!$B$13="Cost Price",AB518,AA518)*SUMIF(Assumptions!$A$6:$A$10,X518,Assumptions!$D$6:$D$10),0)</f>
        <v>59.322033898305087</v>
      </c>
      <c r="AJ518" s="13">
        <v>59.322033898305087</v>
      </c>
      <c r="AK518" s="13">
        <f t="shared" si="147"/>
        <v>195.76271186440678</v>
      </c>
      <c r="AL518" s="14">
        <v>0.33</v>
      </c>
      <c r="AM518" s="13">
        <f t="shared" si="148"/>
        <v>48.797627118644044</v>
      </c>
      <c r="AN518" s="14">
        <f t="shared" si="149"/>
        <v>8.2258857142857106E-2</v>
      </c>
      <c r="AO518" t="str">
        <f>IF(AN518&gt;=Assumptions!$B$3,"OK","Review")</f>
        <v>Review</v>
      </c>
    </row>
    <row r="519" spans="1:41">
      <c r="A519" s="9" t="s">
        <v>47</v>
      </c>
      <c r="B519" s="9" t="s">
        <v>43</v>
      </c>
      <c r="C519" s="9" t="s">
        <v>266</v>
      </c>
      <c r="D519" s="9" t="s">
        <v>351</v>
      </c>
      <c r="E519" s="9" t="s">
        <v>73</v>
      </c>
      <c r="F519" s="9" t="s">
        <v>74</v>
      </c>
      <c r="G519" s="9" t="s">
        <v>28</v>
      </c>
      <c r="H519" s="9" t="s">
        <v>75</v>
      </c>
      <c r="I519" s="9">
        <v>4000010069</v>
      </c>
      <c r="J519" s="10">
        <v>267.86</v>
      </c>
      <c r="K519" s="10"/>
      <c r="L519" s="10">
        <v>267.86</v>
      </c>
      <c r="M519" s="11">
        <v>0</v>
      </c>
      <c r="N519" s="10">
        <v>0</v>
      </c>
      <c r="O519" s="10">
        <v>267.86</v>
      </c>
      <c r="P519" s="11">
        <v>1</v>
      </c>
      <c r="Q519" s="10">
        <v>267.86</v>
      </c>
      <c r="R519" s="10">
        <f t="shared" si="138"/>
        <v>210</v>
      </c>
      <c r="S519" s="10">
        <v>300</v>
      </c>
      <c r="T519" s="9" t="s">
        <v>76</v>
      </c>
      <c r="U519" s="10">
        <v>300</v>
      </c>
      <c r="V519" s="10">
        <f t="shared" si="139"/>
        <v>210</v>
      </c>
      <c r="W519" s="166">
        <v>490110</v>
      </c>
      <c r="X519" s="12" t="s">
        <v>29</v>
      </c>
      <c r="Y519" s="12">
        <f t="shared" si="140"/>
        <v>300</v>
      </c>
      <c r="Z519" s="13">
        <f t="shared" si="141"/>
        <v>300</v>
      </c>
      <c r="AA519" s="13">
        <f t="shared" si="142"/>
        <v>300</v>
      </c>
      <c r="AB519" s="13">
        <f t="shared" si="143"/>
        <v>267.86</v>
      </c>
      <c r="AC519" s="13">
        <f t="shared" si="144"/>
        <v>32.139999999999986</v>
      </c>
      <c r="AD519" s="14">
        <f t="shared" si="145"/>
        <v>0.10713333333333329</v>
      </c>
      <c r="AE519" s="14">
        <f t="shared" si="146"/>
        <v>0.11998805346076302</v>
      </c>
      <c r="AF519" s="13" t="str">
        <f>IF(AD519&gt;=Assumptions!$B$3,"OK","Review")</f>
        <v>Review</v>
      </c>
      <c r="AG519" s="13">
        <f>IFERROR(IF(Assumptions!$B$13="Cost Price",AB519,AA519)*SUMIF(Assumptions!$A$6:$A$10,X519,Assumptions!$B$6:$B$10),0)</f>
        <v>24</v>
      </c>
      <c r="AH519" s="13">
        <f>IFERROR(IF(Assumptions!$B$13="Cost Price",AB519,AA519)*SUMIF(Assumptions!$A$6:$A$10,X519,Assumptions!$C$6:$C$10),0)</f>
        <v>15</v>
      </c>
      <c r="AI519" s="13">
        <f>IFERROR(IF(Assumptions!$B$13="Cost Price",AB519,AA519)*SUMIF(Assumptions!$A$6:$A$10,X519,Assumptions!$D$6:$D$10),0)</f>
        <v>30</v>
      </c>
      <c r="AJ519" s="13">
        <v>30</v>
      </c>
      <c r="AK519" s="13">
        <f t="shared" si="147"/>
        <v>99</v>
      </c>
      <c r="AL519" s="14">
        <v>0.33</v>
      </c>
      <c r="AM519" s="13">
        <f t="shared" si="148"/>
        <v>-66.860000000000014</v>
      </c>
      <c r="AN519" s="14">
        <f t="shared" si="149"/>
        <v>-0.22286666666666671</v>
      </c>
      <c r="AO519" t="str">
        <f>IF(AN519&gt;=Assumptions!$B$3,"OK","Review")</f>
        <v>Review</v>
      </c>
    </row>
    <row r="520" spans="1:41">
      <c r="A520" s="9" t="s">
        <v>47</v>
      </c>
      <c r="B520" s="9" t="s">
        <v>43</v>
      </c>
      <c r="C520" s="9" t="s">
        <v>352</v>
      </c>
      <c r="D520" s="9" t="s">
        <v>353</v>
      </c>
      <c r="E520" s="9" t="s">
        <v>73</v>
      </c>
      <c r="F520" s="9" t="s">
        <v>90</v>
      </c>
      <c r="G520" s="9" t="s">
        <v>28</v>
      </c>
      <c r="H520" s="9" t="s">
        <v>75</v>
      </c>
      <c r="I520" s="9">
        <v>4000007476</v>
      </c>
      <c r="J520" s="10">
        <v>225.98</v>
      </c>
      <c r="K520" s="10"/>
      <c r="L520" s="10">
        <v>225.98</v>
      </c>
      <c r="M520" s="11">
        <v>0.18</v>
      </c>
      <c r="N520" s="10">
        <v>40.68</v>
      </c>
      <c r="O520" s="10">
        <v>266.66000000000003</v>
      </c>
      <c r="P520" s="11">
        <v>1</v>
      </c>
      <c r="Q520" s="10">
        <v>266.66000000000003</v>
      </c>
      <c r="R520" s="10">
        <f t="shared" si="138"/>
        <v>489.99999999999994</v>
      </c>
      <c r="S520" s="10">
        <v>700</v>
      </c>
      <c r="T520" s="9" t="s">
        <v>76</v>
      </c>
      <c r="U520" s="10">
        <v>700</v>
      </c>
      <c r="V520" s="10">
        <f t="shared" si="139"/>
        <v>489.99999999999994</v>
      </c>
      <c r="W520" s="166">
        <v>49119100</v>
      </c>
      <c r="X520" s="12" t="s">
        <v>29</v>
      </c>
      <c r="Y520" s="12">
        <f t="shared" si="140"/>
        <v>700</v>
      </c>
      <c r="Z520" s="13">
        <f t="shared" si="141"/>
        <v>700</v>
      </c>
      <c r="AA520" s="13">
        <f t="shared" si="142"/>
        <v>593.22033898305085</v>
      </c>
      <c r="AB520" s="13">
        <f t="shared" si="143"/>
        <v>225.98</v>
      </c>
      <c r="AC520" s="13">
        <f t="shared" si="144"/>
        <v>367.24033898305083</v>
      </c>
      <c r="AD520" s="14">
        <f t="shared" si="145"/>
        <v>0.61906228571428568</v>
      </c>
      <c r="AE520" s="14">
        <f t="shared" si="146"/>
        <v>1.6251010663910561</v>
      </c>
      <c r="AF520" s="13" t="str">
        <f>IF(AD520&gt;=Assumptions!$B$3,"OK","Review")</f>
        <v>OK</v>
      </c>
      <c r="AG520" s="13">
        <f>IFERROR(IF(Assumptions!$B$13="Cost Price",AB520,AA520)*SUMIF(Assumptions!$A$6:$A$10,X520,Assumptions!$B$6:$B$10),0)</f>
        <v>47.457627118644069</v>
      </c>
      <c r="AH520" s="13">
        <f>IFERROR(IF(Assumptions!$B$13="Cost Price",AB520,AA520)*SUMIF(Assumptions!$A$6:$A$10,X520,Assumptions!$C$6:$C$10),0)</f>
        <v>29.661016949152543</v>
      </c>
      <c r="AI520" s="13">
        <f>IFERROR(IF(Assumptions!$B$13="Cost Price",AB520,AA520)*SUMIF(Assumptions!$A$6:$A$10,X520,Assumptions!$D$6:$D$10),0)</f>
        <v>59.322033898305087</v>
      </c>
      <c r="AJ520" s="13">
        <v>59.322033898305087</v>
      </c>
      <c r="AK520" s="13">
        <f t="shared" si="147"/>
        <v>195.76271186440678</v>
      </c>
      <c r="AL520" s="14">
        <v>0.33</v>
      </c>
      <c r="AM520" s="13">
        <f t="shared" si="148"/>
        <v>171.47762711864405</v>
      </c>
      <c r="AN520" s="14">
        <f t="shared" si="149"/>
        <v>0.28906228571428566</v>
      </c>
      <c r="AO520" t="str">
        <f>IF(AN520&gt;=Assumptions!$B$3,"OK","Review")</f>
        <v>Review</v>
      </c>
    </row>
    <row r="521" spans="1:41">
      <c r="A521" s="9" t="s">
        <v>47</v>
      </c>
      <c r="B521" s="9" t="s">
        <v>43</v>
      </c>
      <c r="C521" s="9" t="s">
        <v>271</v>
      </c>
      <c r="D521" s="9" t="s">
        <v>354</v>
      </c>
      <c r="E521" s="9" t="s">
        <v>73</v>
      </c>
      <c r="F521" s="9" t="s">
        <v>74</v>
      </c>
      <c r="G521" s="9" t="s">
        <v>28</v>
      </c>
      <c r="H521" s="9" t="s">
        <v>75</v>
      </c>
      <c r="I521" s="9">
        <v>4000010071</v>
      </c>
      <c r="J521" s="10">
        <v>39.93</v>
      </c>
      <c r="K521" s="10"/>
      <c r="L521" s="10">
        <v>39.93</v>
      </c>
      <c r="M521" s="11">
        <v>0</v>
      </c>
      <c r="N521" s="10">
        <v>0</v>
      </c>
      <c r="O521" s="10">
        <v>39.93</v>
      </c>
      <c r="P521" s="11">
        <v>1</v>
      </c>
      <c r="Q521" s="10">
        <v>39.93</v>
      </c>
      <c r="R521" s="10">
        <f t="shared" si="138"/>
        <v>140</v>
      </c>
      <c r="S521" s="10">
        <v>200</v>
      </c>
      <c r="T521" s="9" t="s">
        <v>76</v>
      </c>
      <c r="U521" s="10">
        <v>200</v>
      </c>
      <c r="V521" s="10">
        <f t="shared" si="139"/>
        <v>140</v>
      </c>
      <c r="W521" s="166">
        <v>490110</v>
      </c>
      <c r="X521" s="12" t="s">
        <v>29</v>
      </c>
      <c r="Y521" s="12">
        <f t="shared" si="140"/>
        <v>200</v>
      </c>
      <c r="Z521" s="13">
        <f t="shared" si="141"/>
        <v>200</v>
      </c>
      <c r="AA521" s="13">
        <f t="shared" si="142"/>
        <v>200</v>
      </c>
      <c r="AB521" s="13">
        <f t="shared" si="143"/>
        <v>39.93</v>
      </c>
      <c r="AC521" s="13">
        <f t="shared" si="144"/>
        <v>160.07</v>
      </c>
      <c r="AD521" s="14">
        <f t="shared" si="145"/>
        <v>0.80035000000000001</v>
      </c>
      <c r="AE521" s="14">
        <f t="shared" si="146"/>
        <v>4.008765339343852</v>
      </c>
      <c r="AF521" s="13" t="str">
        <f>IF(AD521&gt;=Assumptions!$B$3,"OK","Review")</f>
        <v>OK</v>
      </c>
      <c r="AG521" s="13">
        <f>IFERROR(IF(Assumptions!$B$13="Cost Price",AB521,AA521)*SUMIF(Assumptions!$A$6:$A$10,X521,Assumptions!$B$6:$B$10),0)</f>
        <v>16</v>
      </c>
      <c r="AH521" s="13">
        <f>IFERROR(IF(Assumptions!$B$13="Cost Price",AB521,AA521)*SUMIF(Assumptions!$A$6:$A$10,X521,Assumptions!$C$6:$C$10),0)</f>
        <v>10</v>
      </c>
      <c r="AI521" s="13">
        <f>IFERROR(IF(Assumptions!$B$13="Cost Price",AB521,AA521)*SUMIF(Assumptions!$A$6:$A$10,X521,Assumptions!$D$6:$D$10),0)</f>
        <v>20</v>
      </c>
      <c r="AJ521" s="13">
        <v>20</v>
      </c>
      <c r="AK521" s="13">
        <f t="shared" si="147"/>
        <v>66</v>
      </c>
      <c r="AL521" s="14">
        <v>0.33</v>
      </c>
      <c r="AM521" s="13">
        <f t="shared" si="148"/>
        <v>94.07</v>
      </c>
      <c r="AN521" s="14">
        <f t="shared" si="149"/>
        <v>0.47034999999999999</v>
      </c>
      <c r="AO521" t="str">
        <f>IF(AN521&gt;=Assumptions!$B$3,"OK","Review")</f>
        <v>OK</v>
      </c>
    </row>
    <row r="522" spans="1:41">
      <c r="A522" s="9" t="s">
        <v>47</v>
      </c>
      <c r="B522" s="9" t="s">
        <v>44</v>
      </c>
      <c r="C522" s="9" t="s">
        <v>345</v>
      </c>
      <c r="D522" s="9" t="s">
        <v>355</v>
      </c>
      <c r="E522" s="9" t="s">
        <v>73</v>
      </c>
      <c r="F522" s="9" t="s">
        <v>74</v>
      </c>
      <c r="G522" s="9" t="s">
        <v>28</v>
      </c>
      <c r="H522" s="9" t="s">
        <v>84</v>
      </c>
      <c r="I522" s="9">
        <v>4000001496</v>
      </c>
      <c r="J522" s="10">
        <v>74.8</v>
      </c>
      <c r="K522" s="10"/>
      <c r="L522" s="10">
        <v>74.8</v>
      </c>
      <c r="M522" s="11">
        <v>0</v>
      </c>
      <c r="N522" s="10">
        <v>0</v>
      </c>
      <c r="O522" s="10">
        <v>74.8</v>
      </c>
      <c r="P522" s="11">
        <v>0.5484</v>
      </c>
      <c r="Q522" s="10">
        <v>136.4</v>
      </c>
      <c r="R522" s="10">
        <f t="shared" si="138"/>
        <v>137.19999999999999</v>
      </c>
      <c r="S522" s="10">
        <v>107.48</v>
      </c>
      <c r="T522" s="9" t="s">
        <v>76</v>
      </c>
      <c r="U522" s="10">
        <v>196</v>
      </c>
      <c r="V522" s="10">
        <f t="shared" si="139"/>
        <v>137.19999999999999</v>
      </c>
      <c r="W522" s="166">
        <v>490110</v>
      </c>
      <c r="X522" s="12" t="s">
        <v>29</v>
      </c>
      <c r="Y522" s="12">
        <f t="shared" si="140"/>
        <v>107.48</v>
      </c>
      <c r="Z522" s="13">
        <f t="shared" si="141"/>
        <v>107.48</v>
      </c>
      <c r="AA522" s="13">
        <f t="shared" si="142"/>
        <v>107.48</v>
      </c>
      <c r="AB522" s="13">
        <f t="shared" si="143"/>
        <v>74.8</v>
      </c>
      <c r="AC522" s="13">
        <f t="shared" si="144"/>
        <v>32.680000000000007</v>
      </c>
      <c r="AD522" s="14">
        <f t="shared" si="145"/>
        <v>0.30405656866393754</v>
      </c>
      <c r="AE522" s="14">
        <f t="shared" si="146"/>
        <v>0.43689839572192524</v>
      </c>
      <c r="AF522" s="13" t="str">
        <f>IF(AD522&gt;=Assumptions!$B$3,"OK","Review")</f>
        <v>OK</v>
      </c>
      <c r="AG522" s="13">
        <f>IFERROR(IF(Assumptions!$B$13="Cost Price",AB522,AA522)*SUMIF(Assumptions!$A$6:$A$10,X522,Assumptions!$B$6:$B$10),0)</f>
        <v>8.5983999999999998</v>
      </c>
      <c r="AH522" s="13">
        <f>IFERROR(IF(Assumptions!$B$13="Cost Price",AB522,AA522)*SUMIF(Assumptions!$A$6:$A$10,X522,Assumptions!$C$6:$C$10),0)</f>
        <v>5.3740000000000006</v>
      </c>
      <c r="AI522" s="13">
        <f>IFERROR(IF(Assumptions!$B$13="Cost Price",AB522,AA522)*SUMIF(Assumptions!$A$6:$A$10,X522,Assumptions!$D$6:$D$10),0)</f>
        <v>10.748000000000001</v>
      </c>
      <c r="AJ522" s="13">
        <v>10.748000000000001</v>
      </c>
      <c r="AK522" s="13">
        <f t="shared" si="147"/>
        <v>35.468400000000003</v>
      </c>
      <c r="AL522" s="14">
        <v>0.33</v>
      </c>
      <c r="AM522" s="13">
        <f t="shared" si="148"/>
        <v>-2.7883999999999958</v>
      </c>
      <c r="AN522" s="14">
        <f t="shared" si="149"/>
        <v>-2.5943431336062483E-2</v>
      </c>
      <c r="AO522" t="str">
        <f>IF(AN522&gt;=Assumptions!$B$3,"OK","Review")</f>
        <v>Review</v>
      </c>
    </row>
    <row r="523" spans="1:41">
      <c r="A523" s="9" t="s">
        <v>47</v>
      </c>
      <c r="B523" s="9" t="s">
        <v>44</v>
      </c>
      <c r="C523" s="9" t="s">
        <v>345</v>
      </c>
      <c r="D523" s="9" t="s">
        <v>356</v>
      </c>
      <c r="E523" s="9" t="s">
        <v>73</v>
      </c>
      <c r="F523" s="9" t="s">
        <v>74</v>
      </c>
      <c r="G523" s="9" t="s">
        <v>28</v>
      </c>
      <c r="H523" s="9" t="s">
        <v>84</v>
      </c>
      <c r="I523" s="9">
        <v>4000001497</v>
      </c>
      <c r="J523" s="10">
        <v>61.6</v>
      </c>
      <c r="K523" s="10"/>
      <c r="L523" s="10">
        <v>61.6</v>
      </c>
      <c r="M523" s="11">
        <v>0</v>
      </c>
      <c r="N523" s="10">
        <v>0</v>
      </c>
      <c r="O523" s="10">
        <v>61.6</v>
      </c>
      <c r="P523" s="11">
        <v>0.4516</v>
      </c>
      <c r="Q523" s="10">
        <v>136.4</v>
      </c>
      <c r="R523" s="10">
        <f t="shared" si="138"/>
        <v>137.19999999999999</v>
      </c>
      <c r="S523" s="10">
        <v>88.52</v>
      </c>
      <c r="T523" s="9" t="s">
        <v>76</v>
      </c>
      <c r="U523" s="10">
        <v>196</v>
      </c>
      <c r="V523" s="10">
        <f t="shared" si="139"/>
        <v>137.19999999999999</v>
      </c>
      <c r="W523" s="166">
        <v>490110</v>
      </c>
      <c r="X523" s="12" t="s">
        <v>29</v>
      </c>
      <c r="Y523" s="12">
        <f t="shared" si="140"/>
        <v>88.52</v>
      </c>
      <c r="Z523" s="13">
        <f t="shared" si="141"/>
        <v>88.52</v>
      </c>
      <c r="AA523" s="13">
        <f t="shared" si="142"/>
        <v>88.52</v>
      </c>
      <c r="AB523" s="13">
        <f t="shared" si="143"/>
        <v>61.6</v>
      </c>
      <c r="AC523" s="13">
        <f t="shared" si="144"/>
        <v>26.919999999999995</v>
      </c>
      <c r="AD523" s="14">
        <f t="shared" si="145"/>
        <v>0.30411206507004063</v>
      </c>
      <c r="AE523" s="14">
        <f t="shared" si="146"/>
        <v>0.43701298701298691</v>
      </c>
      <c r="AF523" s="13" t="str">
        <f>IF(AD523&gt;=Assumptions!$B$3,"OK","Review")</f>
        <v>OK</v>
      </c>
      <c r="AG523" s="13">
        <f>IFERROR(IF(Assumptions!$B$13="Cost Price",AB523,AA523)*SUMIF(Assumptions!$A$6:$A$10,X523,Assumptions!$B$6:$B$10),0)</f>
        <v>7.0815999999999999</v>
      </c>
      <c r="AH523" s="13">
        <f>IFERROR(IF(Assumptions!$B$13="Cost Price",AB523,AA523)*SUMIF(Assumptions!$A$6:$A$10,X523,Assumptions!$C$6:$C$10),0)</f>
        <v>4.4260000000000002</v>
      </c>
      <c r="AI523" s="13">
        <f>IFERROR(IF(Assumptions!$B$13="Cost Price",AB523,AA523)*SUMIF(Assumptions!$A$6:$A$10,X523,Assumptions!$D$6:$D$10),0)</f>
        <v>8.8520000000000003</v>
      </c>
      <c r="AJ523" s="13">
        <v>8.8520000000000003</v>
      </c>
      <c r="AK523" s="13">
        <f t="shared" si="147"/>
        <v>29.211600000000001</v>
      </c>
      <c r="AL523" s="14">
        <v>0.33</v>
      </c>
      <c r="AM523" s="13">
        <f t="shared" si="148"/>
        <v>-2.2916000000000061</v>
      </c>
      <c r="AN523" s="14">
        <f t="shared" si="149"/>
        <v>-2.5887934929959402E-2</v>
      </c>
      <c r="AO523" t="str">
        <f>IF(AN523&gt;=Assumptions!$B$3,"OK","Review")</f>
        <v>Review</v>
      </c>
    </row>
    <row r="524" spans="1:41">
      <c r="A524" s="9" t="s">
        <v>47</v>
      </c>
      <c r="B524" s="9" t="s">
        <v>44</v>
      </c>
      <c r="C524" s="9" t="s">
        <v>348</v>
      </c>
      <c r="D524" s="9" t="s">
        <v>357</v>
      </c>
      <c r="E524" s="9" t="s">
        <v>73</v>
      </c>
      <c r="F524" s="9" t="s">
        <v>74</v>
      </c>
      <c r="G524" s="9" t="s">
        <v>28</v>
      </c>
      <c r="H524" s="9" t="s">
        <v>75</v>
      </c>
      <c r="I524" s="9">
        <v>4000010074</v>
      </c>
      <c r="J524" s="10">
        <v>229.7</v>
      </c>
      <c r="K524" s="10"/>
      <c r="L524" s="10">
        <v>229.7</v>
      </c>
      <c r="M524" s="11">
        <v>0</v>
      </c>
      <c r="N524" s="10">
        <v>0</v>
      </c>
      <c r="O524" s="10">
        <v>229.7</v>
      </c>
      <c r="P524" s="11">
        <v>1</v>
      </c>
      <c r="Q524" s="10">
        <v>229.7</v>
      </c>
      <c r="R524" s="10">
        <f t="shared" si="138"/>
        <v>210</v>
      </c>
      <c r="S524" s="10">
        <v>300</v>
      </c>
      <c r="T524" s="9" t="s">
        <v>76</v>
      </c>
      <c r="U524" s="10">
        <v>300</v>
      </c>
      <c r="V524" s="10">
        <f t="shared" si="139"/>
        <v>210</v>
      </c>
      <c r="W524" s="166">
        <v>490300</v>
      </c>
      <c r="X524" s="12" t="s">
        <v>29</v>
      </c>
      <c r="Y524" s="12">
        <f t="shared" si="140"/>
        <v>300</v>
      </c>
      <c r="Z524" s="13">
        <f t="shared" si="141"/>
        <v>300</v>
      </c>
      <c r="AA524" s="13">
        <f t="shared" si="142"/>
        <v>300</v>
      </c>
      <c r="AB524" s="13">
        <f t="shared" si="143"/>
        <v>229.7</v>
      </c>
      <c r="AC524" s="13">
        <f t="shared" si="144"/>
        <v>70.300000000000011</v>
      </c>
      <c r="AD524" s="14">
        <f t="shared" si="145"/>
        <v>0.23433333333333337</v>
      </c>
      <c r="AE524" s="14">
        <f t="shared" si="146"/>
        <v>0.30605137135394</v>
      </c>
      <c r="AF524" s="13" t="str">
        <f>IF(AD524&gt;=Assumptions!$B$3,"OK","Review")</f>
        <v>Review</v>
      </c>
      <c r="AG524" s="13">
        <f>IFERROR(IF(Assumptions!$B$13="Cost Price",AB524,AA524)*SUMIF(Assumptions!$A$6:$A$10,X524,Assumptions!$B$6:$B$10),0)</f>
        <v>24</v>
      </c>
      <c r="AH524" s="13">
        <f>IFERROR(IF(Assumptions!$B$13="Cost Price",AB524,AA524)*SUMIF(Assumptions!$A$6:$A$10,X524,Assumptions!$C$6:$C$10),0)</f>
        <v>15</v>
      </c>
      <c r="AI524" s="13">
        <f>IFERROR(IF(Assumptions!$B$13="Cost Price",AB524,AA524)*SUMIF(Assumptions!$A$6:$A$10,X524,Assumptions!$D$6:$D$10),0)</f>
        <v>30</v>
      </c>
      <c r="AJ524" s="13">
        <v>30</v>
      </c>
      <c r="AK524" s="13">
        <f t="shared" si="147"/>
        <v>99</v>
      </c>
      <c r="AL524" s="14">
        <v>0.33</v>
      </c>
      <c r="AM524" s="13">
        <f t="shared" si="148"/>
        <v>-28.699999999999989</v>
      </c>
      <c r="AN524" s="14">
        <f t="shared" si="149"/>
        <v>-9.5666666666666622E-2</v>
      </c>
      <c r="AO524" t="str">
        <f>IF(AN524&gt;=Assumptions!$B$3,"OK","Review")</f>
        <v>Review</v>
      </c>
    </row>
    <row r="525" spans="1:41">
      <c r="A525" s="9" t="s">
        <v>47</v>
      </c>
      <c r="B525" s="9" t="s">
        <v>44</v>
      </c>
      <c r="C525" s="9" t="s">
        <v>259</v>
      </c>
      <c r="D525" s="9" t="s">
        <v>358</v>
      </c>
      <c r="E525" s="9" t="s">
        <v>73</v>
      </c>
      <c r="F525" s="9" t="s">
        <v>90</v>
      </c>
      <c r="G525" s="9" t="s">
        <v>28</v>
      </c>
      <c r="H525" s="9" t="s">
        <v>75</v>
      </c>
      <c r="I525" s="9">
        <v>4000006508</v>
      </c>
      <c r="J525" s="10">
        <v>348.66</v>
      </c>
      <c r="K525" s="10"/>
      <c r="L525" s="10">
        <v>348.66</v>
      </c>
      <c r="M525" s="11">
        <v>0.18</v>
      </c>
      <c r="N525" s="10">
        <v>62.76</v>
      </c>
      <c r="O525" s="10">
        <v>411.42</v>
      </c>
      <c r="P525" s="11">
        <v>1</v>
      </c>
      <c r="Q525" s="10">
        <v>411.42</v>
      </c>
      <c r="R525" s="10">
        <f t="shared" si="138"/>
        <v>489.99999999999994</v>
      </c>
      <c r="S525" s="10">
        <v>700</v>
      </c>
      <c r="T525" s="9" t="s">
        <v>76</v>
      </c>
      <c r="U525" s="10">
        <v>700</v>
      </c>
      <c r="V525" s="10">
        <f t="shared" si="139"/>
        <v>489.99999999999994</v>
      </c>
      <c r="W525" s="166">
        <v>90172090</v>
      </c>
      <c r="X525" s="12" t="s">
        <v>29</v>
      </c>
      <c r="Y525" s="12">
        <f t="shared" si="140"/>
        <v>700</v>
      </c>
      <c r="Z525" s="13">
        <f t="shared" si="141"/>
        <v>700</v>
      </c>
      <c r="AA525" s="13">
        <f t="shared" si="142"/>
        <v>593.22033898305085</v>
      </c>
      <c r="AB525" s="13">
        <f t="shared" si="143"/>
        <v>348.66</v>
      </c>
      <c r="AC525" s="13">
        <f t="shared" si="144"/>
        <v>244.56033898305083</v>
      </c>
      <c r="AD525" s="14">
        <f t="shared" si="145"/>
        <v>0.41225885714285709</v>
      </c>
      <c r="AE525" s="14">
        <f t="shared" si="146"/>
        <v>0.70142929783471231</v>
      </c>
      <c r="AF525" s="13" t="str">
        <f>IF(AD525&gt;=Assumptions!$B$3,"OK","Review")</f>
        <v>OK</v>
      </c>
      <c r="AG525" s="13">
        <f>IFERROR(IF(Assumptions!$B$13="Cost Price",AB525,AA525)*SUMIF(Assumptions!$A$6:$A$10,X525,Assumptions!$B$6:$B$10),0)</f>
        <v>47.457627118644069</v>
      </c>
      <c r="AH525" s="13">
        <f>IFERROR(IF(Assumptions!$B$13="Cost Price",AB525,AA525)*SUMIF(Assumptions!$A$6:$A$10,X525,Assumptions!$C$6:$C$10),0)</f>
        <v>29.661016949152543</v>
      </c>
      <c r="AI525" s="13">
        <f>IFERROR(IF(Assumptions!$B$13="Cost Price",AB525,AA525)*SUMIF(Assumptions!$A$6:$A$10,X525,Assumptions!$D$6:$D$10),0)</f>
        <v>59.322033898305087</v>
      </c>
      <c r="AJ525" s="13">
        <v>59.322033898305087</v>
      </c>
      <c r="AK525" s="13">
        <f t="shared" si="147"/>
        <v>195.76271186440678</v>
      </c>
      <c r="AL525" s="14">
        <v>0.33</v>
      </c>
      <c r="AM525" s="13">
        <f t="shared" si="148"/>
        <v>48.797627118644044</v>
      </c>
      <c r="AN525" s="14">
        <f t="shared" si="149"/>
        <v>8.2258857142857106E-2</v>
      </c>
      <c r="AO525" t="str">
        <f>IF(AN525&gt;=Assumptions!$B$3,"OK","Review")</f>
        <v>Review</v>
      </c>
    </row>
    <row r="526" spans="1:41">
      <c r="A526" s="9" t="s">
        <v>47</v>
      </c>
      <c r="B526" s="9" t="s">
        <v>44</v>
      </c>
      <c r="C526" s="9" t="s">
        <v>266</v>
      </c>
      <c r="D526" s="9" t="s">
        <v>359</v>
      </c>
      <c r="E526" s="9" t="s">
        <v>73</v>
      </c>
      <c r="F526" s="9" t="s">
        <v>74</v>
      </c>
      <c r="G526" s="9" t="s">
        <v>28</v>
      </c>
      <c r="H526" s="9" t="s">
        <v>75</v>
      </c>
      <c r="I526" s="9">
        <v>4000010073</v>
      </c>
      <c r="J526" s="10">
        <v>267.86</v>
      </c>
      <c r="K526" s="10"/>
      <c r="L526" s="10">
        <v>267.86</v>
      </c>
      <c r="M526" s="11">
        <v>0</v>
      </c>
      <c r="N526" s="10">
        <v>0</v>
      </c>
      <c r="O526" s="10">
        <v>267.86</v>
      </c>
      <c r="P526" s="11">
        <v>1</v>
      </c>
      <c r="Q526" s="10">
        <v>267.86</v>
      </c>
      <c r="R526" s="10">
        <f t="shared" si="138"/>
        <v>210</v>
      </c>
      <c r="S526" s="10">
        <v>300</v>
      </c>
      <c r="T526" s="9" t="s">
        <v>76</v>
      </c>
      <c r="U526" s="10">
        <v>300</v>
      </c>
      <c r="V526" s="10">
        <f t="shared" si="139"/>
        <v>210</v>
      </c>
      <c r="W526" s="166">
        <v>490110</v>
      </c>
      <c r="X526" s="12" t="s">
        <v>29</v>
      </c>
      <c r="Y526" s="12">
        <f t="shared" si="140"/>
        <v>300</v>
      </c>
      <c r="Z526" s="13">
        <f t="shared" si="141"/>
        <v>300</v>
      </c>
      <c r="AA526" s="13">
        <f t="shared" si="142"/>
        <v>300</v>
      </c>
      <c r="AB526" s="13">
        <f t="shared" si="143"/>
        <v>267.86</v>
      </c>
      <c r="AC526" s="13">
        <f t="shared" si="144"/>
        <v>32.139999999999986</v>
      </c>
      <c r="AD526" s="14">
        <f t="shared" si="145"/>
        <v>0.10713333333333329</v>
      </c>
      <c r="AE526" s="14">
        <f t="shared" si="146"/>
        <v>0.11998805346076302</v>
      </c>
      <c r="AF526" s="13" t="str">
        <f>IF(AD526&gt;=Assumptions!$B$3,"OK","Review")</f>
        <v>Review</v>
      </c>
      <c r="AG526" s="13">
        <f>IFERROR(IF(Assumptions!$B$13="Cost Price",AB526,AA526)*SUMIF(Assumptions!$A$6:$A$10,X526,Assumptions!$B$6:$B$10),0)</f>
        <v>24</v>
      </c>
      <c r="AH526" s="13">
        <f>IFERROR(IF(Assumptions!$B$13="Cost Price",AB526,AA526)*SUMIF(Assumptions!$A$6:$A$10,X526,Assumptions!$C$6:$C$10),0)</f>
        <v>15</v>
      </c>
      <c r="AI526" s="13">
        <f>IFERROR(IF(Assumptions!$B$13="Cost Price",AB526,AA526)*SUMIF(Assumptions!$A$6:$A$10,X526,Assumptions!$D$6:$D$10),0)</f>
        <v>30</v>
      </c>
      <c r="AJ526" s="13">
        <v>30</v>
      </c>
      <c r="AK526" s="13">
        <f t="shared" si="147"/>
        <v>99</v>
      </c>
      <c r="AL526" s="14">
        <v>0.33</v>
      </c>
      <c r="AM526" s="13">
        <f t="shared" si="148"/>
        <v>-66.860000000000014</v>
      </c>
      <c r="AN526" s="14">
        <f t="shared" si="149"/>
        <v>-0.22286666666666671</v>
      </c>
      <c r="AO526" t="str">
        <f>IF(AN526&gt;=Assumptions!$B$3,"OK","Review")</f>
        <v>Review</v>
      </c>
    </row>
    <row r="527" spans="1:41">
      <c r="A527" s="9" t="s">
        <v>47</v>
      </c>
      <c r="B527" s="9" t="s">
        <v>44</v>
      </c>
      <c r="C527" s="9" t="s">
        <v>352</v>
      </c>
      <c r="D527" s="9" t="s">
        <v>360</v>
      </c>
      <c r="E527" s="9" t="s">
        <v>73</v>
      </c>
      <c r="F527" s="9" t="s">
        <v>90</v>
      </c>
      <c r="G527" s="9" t="s">
        <v>28</v>
      </c>
      <c r="H527" s="9" t="s">
        <v>75</v>
      </c>
      <c r="I527" s="9">
        <v>4000007477</v>
      </c>
      <c r="J527" s="10">
        <v>267.20999999999998</v>
      </c>
      <c r="K527" s="10"/>
      <c r="L527" s="10">
        <v>267.20999999999998</v>
      </c>
      <c r="M527" s="11">
        <v>0.18</v>
      </c>
      <c r="N527" s="10">
        <v>48.1</v>
      </c>
      <c r="O527" s="10">
        <v>315.31</v>
      </c>
      <c r="P527" s="11">
        <v>1</v>
      </c>
      <c r="Q527" s="10">
        <v>315.31</v>
      </c>
      <c r="R527" s="10">
        <f t="shared" si="138"/>
        <v>489.99999999999994</v>
      </c>
      <c r="S527" s="10">
        <v>700</v>
      </c>
      <c r="T527" s="9" t="s">
        <v>76</v>
      </c>
      <c r="U527" s="10">
        <v>700</v>
      </c>
      <c r="V527" s="10">
        <f t="shared" si="139"/>
        <v>489.99999999999994</v>
      </c>
      <c r="W527" s="166">
        <v>49119100</v>
      </c>
      <c r="X527" s="12" t="s">
        <v>29</v>
      </c>
      <c r="Y527" s="12">
        <f t="shared" si="140"/>
        <v>700</v>
      </c>
      <c r="Z527" s="13">
        <f t="shared" si="141"/>
        <v>700</v>
      </c>
      <c r="AA527" s="13">
        <f t="shared" si="142"/>
        <v>593.22033898305085</v>
      </c>
      <c r="AB527" s="13">
        <f t="shared" si="143"/>
        <v>267.20999999999998</v>
      </c>
      <c r="AC527" s="13">
        <f t="shared" si="144"/>
        <v>326.01033898305087</v>
      </c>
      <c r="AD527" s="14">
        <f t="shared" si="145"/>
        <v>0.54956028571428572</v>
      </c>
      <c r="AE527" s="14">
        <f t="shared" si="146"/>
        <v>1.2200529133754383</v>
      </c>
      <c r="AF527" s="13" t="str">
        <f>IF(AD527&gt;=Assumptions!$B$3,"OK","Review")</f>
        <v>OK</v>
      </c>
      <c r="AG527" s="13">
        <f>IFERROR(IF(Assumptions!$B$13="Cost Price",AB527,AA527)*SUMIF(Assumptions!$A$6:$A$10,X527,Assumptions!$B$6:$B$10),0)</f>
        <v>47.457627118644069</v>
      </c>
      <c r="AH527" s="13">
        <f>IFERROR(IF(Assumptions!$B$13="Cost Price",AB527,AA527)*SUMIF(Assumptions!$A$6:$A$10,X527,Assumptions!$C$6:$C$10),0)</f>
        <v>29.661016949152543</v>
      </c>
      <c r="AI527" s="13">
        <f>IFERROR(IF(Assumptions!$B$13="Cost Price",AB527,AA527)*SUMIF(Assumptions!$A$6:$A$10,X527,Assumptions!$D$6:$D$10),0)</f>
        <v>59.322033898305087</v>
      </c>
      <c r="AJ527" s="13">
        <v>59.322033898305087</v>
      </c>
      <c r="AK527" s="13">
        <f t="shared" si="147"/>
        <v>195.76271186440678</v>
      </c>
      <c r="AL527" s="14">
        <v>0.33</v>
      </c>
      <c r="AM527" s="13">
        <f t="shared" si="148"/>
        <v>130.24762711864409</v>
      </c>
      <c r="AN527" s="14">
        <f t="shared" si="149"/>
        <v>0.21956028571428576</v>
      </c>
      <c r="AO527" t="str">
        <f>IF(AN527&gt;=Assumptions!$B$3,"OK","Review")</f>
        <v>Review</v>
      </c>
    </row>
    <row r="528" spans="1:41">
      <c r="A528" s="9" t="s">
        <v>47</v>
      </c>
      <c r="B528" s="9" t="s">
        <v>44</v>
      </c>
      <c r="C528" s="9" t="s">
        <v>271</v>
      </c>
      <c r="D528" s="9" t="s">
        <v>361</v>
      </c>
      <c r="E528" s="9" t="s">
        <v>73</v>
      </c>
      <c r="F528" s="9" t="s">
        <v>74</v>
      </c>
      <c r="G528" s="9" t="s">
        <v>28</v>
      </c>
      <c r="H528" s="9" t="s">
        <v>75</v>
      </c>
      <c r="I528" s="9">
        <v>4000010075</v>
      </c>
      <c r="J528" s="10">
        <v>36.380000000000003</v>
      </c>
      <c r="K528" s="10"/>
      <c r="L528" s="10">
        <v>36.380000000000003</v>
      </c>
      <c r="M528" s="11">
        <v>0</v>
      </c>
      <c r="N528" s="10">
        <v>0</v>
      </c>
      <c r="O528" s="10">
        <v>36.380000000000003</v>
      </c>
      <c r="P528" s="11">
        <v>1</v>
      </c>
      <c r="Q528" s="10">
        <v>36.380000000000003</v>
      </c>
      <c r="R528" s="10">
        <f t="shared" si="138"/>
        <v>140</v>
      </c>
      <c r="S528" s="10">
        <v>200</v>
      </c>
      <c r="T528" s="9" t="s">
        <v>76</v>
      </c>
      <c r="U528" s="10">
        <v>200</v>
      </c>
      <c r="V528" s="10">
        <f t="shared" si="139"/>
        <v>140</v>
      </c>
      <c r="W528" s="166">
        <v>490110</v>
      </c>
      <c r="X528" s="12" t="s">
        <v>29</v>
      </c>
      <c r="Y528" s="12">
        <f t="shared" si="140"/>
        <v>200</v>
      </c>
      <c r="Z528" s="13">
        <f t="shared" si="141"/>
        <v>200</v>
      </c>
      <c r="AA528" s="13">
        <f t="shared" si="142"/>
        <v>200</v>
      </c>
      <c r="AB528" s="13">
        <f t="shared" si="143"/>
        <v>36.380000000000003</v>
      </c>
      <c r="AC528" s="13">
        <f t="shared" si="144"/>
        <v>163.62</v>
      </c>
      <c r="AD528" s="14">
        <f t="shared" si="145"/>
        <v>0.81810000000000005</v>
      </c>
      <c r="AE528" s="14">
        <f t="shared" si="146"/>
        <v>4.4975261132490374</v>
      </c>
      <c r="AF528" s="13" t="str">
        <f>IF(AD528&gt;=Assumptions!$B$3,"OK","Review")</f>
        <v>OK</v>
      </c>
      <c r="AG528" s="13">
        <f>IFERROR(IF(Assumptions!$B$13="Cost Price",AB528,AA528)*SUMIF(Assumptions!$A$6:$A$10,X528,Assumptions!$B$6:$B$10),0)</f>
        <v>16</v>
      </c>
      <c r="AH528" s="13">
        <f>IFERROR(IF(Assumptions!$B$13="Cost Price",AB528,AA528)*SUMIF(Assumptions!$A$6:$A$10,X528,Assumptions!$C$6:$C$10),0)</f>
        <v>10</v>
      </c>
      <c r="AI528" s="13">
        <f>IFERROR(IF(Assumptions!$B$13="Cost Price",AB528,AA528)*SUMIF(Assumptions!$A$6:$A$10,X528,Assumptions!$D$6:$D$10),0)</f>
        <v>20</v>
      </c>
      <c r="AJ528" s="13">
        <v>20</v>
      </c>
      <c r="AK528" s="13">
        <f t="shared" si="147"/>
        <v>66</v>
      </c>
      <c r="AL528" s="14">
        <v>0.33</v>
      </c>
      <c r="AM528" s="13">
        <f t="shared" si="148"/>
        <v>97.62</v>
      </c>
      <c r="AN528" s="14">
        <f t="shared" si="149"/>
        <v>0.48810000000000003</v>
      </c>
      <c r="AO528" t="str">
        <f>IF(AN528&gt;=Assumptions!$B$3,"OK","Review")</f>
        <v>OK</v>
      </c>
    </row>
    <row r="529" spans="1:41">
      <c r="A529" s="9" t="s">
        <v>47</v>
      </c>
      <c r="B529" s="9" t="s">
        <v>45</v>
      </c>
      <c r="C529" s="9" t="s">
        <v>345</v>
      </c>
      <c r="D529" s="9" t="s">
        <v>362</v>
      </c>
      <c r="E529" s="9" t="s">
        <v>73</v>
      </c>
      <c r="F529" s="9" t="s">
        <v>74</v>
      </c>
      <c r="G529" s="9" t="s">
        <v>28</v>
      </c>
      <c r="H529" s="9" t="s">
        <v>84</v>
      </c>
      <c r="I529" s="9">
        <v>4000001491</v>
      </c>
      <c r="J529" s="10">
        <v>66</v>
      </c>
      <c r="K529" s="10"/>
      <c r="L529" s="10">
        <v>66</v>
      </c>
      <c r="M529" s="11">
        <v>0</v>
      </c>
      <c r="N529" s="10">
        <v>0</v>
      </c>
      <c r="O529" s="10">
        <v>66</v>
      </c>
      <c r="P529" s="11">
        <v>0.46879999999999999</v>
      </c>
      <c r="Q529" s="10">
        <v>140.80000000000001</v>
      </c>
      <c r="R529" s="10">
        <f t="shared" si="138"/>
        <v>168</v>
      </c>
      <c r="S529" s="10">
        <v>112.5</v>
      </c>
      <c r="T529" s="9" t="s">
        <v>76</v>
      </c>
      <c r="U529" s="10">
        <v>240</v>
      </c>
      <c r="V529" s="10">
        <f t="shared" si="139"/>
        <v>168</v>
      </c>
      <c r="W529" s="166">
        <v>490110</v>
      </c>
      <c r="X529" s="12" t="s">
        <v>29</v>
      </c>
      <c r="Y529" s="12">
        <f t="shared" si="140"/>
        <v>112.5</v>
      </c>
      <c r="Z529" s="13">
        <f t="shared" si="141"/>
        <v>112.5</v>
      </c>
      <c r="AA529" s="13">
        <f t="shared" si="142"/>
        <v>112.5</v>
      </c>
      <c r="AB529" s="13">
        <f t="shared" si="143"/>
        <v>66</v>
      </c>
      <c r="AC529" s="13">
        <f t="shared" si="144"/>
        <v>46.5</v>
      </c>
      <c r="AD529" s="14">
        <f t="shared" si="145"/>
        <v>0.41333333333333333</v>
      </c>
      <c r="AE529" s="14">
        <f t="shared" si="146"/>
        <v>0.70454545454545459</v>
      </c>
      <c r="AF529" s="13" t="str">
        <f>IF(AD529&gt;=Assumptions!$B$3,"OK","Review")</f>
        <v>OK</v>
      </c>
      <c r="AG529" s="13">
        <f>IFERROR(IF(Assumptions!$B$13="Cost Price",AB529,AA529)*SUMIF(Assumptions!$A$6:$A$10,X529,Assumptions!$B$6:$B$10),0)</f>
        <v>9</v>
      </c>
      <c r="AH529" s="13">
        <f>IFERROR(IF(Assumptions!$B$13="Cost Price",AB529,AA529)*SUMIF(Assumptions!$A$6:$A$10,X529,Assumptions!$C$6:$C$10),0)</f>
        <v>5.625</v>
      </c>
      <c r="AI529" s="13">
        <f>IFERROR(IF(Assumptions!$B$13="Cost Price",AB529,AA529)*SUMIF(Assumptions!$A$6:$A$10,X529,Assumptions!$D$6:$D$10),0)</f>
        <v>11.25</v>
      </c>
      <c r="AJ529" s="13">
        <v>11.25</v>
      </c>
      <c r="AK529" s="13">
        <f t="shared" si="147"/>
        <v>37.125</v>
      </c>
      <c r="AL529" s="14">
        <v>0.33</v>
      </c>
      <c r="AM529" s="13">
        <f t="shared" si="148"/>
        <v>9.375</v>
      </c>
      <c r="AN529" s="14">
        <f t="shared" si="149"/>
        <v>8.3333333333333329E-2</v>
      </c>
      <c r="AO529" t="str">
        <f>IF(AN529&gt;=Assumptions!$B$3,"OK","Review")</f>
        <v>Review</v>
      </c>
    </row>
    <row r="530" spans="1:41">
      <c r="A530" s="9" t="s">
        <v>47</v>
      </c>
      <c r="B530" s="9" t="s">
        <v>45</v>
      </c>
      <c r="C530" s="9" t="s">
        <v>345</v>
      </c>
      <c r="D530" s="9" t="s">
        <v>363</v>
      </c>
      <c r="E530" s="9" t="s">
        <v>73</v>
      </c>
      <c r="F530" s="9" t="s">
        <v>74</v>
      </c>
      <c r="G530" s="9" t="s">
        <v>28</v>
      </c>
      <c r="H530" s="9" t="s">
        <v>84</v>
      </c>
      <c r="I530" s="9">
        <v>4000001492</v>
      </c>
      <c r="J530" s="10">
        <v>74.8</v>
      </c>
      <c r="K530" s="10"/>
      <c r="L530" s="10">
        <v>74.8</v>
      </c>
      <c r="M530" s="11">
        <v>0</v>
      </c>
      <c r="N530" s="10">
        <v>0</v>
      </c>
      <c r="O530" s="10">
        <v>74.8</v>
      </c>
      <c r="P530" s="11">
        <v>0.53129999999999999</v>
      </c>
      <c r="Q530" s="10">
        <v>140.80000000000001</v>
      </c>
      <c r="R530" s="10">
        <f t="shared" si="138"/>
        <v>168</v>
      </c>
      <c r="S530" s="10">
        <v>127.5</v>
      </c>
      <c r="T530" s="9" t="s">
        <v>76</v>
      </c>
      <c r="U530" s="10">
        <v>240</v>
      </c>
      <c r="V530" s="10">
        <f t="shared" si="139"/>
        <v>168</v>
      </c>
      <c r="W530" s="166">
        <v>490110</v>
      </c>
      <c r="X530" s="12" t="s">
        <v>29</v>
      </c>
      <c r="Y530" s="12">
        <f t="shared" si="140"/>
        <v>127.5</v>
      </c>
      <c r="Z530" s="13">
        <f t="shared" si="141"/>
        <v>127.5</v>
      </c>
      <c r="AA530" s="13">
        <f t="shared" si="142"/>
        <v>127.5</v>
      </c>
      <c r="AB530" s="13">
        <f t="shared" si="143"/>
        <v>74.8</v>
      </c>
      <c r="AC530" s="13">
        <f t="shared" si="144"/>
        <v>52.7</v>
      </c>
      <c r="AD530" s="14">
        <f t="shared" si="145"/>
        <v>0.41333333333333333</v>
      </c>
      <c r="AE530" s="14">
        <f t="shared" si="146"/>
        <v>0.70454545454545459</v>
      </c>
      <c r="AF530" s="13" t="str">
        <f>IF(AD530&gt;=Assumptions!$B$3,"OK","Review")</f>
        <v>OK</v>
      </c>
      <c r="AG530" s="13">
        <f>IFERROR(IF(Assumptions!$B$13="Cost Price",AB530,AA530)*SUMIF(Assumptions!$A$6:$A$10,X530,Assumptions!$B$6:$B$10),0)</f>
        <v>10.200000000000001</v>
      </c>
      <c r="AH530" s="13">
        <f>IFERROR(IF(Assumptions!$B$13="Cost Price",AB530,AA530)*SUMIF(Assumptions!$A$6:$A$10,X530,Assumptions!$C$6:$C$10),0)</f>
        <v>6.375</v>
      </c>
      <c r="AI530" s="13">
        <f>IFERROR(IF(Assumptions!$B$13="Cost Price",AB530,AA530)*SUMIF(Assumptions!$A$6:$A$10,X530,Assumptions!$D$6:$D$10),0)</f>
        <v>12.75</v>
      </c>
      <c r="AJ530" s="13">
        <v>12.75</v>
      </c>
      <c r="AK530" s="13">
        <f t="shared" si="147"/>
        <v>42.075000000000003</v>
      </c>
      <c r="AL530" s="14">
        <v>0.33</v>
      </c>
      <c r="AM530" s="13">
        <f t="shared" si="148"/>
        <v>10.625</v>
      </c>
      <c r="AN530" s="14">
        <f t="shared" si="149"/>
        <v>8.3333333333333329E-2</v>
      </c>
      <c r="AO530" t="str">
        <f>IF(AN530&gt;=Assumptions!$B$3,"OK","Review")</f>
        <v>Review</v>
      </c>
    </row>
    <row r="531" spans="1:41">
      <c r="A531" s="9" t="s">
        <v>47</v>
      </c>
      <c r="B531" s="9" t="s">
        <v>45</v>
      </c>
      <c r="C531" s="9" t="s">
        <v>348</v>
      </c>
      <c r="D531" s="9" t="s">
        <v>364</v>
      </c>
      <c r="E531" s="9" t="s">
        <v>73</v>
      </c>
      <c r="F531" s="9" t="s">
        <v>74</v>
      </c>
      <c r="G531" s="9" t="s">
        <v>28</v>
      </c>
      <c r="H531" s="9" t="s">
        <v>75</v>
      </c>
      <c r="I531" s="9">
        <v>4000010079</v>
      </c>
      <c r="J531" s="10">
        <v>277.14999999999998</v>
      </c>
      <c r="K531" s="10"/>
      <c r="L531" s="10">
        <v>277.14999999999998</v>
      </c>
      <c r="M531" s="11">
        <v>0</v>
      </c>
      <c r="N531" s="10">
        <v>0</v>
      </c>
      <c r="O531" s="10">
        <v>277.14999999999998</v>
      </c>
      <c r="P531" s="11">
        <v>1</v>
      </c>
      <c r="Q531" s="10">
        <v>277.14999999999998</v>
      </c>
      <c r="R531" s="10">
        <f t="shared" si="138"/>
        <v>210</v>
      </c>
      <c r="S531" s="10">
        <v>300</v>
      </c>
      <c r="T531" s="9" t="s">
        <v>76</v>
      </c>
      <c r="U531" s="10">
        <v>300</v>
      </c>
      <c r="V531" s="10">
        <f t="shared" si="139"/>
        <v>210</v>
      </c>
      <c r="W531" s="166">
        <v>490300</v>
      </c>
      <c r="X531" s="12" t="s">
        <v>29</v>
      </c>
      <c r="Y531" s="12">
        <f t="shared" si="140"/>
        <v>300</v>
      </c>
      <c r="Z531" s="13">
        <f t="shared" si="141"/>
        <v>300</v>
      </c>
      <c r="AA531" s="13">
        <f t="shared" si="142"/>
        <v>300</v>
      </c>
      <c r="AB531" s="13">
        <f t="shared" si="143"/>
        <v>277.14999999999998</v>
      </c>
      <c r="AC531" s="13">
        <f t="shared" si="144"/>
        <v>22.850000000000023</v>
      </c>
      <c r="AD531" s="14">
        <f t="shared" si="145"/>
        <v>7.6166666666666744E-2</v>
      </c>
      <c r="AE531" s="14">
        <f t="shared" si="146"/>
        <v>8.2446328702868568E-2</v>
      </c>
      <c r="AF531" s="13" t="str">
        <f>IF(AD531&gt;=Assumptions!$B$3,"OK","Review")</f>
        <v>Review</v>
      </c>
      <c r="AG531" s="13">
        <f>IFERROR(IF(Assumptions!$B$13="Cost Price",AB531,AA531)*SUMIF(Assumptions!$A$6:$A$10,X531,Assumptions!$B$6:$B$10),0)</f>
        <v>24</v>
      </c>
      <c r="AH531" s="13">
        <f>IFERROR(IF(Assumptions!$B$13="Cost Price",AB531,AA531)*SUMIF(Assumptions!$A$6:$A$10,X531,Assumptions!$C$6:$C$10),0)</f>
        <v>15</v>
      </c>
      <c r="AI531" s="13">
        <f>IFERROR(IF(Assumptions!$B$13="Cost Price",AB531,AA531)*SUMIF(Assumptions!$A$6:$A$10,X531,Assumptions!$D$6:$D$10),0)</f>
        <v>30</v>
      </c>
      <c r="AJ531" s="13">
        <v>30</v>
      </c>
      <c r="AK531" s="13">
        <f t="shared" si="147"/>
        <v>99</v>
      </c>
      <c r="AL531" s="14">
        <v>0.33</v>
      </c>
      <c r="AM531" s="13">
        <f t="shared" si="148"/>
        <v>-76.149999999999977</v>
      </c>
      <c r="AN531" s="14">
        <f t="shared" si="149"/>
        <v>-0.25383333333333324</v>
      </c>
      <c r="AO531" t="str">
        <f>IF(AN531&gt;=Assumptions!$B$3,"OK","Review")</f>
        <v>Review</v>
      </c>
    </row>
    <row r="532" spans="1:41">
      <c r="A532" s="9" t="s">
        <v>47</v>
      </c>
      <c r="B532" s="9" t="s">
        <v>45</v>
      </c>
      <c r="C532" s="9" t="s">
        <v>259</v>
      </c>
      <c r="D532" s="9" t="s">
        <v>365</v>
      </c>
      <c r="E532" s="9" t="s">
        <v>73</v>
      </c>
      <c r="F532" s="9" t="s">
        <v>90</v>
      </c>
      <c r="G532" s="9" t="s">
        <v>28</v>
      </c>
      <c r="H532" s="9" t="s">
        <v>75</v>
      </c>
      <c r="I532" s="9">
        <v>4000006499</v>
      </c>
      <c r="J532" s="10">
        <v>414.26</v>
      </c>
      <c r="K532" s="10"/>
      <c r="L532" s="10">
        <v>414.26</v>
      </c>
      <c r="M532" s="11">
        <v>0.18</v>
      </c>
      <c r="N532" s="10">
        <v>74.569999999999993</v>
      </c>
      <c r="O532" s="10">
        <v>488.83</v>
      </c>
      <c r="P532" s="11">
        <v>1</v>
      </c>
      <c r="Q532" s="10">
        <v>488.83</v>
      </c>
      <c r="R532" s="10">
        <f t="shared" si="138"/>
        <v>489.99999999999994</v>
      </c>
      <c r="S532" s="10">
        <v>700</v>
      </c>
      <c r="T532" s="9" t="s">
        <v>76</v>
      </c>
      <c r="U532" s="10">
        <v>700</v>
      </c>
      <c r="V532" s="10">
        <f t="shared" si="139"/>
        <v>489.99999999999994</v>
      </c>
      <c r="W532" s="166">
        <v>90172090</v>
      </c>
      <c r="X532" s="12" t="s">
        <v>29</v>
      </c>
      <c r="Y532" s="12">
        <f t="shared" si="140"/>
        <v>700</v>
      </c>
      <c r="Z532" s="13">
        <f t="shared" si="141"/>
        <v>700</v>
      </c>
      <c r="AA532" s="13">
        <f t="shared" si="142"/>
        <v>593.22033898305085</v>
      </c>
      <c r="AB532" s="13">
        <f t="shared" si="143"/>
        <v>414.26</v>
      </c>
      <c r="AC532" s="13">
        <f t="shared" si="144"/>
        <v>178.96033898305086</v>
      </c>
      <c r="AD532" s="14">
        <f t="shared" si="145"/>
        <v>0.301676</v>
      </c>
      <c r="AE532" s="14">
        <f t="shared" si="146"/>
        <v>0.43200004582400153</v>
      </c>
      <c r="AF532" s="13" t="str">
        <f>IF(AD532&gt;=Assumptions!$B$3,"OK","Review")</f>
        <v>OK</v>
      </c>
      <c r="AG532" s="13">
        <f>IFERROR(IF(Assumptions!$B$13="Cost Price",AB532,AA532)*SUMIF(Assumptions!$A$6:$A$10,X532,Assumptions!$B$6:$B$10),0)</f>
        <v>47.457627118644069</v>
      </c>
      <c r="AH532" s="13">
        <f>IFERROR(IF(Assumptions!$B$13="Cost Price",AB532,AA532)*SUMIF(Assumptions!$A$6:$A$10,X532,Assumptions!$C$6:$C$10),0)</f>
        <v>29.661016949152543</v>
      </c>
      <c r="AI532" s="13">
        <f>IFERROR(IF(Assumptions!$B$13="Cost Price",AB532,AA532)*SUMIF(Assumptions!$A$6:$A$10,X532,Assumptions!$D$6:$D$10),0)</f>
        <v>59.322033898305087</v>
      </c>
      <c r="AJ532" s="13">
        <v>59.322033898305087</v>
      </c>
      <c r="AK532" s="13">
        <f t="shared" si="147"/>
        <v>195.76271186440678</v>
      </c>
      <c r="AL532" s="14">
        <v>0.33</v>
      </c>
      <c r="AM532" s="13">
        <f t="shared" si="148"/>
        <v>-16.802372881355922</v>
      </c>
      <c r="AN532" s="14">
        <f t="shared" si="149"/>
        <v>-2.8323999999999981E-2</v>
      </c>
      <c r="AO532" t="str">
        <f>IF(AN532&gt;=Assumptions!$B$3,"OK","Review")</f>
        <v>Review</v>
      </c>
    </row>
    <row r="533" spans="1:41">
      <c r="A533" s="9" t="s">
        <v>47</v>
      </c>
      <c r="B533" s="9" t="s">
        <v>45</v>
      </c>
      <c r="C533" s="9" t="s">
        <v>266</v>
      </c>
      <c r="D533" s="9" t="s">
        <v>366</v>
      </c>
      <c r="E533" s="9" t="s">
        <v>73</v>
      </c>
      <c r="F533" s="9" t="s">
        <v>74</v>
      </c>
      <c r="G533" s="9" t="s">
        <v>28</v>
      </c>
      <c r="H533" s="9" t="s">
        <v>75</v>
      </c>
      <c r="I533" s="9">
        <v>4000010077</v>
      </c>
      <c r="J533" s="10">
        <v>267.86</v>
      </c>
      <c r="K533" s="10"/>
      <c r="L533" s="10">
        <v>267.86</v>
      </c>
      <c r="M533" s="11">
        <v>0</v>
      </c>
      <c r="N533" s="10">
        <v>0</v>
      </c>
      <c r="O533" s="10">
        <v>267.86</v>
      </c>
      <c r="P533" s="11">
        <v>1</v>
      </c>
      <c r="Q533" s="10">
        <v>267.86</v>
      </c>
      <c r="R533" s="10">
        <f t="shared" si="138"/>
        <v>210</v>
      </c>
      <c r="S533" s="10">
        <v>300</v>
      </c>
      <c r="T533" s="9" t="s">
        <v>76</v>
      </c>
      <c r="U533" s="10">
        <v>300</v>
      </c>
      <c r="V533" s="10">
        <f t="shared" si="139"/>
        <v>210</v>
      </c>
      <c r="W533" s="166">
        <v>490110</v>
      </c>
      <c r="X533" s="12" t="s">
        <v>29</v>
      </c>
      <c r="Y533" s="12">
        <f t="shared" si="140"/>
        <v>300</v>
      </c>
      <c r="Z533" s="13">
        <f t="shared" si="141"/>
        <v>300</v>
      </c>
      <c r="AA533" s="13">
        <f t="shared" si="142"/>
        <v>300</v>
      </c>
      <c r="AB533" s="13">
        <f t="shared" si="143"/>
        <v>267.86</v>
      </c>
      <c r="AC533" s="13">
        <f t="shared" si="144"/>
        <v>32.139999999999986</v>
      </c>
      <c r="AD533" s="14">
        <f t="shared" si="145"/>
        <v>0.10713333333333329</v>
      </c>
      <c r="AE533" s="14">
        <f t="shared" si="146"/>
        <v>0.11998805346076302</v>
      </c>
      <c r="AF533" s="13" t="str">
        <f>IF(AD533&gt;=Assumptions!$B$3,"OK","Review")</f>
        <v>Review</v>
      </c>
      <c r="AG533" s="13">
        <f>IFERROR(IF(Assumptions!$B$13="Cost Price",AB533,AA533)*SUMIF(Assumptions!$A$6:$A$10,X533,Assumptions!$B$6:$B$10),0)</f>
        <v>24</v>
      </c>
      <c r="AH533" s="13">
        <f>IFERROR(IF(Assumptions!$B$13="Cost Price",AB533,AA533)*SUMIF(Assumptions!$A$6:$A$10,X533,Assumptions!$C$6:$C$10),0)</f>
        <v>15</v>
      </c>
      <c r="AI533" s="13">
        <f>IFERROR(IF(Assumptions!$B$13="Cost Price",AB533,AA533)*SUMIF(Assumptions!$A$6:$A$10,X533,Assumptions!$D$6:$D$10),0)</f>
        <v>30</v>
      </c>
      <c r="AJ533" s="13">
        <v>30</v>
      </c>
      <c r="AK533" s="13">
        <f t="shared" si="147"/>
        <v>99</v>
      </c>
      <c r="AL533" s="14">
        <v>0.33</v>
      </c>
      <c r="AM533" s="13">
        <f t="shared" si="148"/>
        <v>-66.860000000000014</v>
      </c>
      <c r="AN533" s="14">
        <f t="shared" si="149"/>
        <v>-0.22286666666666671</v>
      </c>
      <c r="AO533" t="str">
        <f>IF(AN533&gt;=Assumptions!$B$3,"OK","Review")</f>
        <v>Review</v>
      </c>
    </row>
    <row r="534" spans="1:41">
      <c r="A534" s="9" t="s">
        <v>47</v>
      </c>
      <c r="B534" s="9" t="s">
        <v>45</v>
      </c>
      <c r="C534" s="9" t="s">
        <v>352</v>
      </c>
      <c r="D534" s="9" t="s">
        <v>367</v>
      </c>
      <c r="E534" s="9" t="s">
        <v>73</v>
      </c>
      <c r="F534" s="9" t="s">
        <v>90</v>
      </c>
      <c r="G534" s="9" t="s">
        <v>28</v>
      </c>
      <c r="H534" s="9" t="s">
        <v>75</v>
      </c>
      <c r="I534" s="9">
        <v>4000007478</v>
      </c>
      <c r="J534" s="10">
        <v>269.52999999999997</v>
      </c>
      <c r="K534" s="10"/>
      <c r="L534" s="10">
        <v>269.52999999999997</v>
      </c>
      <c r="M534" s="11">
        <v>0.18</v>
      </c>
      <c r="N534" s="10">
        <v>48.52</v>
      </c>
      <c r="O534" s="10">
        <v>318.05</v>
      </c>
      <c r="P534" s="11">
        <v>1</v>
      </c>
      <c r="Q534" s="10">
        <v>318.05</v>
      </c>
      <c r="R534" s="10">
        <f t="shared" si="138"/>
        <v>489.99999999999994</v>
      </c>
      <c r="S534" s="10">
        <v>700</v>
      </c>
      <c r="T534" s="9" t="s">
        <v>76</v>
      </c>
      <c r="U534" s="10">
        <v>700</v>
      </c>
      <c r="V534" s="10">
        <f t="shared" si="139"/>
        <v>489.99999999999994</v>
      </c>
      <c r="W534" s="166">
        <v>49119100</v>
      </c>
      <c r="X534" s="12" t="s">
        <v>29</v>
      </c>
      <c r="Y534" s="12">
        <f t="shared" si="140"/>
        <v>700</v>
      </c>
      <c r="Z534" s="13">
        <f t="shared" si="141"/>
        <v>700</v>
      </c>
      <c r="AA534" s="13">
        <f t="shared" si="142"/>
        <v>593.22033898305085</v>
      </c>
      <c r="AB534" s="13">
        <f t="shared" si="143"/>
        <v>269.52999999999997</v>
      </c>
      <c r="AC534" s="13">
        <f t="shared" si="144"/>
        <v>323.69033898305088</v>
      </c>
      <c r="AD534" s="14">
        <f t="shared" si="145"/>
        <v>0.54564942857142862</v>
      </c>
      <c r="AE534" s="14">
        <f t="shared" si="146"/>
        <v>1.2009436388641372</v>
      </c>
      <c r="AF534" s="13" t="str">
        <f>IF(AD534&gt;=Assumptions!$B$3,"OK","Review")</f>
        <v>OK</v>
      </c>
      <c r="AG534" s="13">
        <f>IFERROR(IF(Assumptions!$B$13="Cost Price",AB534,AA534)*SUMIF(Assumptions!$A$6:$A$10,X534,Assumptions!$B$6:$B$10),0)</f>
        <v>47.457627118644069</v>
      </c>
      <c r="AH534" s="13">
        <f>IFERROR(IF(Assumptions!$B$13="Cost Price",AB534,AA534)*SUMIF(Assumptions!$A$6:$A$10,X534,Assumptions!$C$6:$C$10),0)</f>
        <v>29.661016949152543</v>
      </c>
      <c r="AI534" s="13">
        <f>IFERROR(IF(Assumptions!$B$13="Cost Price",AB534,AA534)*SUMIF(Assumptions!$A$6:$A$10,X534,Assumptions!$D$6:$D$10),0)</f>
        <v>59.322033898305087</v>
      </c>
      <c r="AJ534" s="13">
        <v>59.322033898305087</v>
      </c>
      <c r="AK534" s="13">
        <f t="shared" si="147"/>
        <v>195.76271186440678</v>
      </c>
      <c r="AL534" s="14">
        <v>0.33</v>
      </c>
      <c r="AM534" s="13">
        <f t="shared" si="148"/>
        <v>127.9276271186441</v>
      </c>
      <c r="AN534" s="14">
        <f t="shared" si="149"/>
        <v>0.21564942857142863</v>
      </c>
      <c r="AO534" t="str">
        <f>IF(AN534&gt;=Assumptions!$B$3,"OK","Review")</f>
        <v>Review</v>
      </c>
    </row>
    <row r="535" spans="1:41">
      <c r="A535" s="9" t="s">
        <v>47</v>
      </c>
      <c r="B535" s="9" t="s">
        <v>45</v>
      </c>
      <c r="C535" s="9" t="s">
        <v>271</v>
      </c>
      <c r="D535" s="9" t="s">
        <v>368</v>
      </c>
      <c r="E535" s="9" t="s">
        <v>73</v>
      </c>
      <c r="F535" s="9" t="s">
        <v>74</v>
      </c>
      <c r="G535" s="9" t="s">
        <v>28</v>
      </c>
      <c r="H535" s="9" t="s">
        <v>75</v>
      </c>
      <c r="I535" s="9">
        <v>4000010080</v>
      </c>
      <c r="J535" s="10">
        <v>54.22</v>
      </c>
      <c r="K535" s="10"/>
      <c r="L535" s="10">
        <v>54.22</v>
      </c>
      <c r="M535" s="11">
        <v>0</v>
      </c>
      <c r="N535" s="10">
        <v>0</v>
      </c>
      <c r="O535" s="10">
        <v>54.22</v>
      </c>
      <c r="P535" s="11">
        <v>1</v>
      </c>
      <c r="Q535" s="10">
        <v>54.22</v>
      </c>
      <c r="R535" s="10">
        <f t="shared" si="138"/>
        <v>140</v>
      </c>
      <c r="S535" s="10">
        <v>200</v>
      </c>
      <c r="T535" s="9" t="s">
        <v>76</v>
      </c>
      <c r="U535" s="10">
        <v>200</v>
      </c>
      <c r="V535" s="10">
        <f t="shared" si="139"/>
        <v>140</v>
      </c>
      <c r="W535" s="166">
        <v>490110</v>
      </c>
      <c r="X535" s="12" t="s">
        <v>29</v>
      </c>
      <c r="Y535" s="12">
        <f t="shared" si="140"/>
        <v>200</v>
      </c>
      <c r="Z535" s="13">
        <f t="shared" si="141"/>
        <v>200</v>
      </c>
      <c r="AA535" s="13">
        <f t="shared" si="142"/>
        <v>200</v>
      </c>
      <c r="AB535" s="13">
        <f t="shared" si="143"/>
        <v>54.22</v>
      </c>
      <c r="AC535" s="13">
        <f t="shared" si="144"/>
        <v>145.78</v>
      </c>
      <c r="AD535" s="14">
        <f t="shared" si="145"/>
        <v>0.72889999999999999</v>
      </c>
      <c r="AE535" s="14">
        <f t="shared" si="146"/>
        <v>2.6886757654002214</v>
      </c>
      <c r="AF535" s="13" t="str">
        <f>IF(AD535&gt;=Assumptions!$B$3,"OK","Review")</f>
        <v>OK</v>
      </c>
      <c r="AG535" s="13">
        <f>IFERROR(IF(Assumptions!$B$13="Cost Price",AB535,AA535)*SUMIF(Assumptions!$A$6:$A$10,X535,Assumptions!$B$6:$B$10),0)</f>
        <v>16</v>
      </c>
      <c r="AH535" s="13">
        <f>IFERROR(IF(Assumptions!$B$13="Cost Price",AB535,AA535)*SUMIF(Assumptions!$A$6:$A$10,X535,Assumptions!$C$6:$C$10),0)</f>
        <v>10</v>
      </c>
      <c r="AI535" s="13">
        <f>IFERROR(IF(Assumptions!$B$13="Cost Price",AB535,AA535)*SUMIF(Assumptions!$A$6:$A$10,X535,Assumptions!$D$6:$D$10),0)</f>
        <v>20</v>
      </c>
      <c r="AJ535" s="13">
        <v>20</v>
      </c>
      <c r="AK535" s="13">
        <f t="shared" si="147"/>
        <v>66</v>
      </c>
      <c r="AL535" s="14">
        <v>0.33</v>
      </c>
      <c r="AM535" s="13">
        <f t="shared" si="148"/>
        <v>79.78</v>
      </c>
      <c r="AN535" s="14">
        <f t="shared" si="149"/>
        <v>0.39890000000000003</v>
      </c>
      <c r="AO535" t="str">
        <f>IF(AN535&gt;=Assumptions!$B$3,"OK","Review")</f>
        <v>OK</v>
      </c>
    </row>
    <row r="536" spans="1:41">
      <c r="A536" s="9" t="s">
        <v>47</v>
      </c>
      <c r="B536" s="9" t="s">
        <v>46</v>
      </c>
      <c r="C536" s="9" t="s">
        <v>348</v>
      </c>
      <c r="D536" s="9" t="s">
        <v>369</v>
      </c>
      <c r="E536" s="9" t="s">
        <v>73</v>
      </c>
      <c r="F536" s="9" t="s">
        <v>74</v>
      </c>
      <c r="G536" s="9" t="s">
        <v>28</v>
      </c>
      <c r="H536" s="9" t="s">
        <v>75</v>
      </c>
      <c r="I536" s="9">
        <v>4000010082</v>
      </c>
      <c r="J536" s="10">
        <v>98.56</v>
      </c>
      <c r="K536" s="10"/>
      <c r="L536" s="10">
        <v>98.56</v>
      </c>
      <c r="M536" s="11">
        <v>0</v>
      </c>
      <c r="N536" s="10">
        <v>0</v>
      </c>
      <c r="O536" s="10">
        <v>98.56</v>
      </c>
      <c r="P536" s="11">
        <v>1</v>
      </c>
      <c r="Q536" s="10">
        <v>98.56</v>
      </c>
      <c r="R536" s="10">
        <f t="shared" si="138"/>
        <v>210</v>
      </c>
      <c r="S536" s="10">
        <v>300</v>
      </c>
      <c r="T536" s="9" t="s">
        <v>76</v>
      </c>
      <c r="U536" s="10">
        <v>300</v>
      </c>
      <c r="V536" s="10">
        <f t="shared" si="139"/>
        <v>210</v>
      </c>
      <c r="W536" s="166">
        <v>490300</v>
      </c>
      <c r="X536" s="12" t="s">
        <v>29</v>
      </c>
      <c r="Y536" s="12">
        <f t="shared" si="140"/>
        <v>300</v>
      </c>
      <c r="Z536" s="13">
        <f t="shared" si="141"/>
        <v>300</v>
      </c>
      <c r="AA536" s="13">
        <f t="shared" si="142"/>
        <v>300</v>
      </c>
      <c r="AB536" s="13">
        <f t="shared" si="143"/>
        <v>98.56</v>
      </c>
      <c r="AC536" s="13">
        <f t="shared" si="144"/>
        <v>201.44</v>
      </c>
      <c r="AD536" s="14">
        <f t="shared" si="145"/>
        <v>0.67146666666666666</v>
      </c>
      <c r="AE536" s="14">
        <f t="shared" si="146"/>
        <v>2.0438311688311686</v>
      </c>
      <c r="AF536" s="13" t="str">
        <f>IF(AD536&gt;=Assumptions!$B$3,"OK","Review")</f>
        <v>OK</v>
      </c>
      <c r="AG536" s="13">
        <f>IFERROR(IF(Assumptions!$B$13="Cost Price",AB536,AA536)*SUMIF(Assumptions!$A$6:$A$10,X536,Assumptions!$B$6:$B$10),0)</f>
        <v>24</v>
      </c>
      <c r="AH536" s="13">
        <f>IFERROR(IF(Assumptions!$B$13="Cost Price",AB536,AA536)*SUMIF(Assumptions!$A$6:$A$10,X536,Assumptions!$C$6:$C$10),0)</f>
        <v>15</v>
      </c>
      <c r="AI536" s="13">
        <f>IFERROR(IF(Assumptions!$B$13="Cost Price",AB536,AA536)*SUMIF(Assumptions!$A$6:$A$10,X536,Assumptions!$D$6:$D$10),0)</f>
        <v>30</v>
      </c>
      <c r="AJ536" s="13">
        <v>30</v>
      </c>
      <c r="AK536" s="13">
        <f t="shared" si="147"/>
        <v>99</v>
      </c>
      <c r="AL536" s="14">
        <v>0.33</v>
      </c>
      <c r="AM536" s="13">
        <f t="shared" si="148"/>
        <v>102.44</v>
      </c>
      <c r="AN536" s="14">
        <f t="shared" si="149"/>
        <v>0.34146666666666664</v>
      </c>
      <c r="AO536" t="str">
        <f>IF(AN536&gt;=Assumptions!$B$3,"OK","Review")</f>
        <v>OK</v>
      </c>
    </row>
    <row r="537" spans="1:41">
      <c r="A537" s="9" t="s">
        <v>47</v>
      </c>
      <c r="B537" s="9" t="s">
        <v>46</v>
      </c>
      <c r="C537" s="9" t="s">
        <v>259</v>
      </c>
      <c r="D537" s="9" t="s">
        <v>370</v>
      </c>
      <c r="E537" s="9" t="s">
        <v>73</v>
      </c>
      <c r="F537" s="9" t="s">
        <v>90</v>
      </c>
      <c r="G537" s="9" t="s">
        <v>28</v>
      </c>
      <c r="H537" s="9" t="s">
        <v>75</v>
      </c>
      <c r="I537" s="9">
        <v>4000006342</v>
      </c>
      <c r="J537" s="10">
        <v>365.6</v>
      </c>
      <c r="K537" s="10"/>
      <c r="L537" s="10">
        <v>365.6</v>
      </c>
      <c r="M537" s="11">
        <v>0.18</v>
      </c>
      <c r="N537" s="10">
        <v>65.81</v>
      </c>
      <c r="O537" s="10">
        <v>431.41</v>
      </c>
      <c r="P537" s="11">
        <v>1</v>
      </c>
      <c r="Q537" s="10">
        <v>431.41</v>
      </c>
      <c r="R537" s="10">
        <f t="shared" si="138"/>
        <v>489.99999999999994</v>
      </c>
      <c r="S537" s="10">
        <v>700</v>
      </c>
      <c r="T537" s="9" t="s">
        <v>76</v>
      </c>
      <c r="U537" s="10">
        <v>700</v>
      </c>
      <c r="V537" s="10">
        <f t="shared" si="139"/>
        <v>489.99999999999994</v>
      </c>
      <c r="W537" s="166">
        <v>90172090</v>
      </c>
      <c r="X537" s="12" t="s">
        <v>29</v>
      </c>
      <c r="Y537" s="12">
        <f t="shared" si="140"/>
        <v>700</v>
      </c>
      <c r="Z537" s="13">
        <f t="shared" si="141"/>
        <v>700</v>
      </c>
      <c r="AA537" s="13">
        <f t="shared" si="142"/>
        <v>593.22033898305085</v>
      </c>
      <c r="AB537" s="13">
        <f t="shared" si="143"/>
        <v>365.6</v>
      </c>
      <c r="AC537" s="13">
        <f t="shared" si="144"/>
        <v>227.62033898305083</v>
      </c>
      <c r="AD537" s="14">
        <f t="shared" si="145"/>
        <v>0.38370285714285712</v>
      </c>
      <c r="AE537" s="14">
        <f t="shared" si="146"/>
        <v>0.62259392500834465</v>
      </c>
      <c r="AF537" s="13" t="str">
        <f>IF(AD537&gt;=Assumptions!$B$3,"OK","Review")</f>
        <v>OK</v>
      </c>
      <c r="AG537" s="13">
        <f>IFERROR(IF(Assumptions!$B$13="Cost Price",AB537,AA537)*SUMIF(Assumptions!$A$6:$A$10,X537,Assumptions!$B$6:$B$10),0)</f>
        <v>47.457627118644069</v>
      </c>
      <c r="AH537" s="13">
        <f>IFERROR(IF(Assumptions!$B$13="Cost Price",AB537,AA537)*SUMIF(Assumptions!$A$6:$A$10,X537,Assumptions!$C$6:$C$10),0)</f>
        <v>29.661016949152543</v>
      </c>
      <c r="AI537" s="13">
        <f>IFERROR(IF(Assumptions!$B$13="Cost Price",AB537,AA537)*SUMIF(Assumptions!$A$6:$A$10,X537,Assumptions!$D$6:$D$10),0)</f>
        <v>59.322033898305087</v>
      </c>
      <c r="AJ537" s="13">
        <v>59.322033898305087</v>
      </c>
      <c r="AK537" s="13">
        <f t="shared" si="147"/>
        <v>195.76271186440678</v>
      </c>
      <c r="AL537" s="14">
        <v>0.33</v>
      </c>
      <c r="AM537" s="13">
        <f t="shared" si="148"/>
        <v>31.857627118644047</v>
      </c>
      <c r="AN537" s="14">
        <f t="shared" si="149"/>
        <v>5.3702857142857108E-2</v>
      </c>
      <c r="AO537" t="str">
        <f>IF(AN537&gt;=Assumptions!$B$3,"OK","Review")</f>
        <v>Review</v>
      </c>
    </row>
    <row r="538" spans="1:41">
      <c r="A538" s="9" t="s">
        <v>371</v>
      </c>
      <c r="B538" s="9" t="s">
        <v>35</v>
      </c>
      <c r="C538" s="9" t="s">
        <v>372</v>
      </c>
      <c r="D538" s="9" t="s">
        <v>373</v>
      </c>
      <c r="E538" s="9" t="s">
        <v>73</v>
      </c>
      <c r="F538" s="9" t="s">
        <v>74</v>
      </c>
      <c r="G538" s="9" t="s">
        <v>31</v>
      </c>
      <c r="H538" s="9" t="s">
        <v>374</v>
      </c>
      <c r="I538" s="9" t="s">
        <v>375</v>
      </c>
      <c r="J538" s="10">
        <v>300</v>
      </c>
      <c r="K538" s="10"/>
      <c r="L538" s="10">
        <v>300</v>
      </c>
      <c r="M538" s="11">
        <v>0</v>
      </c>
      <c r="N538" s="10">
        <v>0</v>
      </c>
      <c r="O538" s="10">
        <v>300</v>
      </c>
      <c r="P538" s="11">
        <v>0.14292520249999999</v>
      </c>
      <c r="Q538" s="10">
        <v>2099</v>
      </c>
      <c r="R538" s="10">
        <f t="shared" si="138"/>
        <v>1469.3</v>
      </c>
      <c r="S538" s="10">
        <v>300</v>
      </c>
      <c r="T538" s="9" t="s">
        <v>76</v>
      </c>
      <c r="U538" s="10">
        <v>2099</v>
      </c>
      <c r="V538" s="10">
        <f t="shared" si="139"/>
        <v>1469.3</v>
      </c>
      <c r="W538" s="166">
        <v>490110</v>
      </c>
      <c r="X538" s="12" t="s">
        <v>30</v>
      </c>
      <c r="Y538" s="12">
        <f t="shared" si="140"/>
        <v>300</v>
      </c>
      <c r="Z538" s="13">
        <f t="shared" si="141"/>
        <v>300</v>
      </c>
      <c r="AA538" s="13">
        <f t="shared" si="142"/>
        <v>300</v>
      </c>
      <c r="AB538" s="13">
        <f t="shared" si="143"/>
        <v>300</v>
      </c>
      <c r="AC538" s="13">
        <f t="shared" si="144"/>
        <v>0</v>
      </c>
      <c r="AD538" s="14">
        <f t="shared" si="145"/>
        <v>0</v>
      </c>
      <c r="AE538" s="14">
        <f t="shared" si="146"/>
        <v>0</v>
      </c>
      <c r="AF538" s="13" t="str">
        <f>IF(AD538&gt;=Assumptions!$B$3,"OK","Review")</f>
        <v>Review</v>
      </c>
      <c r="AG538" s="13">
        <f>IFERROR(IF(Assumptions!$B$13="Cost Price",AB538,AA538)*SUMIF(Assumptions!$A$6:$A$10,X538,Assumptions!$B$6:$B$10),0)</f>
        <v>24</v>
      </c>
      <c r="AH538" s="13">
        <f>IFERROR(IF(Assumptions!$B$13="Cost Price",AB538,AA538)*SUMIF(Assumptions!$A$6:$A$10,X538,Assumptions!$C$6:$C$10),0)</f>
        <v>15</v>
      </c>
      <c r="AI538" s="13">
        <f>IFERROR(IF(Assumptions!$B$13="Cost Price",AB538,AA538)*SUMIF(Assumptions!$A$6:$A$10,X538,Assumptions!$D$6:$D$10),0)</f>
        <v>30</v>
      </c>
      <c r="AJ538" s="13">
        <v>30</v>
      </c>
      <c r="AK538" s="13">
        <f t="shared" si="147"/>
        <v>99</v>
      </c>
      <c r="AL538" s="14">
        <v>0.33</v>
      </c>
      <c r="AM538" s="13">
        <f t="shared" si="148"/>
        <v>-99</v>
      </c>
      <c r="AN538" s="14">
        <f t="shared" si="149"/>
        <v>-0.33</v>
      </c>
      <c r="AO538" t="str">
        <f>IF(AN538&gt;=Assumptions!$B$3,"OK","Review")</f>
        <v>Review</v>
      </c>
    </row>
    <row r="539" spans="1:41">
      <c r="A539" s="9" t="s">
        <v>371</v>
      </c>
      <c r="B539" s="9" t="s">
        <v>35</v>
      </c>
      <c r="C539" s="9" t="s">
        <v>376</v>
      </c>
      <c r="D539" s="9" t="s">
        <v>377</v>
      </c>
      <c r="E539" s="9" t="s">
        <v>73</v>
      </c>
      <c r="F539" s="9" t="s">
        <v>74</v>
      </c>
      <c r="G539" s="9" t="s">
        <v>28</v>
      </c>
      <c r="H539" s="9" t="s">
        <v>378</v>
      </c>
      <c r="I539" s="9" t="s">
        <v>379</v>
      </c>
      <c r="J539" s="10">
        <v>300</v>
      </c>
      <c r="K539" s="10">
        <v>0</v>
      </c>
      <c r="L539" s="10">
        <v>300</v>
      </c>
      <c r="M539" s="11">
        <v>0</v>
      </c>
      <c r="N539" s="10">
        <v>0</v>
      </c>
      <c r="O539" s="10">
        <v>300</v>
      </c>
      <c r="P539" s="11">
        <v>0.14292520249999999</v>
      </c>
      <c r="Q539" s="10">
        <v>2099</v>
      </c>
      <c r="R539" s="10">
        <f t="shared" si="138"/>
        <v>1469.3</v>
      </c>
      <c r="S539" s="10">
        <v>300</v>
      </c>
      <c r="T539" s="9" t="s">
        <v>76</v>
      </c>
      <c r="U539" s="10">
        <v>2099</v>
      </c>
      <c r="V539" s="10">
        <f t="shared" si="139"/>
        <v>1469.3</v>
      </c>
      <c r="W539" s="166">
        <v>490110</v>
      </c>
      <c r="X539" s="12" t="s">
        <v>30</v>
      </c>
      <c r="Y539" s="12">
        <f t="shared" si="140"/>
        <v>300</v>
      </c>
      <c r="Z539" s="13">
        <f t="shared" si="141"/>
        <v>300</v>
      </c>
      <c r="AA539" s="13">
        <f t="shared" si="142"/>
        <v>300</v>
      </c>
      <c r="AB539" s="13">
        <f t="shared" si="143"/>
        <v>300</v>
      </c>
      <c r="AC539" s="13">
        <f t="shared" si="144"/>
        <v>0</v>
      </c>
      <c r="AD539" s="14">
        <f t="shared" si="145"/>
        <v>0</v>
      </c>
      <c r="AE539" s="14">
        <f t="shared" si="146"/>
        <v>0</v>
      </c>
      <c r="AF539" s="13" t="str">
        <f>IF(AD539&gt;=Assumptions!$B$3,"OK","Review")</f>
        <v>Review</v>
      </c>
      <c r="AG539" s="13">
        <f>IFERROR(IF(Assumptions!$B$13="Cost Price",AB539,AA539)*SUMIF(Assumptions!$A$6:$A$10,X539,Assumptions!$B$6:$B$10),0)</f>
        <v>24</v>
      </c>
      <c r="AH539" s="13">
        <f>IFERROR(IF(Assumptions!$B$13="Cost Price",AB539,AA539)*SUMIF(Assumptions!$A$6:$A$10,X539,Assumptions!$C$6:$C$10),0)</f>
        <v>15</v>
      </c>
      <c r="AI539" s="13">
        <f>IFERROR(IF(Assumptions!$B$13="Cost Price",AB539,AA539)*SUMIF(Assumptions!$A$6:$A$10,X539,Assumptions!$D$6:$D$10),0)</f>
        <v>30</v>
      </c>
      <c r="AJ539" s="13">
        <v>30</v>
      </c>
      <c r="AK539" s="13">
        <f t="shared" si="147"/>
        <v>99</v>
      </c>
      <c r="AL539" s="14">
        <v>0.33</v>
      </c>
      <c r="AM539" s="13">
        <f t="shared" si="148"/>
        <v>-99</v>
      </c>
      <c r="AN539" s="14">
        <f t="shared" si="149"/>
        <v>-0.33</v>
      </c>
      <c r="AO539" t="str">
        <f>IF(AN539&gt;=Assumptions!$B$3,"OK","Review")</f>
        <v>Review</v>
      </c>
    </row>
    <row r="540" spans="1:41">
      <c r="A540" s="9" t="s">
        <v>371</v>
      </c>
      <c r="B540" s="9" t="s">
        <v>35</v>
      </c>
      <c r="C540" s="9" t="s">
        <v>380</v>
      </c>
      <c r="D540" s="9" t="s">
        <v>381</v>
      </c>
      <c r="E540" s="9" t="s">
        <v>73</v>
      </c>
      <c r="F540" s="9" t="s">
        <v>90</v>
      </c>
      <c r="G540" s="9" t="s">
        <v>28</v>
      </c>
      <c r="H540" s="9" t="s">
        <v>378</v>
      </c>
      <c r="I540" s="9" t="s">
        <v>382</v>
      </c>
      <c r="J540" s="10">
        <v>1121.18</v>
      </c>
      <c r="K540" s="10">
        <v>0</v>
      </c>
      <c r="L540" s="10">
        <v>1121.18</v>
      </c>
      <c r="M540" s="11">
        <v>0.18</v>
      </c>
      <c r="N540" s="10">
        <v>377.82</v>
      </c>
      <c r="O540" s="10">
        <v>1499</v>
      </c>
      <c r="P540" s="11">
        <v>0</v>
      </c>
      <c r="Q540" s="10">
        <v>1499</v>
      </c>
      <c r="R540" s="10">
        <f t="shared" si="138"/>
        <v>1469.3</v>
      </c>
      <c r="S540" s="10">
        <v>1499</v>
      </c>
      <c r="T540" s="9" t="s">
        <v>76</v>
      </c>
      <c r="U540" s="10">
        <v>2099</v>
      </c>
      <c r="V540" s="10">
        <f t="shared" si="139"/>
        <v>1469.3</v>
      </c>
      <c r="W540" s="166">
        <v>902300</v>
      </c>
      <c r="X540" s="12" t="s">
        <v>30</v>
      </c>
      <c r="Y540" s="12">
        <f t="shared" si="140"/>
        <v>1499</v>
      </c>
      <c r="Z540" s="13">
        <f t="shared" si="141"/>
        <v>1499</v>
      </c>
      <c r="AA540" s="13">
        <f t="shared" si="142"/>
        <v>1270.3389830508474</v>
      </c>
      <c r="AB540" s="13">
        <f t="shared" si="143"/>
        <v>1121.18</v>
      </c>
      <c r="AC540" s="13">
        <f t="shared" si="144"/>
        <v>149.15898305084738</v>
      </c>
      <c r="AD540" s="14">
        <f t="shared" si="145"/>
        <v>0.11741667778519006</v>
      </c>
      <c r="AE540" s="14">
        <f t="shared" si="146"/>
        <v>0.13303749893045486</v>
      </c>
      <c r="AF540" s="13" t="str">
        <f>IF(AD540&gt;=Assumptions!$B$3,"OK","Review")</f>
        <v>Review</v>
      </c>
      <c r="AG540" s="13">
        <f>IFERROR(IF(Assumptions!$B$13="Cost Price",AB540,AA540)*SUMIF(Assumptions!$A$6:$A$10,X540,Assumptions!$B$6:$B$10),0)</f>
        <v>101.62711864406779</v>
      </c>
      <c r="AH540" s="13">
        <f>IFERROR(IF(Assumptions!$B$13="Cost Price",AB540,AA540)*SUMIF(Assumptions!$A$6:$A$10,X540,Assumptions!$C$6:$C$10),0)</f>
        <v>63.516949152542374</v>
      </c>
      <c r="AI540" s="13">
        <f>IFERROR(IF(Assumptions!$B$13="Cost Price",AB540,AA540)*SUMIF(Assumptions!$A$6:$A$10,X540,Assumptions!$D$6:$D$10),0)</f>
        <v>127.03389830508475</v>
      </c>
      <c r="AJ540" s="13">
        <v>127.03389830508475</v>
      </c>
      <c r="AK540" s="13">
        <f t="shared" si="147"/>
        <v>419.21186440677963</v>
      </c>
      <c r="AL540" s="14">
        <v>0.33</v>
      </c>
      <c r="AM540" s="13">
        <f t="shared" si="148"/>
        <v>-270.05288135593224</v>
      </c>
      <c r="AN540" s="14">
        <f t="shared" si="149"/>
        <v>-0.21258332221480991</v>
      </c>
      <c r="AO540" t="str">
        <f>IF(AN540&gt;=Assumptions!$B$3,"OK","Review")</f>
        <v>Review</v>
      </c>
    </row>
    <row r="541" spans="1:41">
      <c r="A541" s="9" t="s">
        <v>371</v>
      </c>
      <c r="B541" s="9" t="s">
        <v>36</v>
      </c>
      <c r="C541" s="9" t="s">
        <v>372</v>
      </c>
      <c r="D541" s="9" t="s">
        <v>383</v>
      </c>
      <c r="E541" s="9" t="s">
        <v>73</v>
      </c>
      <c r="F541" s="9" t="s">
        <v>74</v>
      </c>
      <c r="G541" s="9" t="s">
        <v>28</v>
      </c>
      <c r="H541" s="9" t="s">
        <v>374</v>
      </c>
      <c r="I541" s="9" t="s">
        <v>384</v>
      </c>
      <c r="J541" s="10">
        <v>300</v>
      </c>
      <c r="K541" s="10"/>
      <c r="L541" s="10">
        <v>300</v>
      </c>
      <c r="M541" s="11">
        <v>0</v>
      </c>
      <c r="N541" s="10">
        <v>0</v>
      </c>
      <c r="O541" s="10">
        <v>300</v>
      </c>
      <c r="P541" s="11">
        <v>0.5</v>
      </c>
      <c r="Q541" s="10">
        <v>600</v>
      </c>
      <c r="R541" s="10">
        <f t="shared" si="138"/>
        <v>-29.700000000000045</v>
      </c>
      <c r="S541" s="10">
        <v>300</v>
      </c>
      <c r="T541" s="9" t="s">
        <v>76</v>
      </c>
      <c r="U541" s="10">
        <v>2099</v>
      </c>
      <c r="V541" s="10">
        <f t="shared" si="139"/>
        <v>1469.3</v>
      </c>
      <c r="W541" s="166">
        <v>490110</v>
      </c>
      <c r="X541" s="12" t="s">
        <v>30</v>
      </c>
      <c r="Y541" s="12">
        <f t="shared" si="140"/>
        <v>300</v>
      </c>
      <c r="Z541" s="13">
        <f t="shared" si="141"/>
        <v>300</v>
      </c>
      <c r="AA541" s="13">
        <f t="shared" si="142"/>
        <v>300</v>
      </c>
      <c r="AB541" s="13">
        <f t="shared" si="143"/>
        <v>300</v>
      </c>
      <c r="AC541" s="13">
        <f t="shared" si="144"/>
        <v>0</v>
      </c>
      <c r="AD541" s="14">
        <f t="shared" si="145"/>
        <v>0</v>
      </c>
      <c r="AE541" s="14">
        <f t="shared" si="146"/>
        <v>0</v>
      </c>
      <c r="AF541" s="13" t="str">
        <f>IF(AD541&gt;=Assumptions!$B$3,"OK","Review")</f>
        <v>Review</v>
      </c>
      <c r="AG541" s="13">
        <f>IFERROR(IF(Assumptions!$B$13="Cost Price",AB541,AA541)*SUMIF(Assumptions!$A$6:$A$10,X541,Assumptions!$B$6:$B$10),0)</f>
        <v>24</v>
      </c>
      <c r="AH541" s="13">
        <f>IFERROR(IF(Assumptions!$B$13="Cost Price",AB541,AA541)*SUMIF(Assumptions!$A$6:$A$10,X541,Assumptions!$C$6:$C$10),0)</f>
        <v>15</v>
      </c>
      <c r="AI541" s="13">
        <f>IFERROR(IF(Assumptions!$B$13="Cost Price",AB541,AA541)*SUMIF(Assumptions!$A$6:$A$10,X541,Assumptions!$D$6:$D$10),0)</f>
        <v>30</v>
      </c>
      <c r="AJ541" s="13">
        <v>30</v>
      </c>
      <c r="AK541" s="13">
        <f t="shared" si="147"/>
        <v>99</v>
      </c>
      <c r="AL541" s="14">
        <v>0.33</v>
      </c>
      <c r="AM541" s="13">
        <f t="shared" si="148"/>
        <v>-99</v>
      </c>
      <c r="AN541" s="14">
        <f t="shared" si="149"/>
        <v>-0.33</v>
      </c>
      <c r="AO541" t="str">
        <f>IF(AN541&gt;=Assumptions!$B$3,"OK","Review")</f>
        <v>Review</v>
      </c>
    </row>
    <row r="542" spans="1:41">
      <c r="A542" s="9" t="s">
        <v>371</v>
      </c>
      <c r="B542" s="9" t="s">
        <v>36</v>
      </c>
      <c r="C542" s="9" t="s">
        <v>376</v>
      </c>
      <c r="D542" s="9" t="s">
        <v>385</v>
      </c>
      <c r="E542" s="9" t="s">
        <v>73</v>
      </c>
      <c r="F542" s="9" t="s">
        <v>74</v>
      </c>
      <c r="G542" s="9" t="s">
        <v>28</v>
      </c>
      <c r="H542" s="9" t="s">
        <v>378</v>
      </c>
      <c r="I542" s="9" t="s">
        <v>386</v>
      </c>
      <c r="J542" s="10">
        <v>300</v>
      </c>
      <c r="K542" s="10">
        <v>0</v>
      </c>
      <c r="L542" s="10">
        <v>300</v>
      </c>
      <c r="M542" s="11">
        <v>0</v>
      </c>
      <c r="N542" s="10">
        <v>0</v>
      </c>
      <c r="O542" s="10">
        <v>300</v>
      </c>
      <c r="P542" s="11">
        <v>0.5</v>
      </c>
      <c r="Q542" s="10">
        <v>600</v>
      </c>
      <c r="R542" s="10">
        <f t="shared" si="138"/>
        <v>-29.700000000000045</v>
      </c>
      <c r="S542" s="10">
        <v>300</v>
      </c>
      <c r="T542" s="9" t="s">
        <v>76</v>
      </c>
      <c r="U542" s="10">
        <v>2099</v>
      </c>
      <c r="V542" s="10">
        <f t="shared" si="139"/>
        <v>1469.3</v>
      </c>
      <c r="W542" s="166">
        <v>490110</v>
      </c>
      <c r="X542" s="12" t="s">
        <v>30</v>
      </c>
      <c r="Y542" s="12">
        <f t="shared" si="140"/>
        <v>300</v>
      </c>
      <c r="Z542" s="13">
        <f t="shared" si="141"/>
        <v>300</v>
      </c>
      <c r="AA542" s="13">
        <f t="shared" si="142"/>
        <v>300</v>
      </c>
      <c r="AB542" s="13">
        <f t="shared" si="143"/>
        <v>300</v>
      </c>
      <c r="AC542" s="13">
        <f t="shared" si="144"/>
        <v>0</v>
      </c>
      <c r="AD542" s="14">
        <f t="shared" si="145"/>
        <v>0</v>
      </c>
      <c r="AE542" s="14">
        <f t="shared" si="146"/>
        <v>0</v>
      </c>
      <c r="AF542" s="13" t="str">
        <f>IF(AD542&gt;=Assumptions!$B$3,"OK","Review")</f>
        <v>Review</v>
      </c>
      <c r="AG542" s="13">
        <f>IFERROR(IF(Assumptions!$B$13="Cost Price",AB542,AA542)*SUMIF(Assumptions!$A$6:$A$10,X542,Assumptions!$B$6:$B$10),0)</f>
        <v>24</v>
      </c>
      <c r="AH542" s="13">
        <f>IFERROR(IF(Assumptions!$B$13="Cost Price",AB542,AA542)*SUMIF(Assumptions!$A$6:$A$10,X542,Assumptions!$C$6:$C$10),0)</f>
        <v>15</v>
      </c>
      <c r="AI542" s="13">
        <f>IFERROR(IF(Assumptions!$B$13="Cost Price",AB542,AA542)*SUMIF(Assumptions!$A$6:$A$10,X542,Assumptions!$D$6:$D$10),0)</f>
        <v>30</v>
      </c>
      <c r="AJ542" s="13">
        <v>30</v>
      </c>
      <c r="AK542" s="13">
        <f t="shared" si="147"/>
        <v>99</v>
      </c>
      <c r="AL542" s="14">
        <v>0.33</v>
      </c>
      <c r="AM542" s="13">
        <f t="shared" si="148"/>
        <v>-99</v>
      </c>
      <c r="AN542" s="14">
        <f t="shared" si="149"/>
        <v>-0.33</v>
      </c>
      <c r="AO542" t="str">
        <f>IF(AN542&gt;=Assumptions!$B$3,"OK","Review")</f>
        <v>Review</v>
      </c>
    </row>
    <row r="543" spans="1:41">
      <c r="A543" s="9" t="s">
        <v>371</v>
      </c>
      <c r="B543" s="9" t="s">
        <v>36</v>
      </c>
      <c r="C543" s="9" t="s">
        <v>380</v>
      </c>
      <c r="D543" s="9" t="s">
        <v>387</v>
      </c>
      <c r="E543" s="9" t="s">
        <v>73</v>
      </c>
      <c r="F543" s="9" t="s">
        <v>90</v>
      </c>
      <c r="G543" s="9" t="s">
        <v>28</v>
      </c>
      <c r="H543" s="9" t="s">
        <v>378</v>
      </c>
      <c r="I543" s="9" t="s">
        <v>382</v>
      </c>
      <c r="J543" s="10">
        <v>1121.18</v>
      </c>
      <c r="K543" s="10">
        <v>0</v>
      </c>
      <c r="L543" s="10">
        <v>1121.18</v>
      </c>
      <c r="M543" s="11">
        <v>0.18</v>
      </c>
      <c r="N543" s="10">
        <v>377.82</v>
      </c>
      <c r="O543" s="10">
        <v>1499</v>
      </c>
      <c r="P543" s="11">
        <v>0</v>
      </c>
      <c r="Q543" s="10">
        <v>1499</v>
      </c>
      <c r="R543" s="10">
        <f t="shared" si="138"/>
        <v>-29.700000000000045</v>
      </c>
      <c r="S543" s="10">
        <v>1499</v>
      </c>
      <c r="T543" s="9" t="s">
        <v>91</v>
      </c>
      <c r="U543" s="10">
        <v>2099</v>
      </c>
      <c r="V543" s="10">
        <f t="shared" si="139"/>
        <v>1469.3</v>
      </c>
      <c r="W543" s="166">
        <v>902300</v>
      </c>
      <c r="X543" s="12" t="s">
        <v>30</v>
      </c>
      <c r="Y543" s="12">
        <f t="shared" si="140"/>
        <v>1499</v>
      </c>
      <c r="Z543" s="13">
        <f t="shared" si="141"/>
        <v>1499</v>
      </c>
      <c r="AA543" s="13">
        <f t="shared" si="142"/>
        <v>1270.3389830508474</v>
      </c>
      <c r="AB543" s="13">
        <f t="shared" si="143"/>
        <v>1121.18</v>
      </c>
      <c r="AC543" s="13">
        <f t="shared" si="144"/>
        <v>149.15898305084738</v>
      </c>
      <c r="AD543" s="14">
        <f t="shared" si="145"/>
        <v>0.11741667778519006</v>
      </c>
      <c r="AE543" s="14">
        <f t="shared" si="146"/>
        <v>0.13303749893045486</v>
      </c>
      <c r="AF543" s="13" t="str">
        <f>IF(AD543&gt;=Assumptions!$B$3,"OK","Review")</f>
        <v>Review</v>
      </c>
      <c r="AG543" s="13">
        <f>IFERROR(IF(Assumptions!$B$13="Cost Price",AB543,AA543)*SUMIF(Assumptions!$A$6:$A$10,X543,Assumptions!$B$6:$B$10),0)</f>
        <v>101.62711864406779</v>
      </c>
      <c r="AH543" s="13">
        <f>IFERROR(IF(Assumptions!$B$13="Cost Price",AB543,AA543)*SUMIF(Assumptions!$A$6:$A$10,X543,Assumptions!$C$6:$C$10),0)</f>
        <v>63.516949152542374</v>
      </c>
      <c r="AI543" s="13">
        <f>IFERROR(IF(Assumptions!$B$13="Cost Price",AB543,AA543)*SUMIF(Assumptions!$A$6:$A$10,X543,Assumptions!$D$6:$D$10),0)</f>
        <v>127.03389830508475</v>
      </c>
      <c r="AJ543" s="13">
        <v>127.03389830508475</v>
      </c>
      <c r="AK543" s="13">
        <f t="shared" si="147"/>
        <v>419.21186440677963</v>
      </c>
      <c r="AL543" s="14">
        <v>0.33</v>
      </c>
      <c r="AM543" s="13">
        <f t="shared" si="148"/>
        <v>-270.05288135593224</v>
      </c>
      <c r="AN543" s="14">
        <f t="shared" si="149"/>
        <v>-0.21258332221480991</v>
      </c>
      <c r="AO543" t="str">
        <f>IF(AN543&gt;=Assumptions!$B$3,"OK","Review")</f>
        <v>Review</v>
      </c>
    </row>
    <row r="544" spans="1:41">
      <c r="A544" s="9" t="s">
        <v>371</v>
      </c>
      <c r="B544" s="9" t="s">
        <v>37</v>
      </c>
      <c r="C544" s="9" t="s">
        <v>372</v>
      </c>
      <c r="D544" s="9" t="s">
        <v>388</v>
      </c>
      <c r="E544" s="9" t="s">
        <v>73</v>
      </c>
      <c r="F544" s="9" t="s">
        <v>74</v>
      </c>
      <c r="G544" s="9" t="s">
        <v>28</v>
      </c>
      <c r="H544" s="9" t="s">
        <v>374</v>
      </c>
      <c r="I544" s="9" t="s">
        <v>389</v>
      </c>
      <c r="J544" s="10">
        <v>300</v>
      </c>
      <c r="K544" s="10"/>
      <c r="L544" s="10">
        <v>300</v>
      </c>
      <c r="M544" s="11">
        <v>0</v>
      </c>
      <c r="N544" s="10">
        <v>0</v>
      </c>
      <c r="O544" s="10">
        <v>300</v>
      </c>
      <c r="P544" s="11">
        <v>0.5</v>
      </c>
      <c r="Q544" s="10">
        <v>600</v>
      </c>
      <c r="R544" s="10">
        <f t="shared" si="138"/>
        <v>-59.700000000000045</v>
      </c>
      <c r="S544" s="10">
        <v>300</v>
      </c>
      <c r="T544" s="9" t="s">
        <v>76</v>
      </c>
      <c r="U544" s="10">
        <v>2199</v>
      </c>
      <c r="V544" s="10">
        <f t="shared" si="139"/>
        <v>1539.3</v>
      </c>
      <c r="W544" s="166">
        <v>490110</v>
      </c>
      <c r="X544" s="12" t="s">
        <v>30</v>
      </c>
      <c r="Y544" s="12">
        <f t="shared" si="140"/>
        <v>300</v>
      </c>
      <c r="Z544" s="13">
        <f t="shared" si="141"/>
        <v>300</v>
      </c>
      <c r="AA544" s="13">
        <f t="shared" si="142"/>
        <v>300</v>
      </c>
      <c r="AB544" s="13">
        <f t="shared" si="143"/>
        <v>300</v>
      </c>
      <c r="AC544" s="13">
        <f t="shared" si="144"/>
        <v>0</v>
      </c>
      <c r="AD544" s="14">
        <f t="shared" si="145"/>
        <v>0</v>
      </c>
      <c r="AE544" s="14">
        <f t="shared" si="146"/>
        <v>0</v>
      </c>
      <c r="AF544" s="13" t="str">
        <f>IF(AD544&gt;=Assumptions!$B$3,"OK","Review")</f>
        <v>Review</v>
      </c>
      <c r="AG544" s="13">
        <f>IFERROR(IF(Assumptions!$B$13="Cost Price",AB544,AA544)*SUMIF(Assumptions!$A$6:$A$10,X544,Assumptions!$B$6:$B$10),0)</f>
        <v>24</v>
      </c>
      <c r="AH544" s="13">
        <f>IFERROR(IF(Assumptions!$B$13="Cost Price",AB544,AA544)*SUMIF(Assumptions!$A$6:$A$10,X544,Assumptions!$C$6:$C$10),0)</f>
        <v>15</v>
      </c>
      <c r="AI544" s="13">
        <f>IFERROR(IF(Assumptions!$B$13="Cost Price",AB544,AA544)*SUMIF(Assumptions!$A$6:$A$10,X544,Assumptions!$D$6:$D$10),0)</f>
        <v>30</v>
      </c>
      <c r="AJ544" s="13">
        <v>30</v>
      </c>
      <c r="AK544" s="13">
        <f t="shared" si="147"/>
        <v>99</v>
      </c>
      <c r="AL544" s="14">
        <v>0.33</v>
      </c>
      <c r="AM544" s="13">
        <f t="shared" si="148"/>
        <v>-99</v>
      </c>
      <c r="AN544" s="14">
        <f t="shared" si="149"/>
        <v>-0.33</v>
      </c>
      <c r="AO544" t="str">
        <f>IF(AN544&gt;=Assumptions!$B$3,"OK","Review")</f>
        <v>Review</v>
      </c>
    </row>
    <row r="545" spans="1:41">
      <c r="A545" s="9" t="s">
        <v>371</v>
      </c>
      <c r="B545" s="9" t="s">
        <v>37</v>
      </c>
      <c r="C545" s="9" t="s">
        <v>376</v>
      </c>
      <c r="D545" s="9" t="s">
        <v>390</v>
      </c>
      <c r="E545" s="9" t="s">
        <v>73</v>
      </c>
      <c r="F545" s="9" t="s">
        <v>74</v>
      </c>
      <c r="G545" s="9" t="s">
        <v>28</v>
      </c>
      <c r="H545" s="9" t="s">
        <v>378</v>
      </c>
      <c r="I545" s="9" t="s">
        <v>391</v>
      </c>
      <c r="J545" s="10">
        <v>300</v>
      </c>
      <c r="K545" s="10">
        <v>0</v>
      </c>
      <c r="L545" s="10">
        <v>300</v>
      </c>
      <c r="M545" s="11">
        <v>0</v>
      </c>
      <c r="N545" s="10">
        <v>0</v>
      </c>
      <c r="O545" s="10">
        <v>300</v>
      </c>
      <c r="P545" s="11">
        <v>0.5</v>
      </c>
      <c r="Q545" s="10">
        <v>600</v>
      </c>
      <c r="R545" s="10">
        <f t="shared" si="138"/>
        <v>-59.700000000000045</v>
      </c>
      <c r="S545" s="10">
        <v>300</v>
      </c>
      <c r="T545" s="9" t="s">
        <v>76</v>
      </c>
      <c r="U545" s="10">
        <v>2199</v>
      </c>
      <c r="V545" s="10">
        <f t="shared" si="139"/>
        <v>1539.3</v>
      </c>
      <c r="W545" s="166">
        <v>490110</v>
      </c>
      <c r="X545" s="12" t="s">
        <v>30</v>
      </c>
      <c r="Y545" s="12">
        <f t="shared" si="140"/>
        <v>300</v>
      </c>
      <c r="Z545" s="13">
        <f t="shared" si="141"/>
        <v>300</v>
      </c>
      <c r="AA545" s="13">
        <f t="shared" si="142"/>
        <v>300</v>
      </c>
      <c r="AB545" s="13">
        <f t="shared" si="143"/>
        <v>300</v>
      </c>
      <c r="AC545" s="13">
        <f t="shared" si="144"/>
        <v>0</v>
      </c>
      <c r="AD545" s="14">
        <f t="shared" si="145"/>
        <v>0</v>
      </c>
      <c r="AE545" s="14">
        <f t="shared" si="146"/>
        <v>0</v>
      </c>
      <c r="AF545" s="13" t="str">
        <f>IF(AD545&gt;=Assumptions!$B$3,"OK","Review")</f>
        <v>Review</v>
      </c>
      <c r="AG545" s="13">
        <f>IFERROR(IF(Assumptions!$B$13="Cost Price",AB545,AA545)*SUMIF(Assumptions!$A$6:$A$10,X545,Assumptions!$B$6:$B$10),0)</f>
        <v>24</v>
      </c>
      <c r="AH545" s="13">
        <f>IFERROR(IF(Assumptions!$B$13="Cost Price",AB545,AA545)*SUMIF(Assumptions!$A$6:$A$10,X545,Assumptions!$C$6:$C$10),0)</f>
        <v>15</v>
      </c>
      <c r="AI545" s="13">
        <f>IFERROR(IF(Assumptions!$B$13="Cost Price",AB545,AA545)*SUMIF(Assumptions!$A$6:$A$10,X545,Assumptions!$D$6:$D$10),0)</f>
        <v>30</v>
      </c>
      <c r="AJ545" s="13">
        <v>30</v>
      </c>
      <c r="AK545" s="13">
        <f t="shared" si="147"/>
        <v>99</v>
      </c>
      <c r="AL545" s="14">
        <v>0.33</v>
      </c>
      <c r="AM545" s="13">
        <f t="shared" si="148"/>
        <v>-99</v>
      </c>
      <c r="AN545" s="14">
        <f t="shared" si="149"/>
        <v>-0.33</v>
      </c>
      <c r="AO545" t="str">
        <f>IF(AN545&gt;=Assumptions!$B$3,"OK","Review")</f>
        <v>Review</v>
      </c>
    </row>
    <row r="546" spans="1:41">
      <c r="A546" s="9" t="s">
        <v>371</v>
      </c>
      <c r="B546" s="9" t="s">
        <v>37</v>
      </c>
      <c r="C546" s="9" t="s">
        <v>380</v>
      </c>
      <c r="D546" s="9" t="s">
        <v>392</v>
      </c>
      <c r="E546" s="9" t="s">
        <v>73</v>
      </c>
      <c r="F546" s="9" t="s">
        <v>90</v>
      </c>
      <c r="G546" s="9" t="s">
        <v>28</v>
      </c>
      <c r="H546" s="9" t="s">
        <v>378</v>
      </c>
      <c r="I546" s="9" t="s">
        <v>393</v>
      </c>
      <c r="J546" s="10">
        <v>1203.18</v>
      </c>
      <c r="K546" s="10">
        <v>0</v>
      </c>
      <c r="L546" s="10">
        <v>1203.18</v>
      </c>
      <c r="M546" s="11">
        <v>0.18</v>
      </c>
      <c r="N546" s="10">
        <v>395.82</v>
      </c>
      <c r="O546" s="10">
        <v>1599</v>
      </c>
      <c r="P546" s="11">
        <v>0</v>
      </c>
      <c r="Q546" s="10">
        <v>1599</v>
      </c>
      <c r="R546" s="10">
        <f t="shared" si="138"/>
        <v>-59.700000000000045</v>
      </c>
      <c r="S546" s="10">
        <v>1599</v>
      </c>
      <c r="T546" s="9" t="s">
        <v>91</v>
      </c>
      <c r="U546" s="10">
        <v>2199</v>
      </c>
      <c r="V546" s="10">
        <f t="shared" si="139"/>
        <v>1539.3</v>
      </c>
      <c r="W546" s="166">
        <v>902300</v>
      </c>
      <c r="X546" s="12" t="s">
        <v>30</v>
      </c>
      <c r="Y546" s="12">
        <f t="shared" si="140"/>
        <v>1599</v>
      </c>
      <c r="Z546" s="13">
        <f t="shared" si="141"/>
        <v>1599</v>
      </c>
      <c r="AA546" s="13">
        <f t="shared" si="142"/>
        <v>1355.0847457627119</v>
      </c>
      <c r="AB546" s="13">
        <f t="shared" si="143"/>
        <v>1203.18</v>
      </c>
      <c r="AC546" s="13">
        <f t="shared" si="144"/>
        <v>151.90474576271185</v>
      </c>
      <c r="AD546" s="14">
        <f t="shared" si="145"/>
        <v>0.11209981238273919</v>
      </c>
      <c r="AE546" s="14">
        <f t="shared" si="146"/>
        <v>0.12625271843174907</v>
      </c>
      <c r="AF546" s="13" t="str">
        <f>IF(AD546&gt;=Assumptions!$B$3,"OK","Review")</f>
        <v>Review</v>
      </c>
      <c r="AG546" s="13">
        <f>IFERROR(IF(Assumptions!$B$13="Cost Price",AB546,AA546)*SUMIF(Assumptions!$A$6:$A$10,X546,Assumptions!$B$6:$B$10),0)</f>
        <v>108.40677966101696</v>
      </c>
      <c r="AH546" s="13">
        <f>IFERROR(IF(Assumptions!$B$13="Cost Price",AB546,AA546)*SUMIF(Assumptions!$A$6:$A$10,X546,Assumptions!$C$6:$C$10),0)</f>
        <v>67.754237288135599</v>
      </c>
      <c r="AI546" s="13">
        <f>IFERROR(IF(Assumptions!$B$13="Cost Price",AB546,AA546)*SUMIF(Assumptions!$A$6:$A$10,X546,Assumptions!$D$6:$D$10),0)</f>
        <v>135.5084745762712</v>
      </c>
      <c r="AJ546" s="13">
        <v>135.5084745762712</v>
      </c>
      <c r="AK546" s="13">
        <f t="shared" si="147"/>
        <v>447.17796610169489</v>
      </c>
      <c r="AL546" s="14">
        <v>0.33</v>
      </c>
      <c r="AM546" s="13">
        <f t="shared" si="148"/>
        <v>-295.27322033898304</v>
      </c>
      <c r="AN546" s="14">
        <f t="shared" si="149"/>
        <v>-0.21790018761726077</v>
      </c>
      <c r="AO546" t="str">
        <f>IF(AN546&gt;=Assumptions!$B$3,"OK","Review")</f>
        <v>Review</v>
      </c>
    </row>
    <row r="547" spans="1:41">
      <c r="A547" s="9" t="s">
        <v>371</v>
      </c>
      <c r="B547" s="9" t="s">
        <v>38</v>
      </c>
      <c r="C547" s="9" t="s">
        <v>372</v>
      </c>
      <c r="D547" s="9" t="s">
        <v>394</v>
      </c>
      <c r="E547" s="9" t="s">
        <v>73</v>
      </c>
      <c r="F547" s="9" t="s">
        <v>74</v>
      </c>
      <c r="G547" s="9" t="s">
        <v>28</v>
      </c>
      <c r="H547" s="9" t="s">
        <v>374</v>
      </c>
      <c r="I547" s="9" t="s">
        <v>395</v>
      </c>
      <c r="J547" s="10">
        <v>300</v>
      </c>
      <c r="K547" s="10"/>
      <c r="L547" s="10">
        <v>300</v>
      </c>
      <c r="M547" s="11">
        <v>0</v>
      </c>
      <c r="N547" s="10">
        <v>0</v>
      </c>
      <c r="O547" s="10">
        <v>300</v>
      </c>
      <c r="P547" s="11">
        <v>0.5</v>
      </c>
      <c r="Q547" s="10">
        <v>600</v>
      </c>
      <c r="R547" s="10">
        <f t="shared" si="138"/>
        <v>-59.700000000000045</v>
      </c>
      <c r="S547" s="10">
        <v>300</v>
      </c>
      <c r="T547" s="9" t="s">
        <v>76</v>
      </c>
      <c r="U547" s="10">
        <v>2199</v>
      </c>
      <c r="V547" s="10">
        <f t="shared" si="139"/>
        <v>1539.3</v>
      </c>
      <c r="W547" s="166">
        <v>490110</v>
      </c>
      <c r="X547" s="12" t="s">
        <v>30</v>
      </c>
      <c r="Y547" s="12">
        <f t="shared" si="140"/>
        <v>300</v>
      </c>
      <c r="Z547" s="13">
        <f t="shared" si="141"/>
        <v>300</v>
      </c>
      <c r="AA547" s="13">
        <f t="shared" si="142"/>
        <v>300</v>
      </c>
      <c r="AB547" s="13">
        <f t="shared" si="143"/>
        <v>300</v>
      </c>
      <c r="AC547" s="13">
        <f t="shared" si="144"/>
        <v>0</v>
      </c>
      <c r="AD547" s="14">
        <f t="shared" si="145"/>
        <v>0</v>
      </c>
      <c r="AE547" s="14">
        <f t="shared" si="146"/>
        <v>0</v>
      </c>
      <c r="AF547" s="13" t="str">
        <f>IF(AD547&gt;=Assumptions!$B$3,"OK","Review")</f>
        <v>Review</v>
      </c>
      <c r="AG547" s="13">
        <f>IFERROR(IF(Assumptions!$B$13="Cost Price",AB547,AA547)*SUMIF(Assumptions!$A$6:$A$10,X547,Assumptions!$B$6:$B$10),0)</f>
        <v>24</v>
      </c>
      <c r="AH547" s="13">
        <f>IFERROR(IF(Assumptions!$B$13="Cost Price",AB547,AA547)*SUMIF(Assumptions!$A$6:$A$10,X547,Assumptions!$C$6:$C$10),0)</f>
        <v>15</v>
      </c>
      <c r="AI547" s="13">
        <f>IFERROR(IF(Assumptions!$B$13="Cost Price",AB547,AA547)*SUMIF(Assumptions!$A$6:$A$10,X547,Assumptions!$D$6:$D$10),0)</f>
        <v>30</v>
      </c>
      <c r="AJ547" s="13">
        <v>30</v>
      </c>
      <c r="AK547" s="13">
        <f t="shared" si="147"/>
        <v>99</v>
      </c>
      <c r="AL547" s="14">
        <v>0.33</v>
      </c>
      <c r="AM547" s="13">
        <f t="shared" si="148"/>
        <v>-99</v>
      </c>
      <c r="AN547" s="14">
        <f t="shared" si="149"/>
        <v>-0.33</v>
      </c>
      <c r="AO547" t="str">
        <f>IF(AN547&gt;=Assumptions!$B$3,"OK","Review")</f>
        <v>Review</v>
      </c>
    </row>
    <row r="548" spans="1:41">
      <c r="A548" s="9" t="s">
        <v>371</v>
      </c>
      <c r="B548" s="9" t="s">
        <v>38</v>
      </c>
      <c r="C548" s="9" t="s">
        <v>376</v>
      </c>
      <c r="D548" s="9" t="s">
        <v>396</v>
      </c>
      <c r="E548" s="9" t="s">
        <v>73</v>
      </c>
      <c r="F548" s="9" t="s">
        <v>74</v>
      </c>
      <c r="G548" s="9" t="s">
        <v>28</v>
      </c>
      <c r="H548" s="9" t="s">
        <v>378</v>
      </c>
      <c r="I548" s="9" t="s">
        <v>397</v>
      </c>
      <c r="J548" s="10">
        <v>300</v>
      </c>
      <c r="K548" s="10">
        <v>0</v>
      </c>
      <c r="L548" s="10">
        <v>300</v>
      </c>
      <c r="M548" s="11">
        <v>0</v>
      </c>
      <c r="N548" s="10">
        <v>0</v>
      </c>
      <c r="O548" s="10">
        <v>300</v>
      </c>
      <c r="P548" s="11">
        <v>0.5</v>
      </c>
      <c r="Q548" s="10">
        <v>600</v>
      </c>
      <c r="R548" s="10">
        <f t="shared" si="138"/>
        <v>-59.700000000000045</v>
      </c>
      <c r="S548" s="10">
        <v>300</v>
      </c>
      <c r="T548" s="9" t="s">
        <v>76</v>
      </c>
      <c r="U548" s="10">
        <v>2199</v>
      </c>
      <c r="V548" s="10">
        <f t="shared" si="139"/>
        <v>1539.3</v>
      </c>
      <c r="W548" s="166">
        <v>490110</v>
      </c>
      <c r="X548" s="12" t="s">
        <v>30</v>
      </c>
      <c r="Y548" s="12">
        <f t="shared" si="140"/>
        <v>300</v>
      </c>
      <c r="Z548" s="13">
        <f t="shared" si="141"/>
        <v>300</v>
      </c>
      <c r="AA548" s="13">
        <f t="shared" si="142"/>
        <v>300</v>
      </c>
      <c r="AB548" s="13">
        <f t="shared" si="143"/>
        <v>300</v>
      </c>
      <c r="AC548" s="13">
        <f t="shared" si="144"/>
        <v>0</v>
      </c>
      <c r="AD548" s="14">
        <f t="shared" si="145"/>
        <v>0</v>
      </c>
      <c r="AE548" s="14">
        <f t="shared" si="146"/>
        <v>0</v>
      </c>
      <c r="AF548" s="13" t="str">
        <f>IF(AD548&gt;=Assumptions!$B$3,"OK","Review")</f>
        <v>Review</v>
      </c>
      <c r="AG548" s="13">
        <f>IFERROR(IF(Assumptions!$B$13="Cost Price",AB548,AA548)*SUMIF(Assumptions!$A$6:$A$10,X548,Assumptions!$B$6:$B$10),0)</f>
        <v>24</v>
      </c>
      <c r="AH548" s="13">
        <f>IFERROR(IF(Assumptions!$B$13="Cost Price",AB548,AA548)*SUMIF(Assumptions!$A$6:$A$10,X548,Assumptions!$C$6:$C$10),0)</f>
        <v>15</v>
      </c>
      <c r="AI548" s="13">
        <f>IFERROR(IF(Assumptions!$B$13="Cost Price",AB548,AA548)*SUMIF(Assumptions!$A$6:$A$10,X548,Assumptions!$D$6:$D$10),0)</f>
        <v>30</v>
      </c>
      <c r="AJ548" s="13">
        <v>30</v>
      </c>
      <c r="AK548" s="13">
        <f t="shared" si="147"/>
        <v>99</v>
      </c>
      <c r="AL548" s="14">
        <v>0.33</v>
      </c>
      <c r="AM548" s="13">
        <f t="shared" si="148"/>
        <v>-99</v>
      </c>
      <c r="AN548" s="14">
        <f t="shared" si="149"/>
        <v>-0.33</v>
      </c>
      <c r="AO548" t="str">
        <f>IF(AN548&gt;=Assumptions!$B$3,"OK","Review")</f>
        <v>Review</v>
      </c>
    </row>
    <row r="549" spans="1:41">
      <c r="A549" s="9" t="s">
        <v>371</v>
      </c>
      <c r="B549" s="9" t="s">
        <v>38</v>
      </c>
      <c r="C549" s="9" t="s">
        <v>380</v>
      </c>
      <c r="D549" s="9" t="s">
        <v>398</v>
      </c>
      <c r="E549" s="9" t="s">
        <v>73</v>
      </c>
      <c r="F549" s="9" t="s">
        <v>90</v>
      </c>
      <c r="G549" s="9" t="s">
        <v>28</v>
      </c>
      <c r="H549" s="9" t="s">
        <v>378</v>
      </c>
      <c r="I549" s="9" t="s">
        <v>399</v>
      </c>
      <c r="J549" s="10">
        <v>1203.18</v>
      </c>
      <c r="K549" s="10">
        <v>0</v>
      </c>
      <c r="L549" s="10">
        <v>1203.18</v>
      </c>
      <c r="M549" s="11">
        <v>0.18</v>
      </c>
      <c r="N549" s="10">
        <v>395.82</v>
      </c>
      <c r="O549" s="10">
        <v>1599</v>
      </c>
      <c r="P549" s="11">
        <v>0</v>
      </c>
      <c r="Q549" s="10">
        <v>1599</v>
      </c>
      <c r="R549" s="10">
        <f t="shared" si="138"/>
        <v>-59.700000000000045</v>
      </c>
      <c r="S549" s="10">
        <v>1599</v>
      </c>
      <c r="T549" s="9" t="s">
        <v>91</v>
      </c>
      <c r="U549" s="10">
        <v>2199</v>
      </c>
      <c r="V549" s="10">
        <f t="shared" si="139"/>
        <v>1539.3</v>
      </c>
      <c r="W549" s="166">
        <v>902300</v>
      </c>
      <c r="X549" s="12" t="s">
        <v>30</v>
      </c>
      <c r="Y549" s="12">
        <f t="shared" si="140"/>
        <v>1599</v>
      </c>
      <c r="Z549" s="13">
        <f t="shared" si="141"/>
        <v>1599</v>
      </c>
      <c r="AA549" s="13">
        <f t="shared" si="142"/>
        <v>1355.0847457627119</v>
      </c>
      <c r="AB549" s="13">
        <f t="shared" si="143"/>
        <v>1203.18</v>
      </c>
      <c r="AC549" s="13">
        <f t="shared" si="144"/>
        <v>151.90474576271185</v>
      </c>
      <c r="AD549" s="14">
        <f t="shared" si="145"/>
        <v>0.11209981238273919</v>
      </c>
      <c r="AE549" s="14">
        <f t="shared" si="146"/>
        <v>0.12625271843174907</v>
      </c>
      <c r="AF549" s="13" t="str">
        <f>IF(AD549&gt;=Assumptions!$B$3,"OK","Review")</f>
        <v>Review</v>
      </c>
      <c r="AG549" s="13">
        <f>IFERROR(IF(Assumptions!$B$13="Cost Price",AB549,AA549)*SUMIF(Assumptions!$A$6:$A$10,X549,Assumptions!$B$6:$B$10),0)</f>
        <v>108.40677966101696</v>
      </c>
      <c r="AH549" s="13">
        <f>IFERROR(IF(Assumptions!$B$13="Cost Price",AB549,AA549)*SUMIF(Assumptions!$A$6:$A$10,X549,Assumptions!$C$6:$C$10),0)</f>
        <v>67.754237288135599</v>
      </c>
      <c r="AI549" s="13">
        <f>IFERROR(IF(Assumptions!$B$13="Cost Price",AB549,AA549)*SUMIF(Assumptions!$A$6:$A$10,X549,Assumptions!$D$6:$D$10),0)</f>
        <v>135.5084745762712</v>
      </c>
      <c r="AJ549" s="13">
        <v>135.5084745762712</v>
      </c>
      <c r="AK549" s="13">
        <f t="shared" si="147"/>
        <v>447.17796610169489</v>
      </c>
      <c r="AL549" s="14">
        <v>0.33</v>
      </c>
      <c r="AM549" s="13">
        <f t="shared" si="148"/>
        <v>-295.27322033898304</v>
      </c>
      <c r="AN549" s="14">
        <f t="shared" si="149"/>
        <v>-0.21790018761726077</v>
      </c>
      <c r="AO549" t="str">
        <f>IF(AN549&gt;=Assumptions!$B$3,"OK","Review")</f>
        <v>Review</v>
      </c>
    </row>
    <row r="550" spans="1:41">
      <c r="A550" s="9" t="s">
        <v>371</v>
      </c>
      <c r="B550" s="9" t="s">
        <v>39</v>
      </c>
      <c r="C550" s="9" t="s">
        <v>372</v>
      </c>
      <c r="D550" s="9" t="s">
        <v>400</v>
      </c>
      <c r="E550" s="9" t="s">
        <v>73</v>
      </c>
      <c r="F550" s="9" t="s">
        <v>74</v>
      </c>
      <c r="G550" s="9" t="s">
        <v>28</v>
      </c>
      <c r="H550" s="9" t="s">
        <v>374</v>
      </c>
      <c r="I550" s="9" t="s">
        <v>401</v>
      </c>
      <c r="J550" s="10">
        <v>300</v>
      </c>
      <c r="K550" s="10"/>
      <c r="L550" s="10">
        <v>300</v>
      </c>
      <c r="M550" s="11">
        <v>0</v>
      </c>
      <c r="N550" s="10">
        <v>0</v>
      </c>
      <c r="O550" s="10">
        <v>300</v>
      </c>
      <c r="P550" s="11">
        <v>0.5</v>
      </c>
      <c r="Q550" s="10">
        <v>600</v>
      </c>
      <c r="R550" s="10">
        <f t="shared" si="138"/>
        <v>-59.700000000000045</v>
      </c>
      <c r="S550" s="10">
        <v>300</v>
      </c>
      <c r="T550" s="9" t="s">
        <v>76</v>
      </c>
      <c r="U550" s="10">
        <v>2199</v>
      </c>
      <c r="V550" s="10">
        <f t="shared" si="139"/>
        <v>1539.3</v>
      </c>
      <c r="W550" s="166">
        <v>490110</v>
      </c>
      <c r="X550" s="12" t="s">
        <v>30</v>
      </c>
      <c r="Y550" s="12">
        <f t="shared" si="140"/>
        <v>300</v>
      </c>
      <c r="Z550" s="13">
        <f t="shared" si="141"/>
        <v>300</v>
      </c>
      <c r="AA550" s="13">
        <f t="shared" si="142"/>
        <v>300</v>
      </c>
      <c r="AB550" s="13">
        <f t="shared" si="143"/>
        <v>300</v>
      </c>
      <c r="AC550" s="13">
        <f t="shared" si="144"/>
        <v>0</v>
      </c>
      <c r="AD550" s="14">
        <f t="shared" si="145"/>
        <v>0</v>
      </c>
      <c r="AE550" s="14">
        <f t="shared" si="146"/>
        <v>0</v>
      </c>
      <c r="AF550" s="13" t="str">
        <f>IF(AD550&gt;=Assumptions!$B$3,"OK","Review")</f>
        <v>Review</v>
      </c>
      <c r="AG550" s="13">
        <f>IFERROR(IF(Assumptions!$B$13="Cost Price",AB550,AA550)*SUMIF(Assumptions!$A$6:$A$10,X550,Assumptions!$B$6:$B$10),0)</f>
        <v>24</v>
      </c>
      <c r="AH550" s="13">
        <f>IFERROR(IF(Assumptions!$B$13="Cost Price",AB550,AA550)*SUMIF(Assumptions!$A$6:$A$10,X550,Assumptions!$C$6:$C$10),0)</f>
        <v>15</v>
      </c>
      <c r="AI550" s="13">
        <f>IFERROR(IF(Assumptions!$B$13="Cost Price",AB550,AA550)*SUMIF(Assumptions!$A$6:$A$10,X550,Assumptions!$D$6:$D$10),0)</f>
        <v>30</v>
      </c>
      <c r="AJ550" s="13">
        <v>30</v>
      </c>
      <c r="AK550" s="13">
        <f t="shared" si="147"/>
        <v>99</v>
      </c>
      <c r="AL550" s="14">
        <v>0.33</v>
      </c>
      <c r="AM550" s="13">
        <f t="shared" si="148"/>
        <v>-99</v>
      </c>
      <c r="AN550" s="14">
        <f t="shared" si="149"/>
        <v>-0.33</v>
      </c>
      <c r="AO550" t="str">
        <f>IF(AN550&gt;=Assumptions!$B$3,"OK","Review")</f>
        <v>Review</v>
      </c>
    </row>
    <row r="551" spans="1:41">
      <c r="A551" s="9" t="s">
        <v>371</v>
      </c>
      <c r="B551" s="9" t="s">
        <v>39</v>
      </c>
      <c r="C551" s="9" t="s">
        <v>376</v>
      </c>
      <c r="D551" s="9" t="s">
        <v>402</v>
      </c>
      <c r="E551" s="9" t="s">
        <v>73</v>
      </c>
      <c r="F551" s="9" t="s">
        <v>74</v>
      </c>
      <c r="G551" s="9" t="s">
        <v>28</v>
      </c>
      <c r="H551" s="9" t="s">
        <v>378</v>
      </c>
      <c r="I551" s="9" t="s">
        <v>403</v>
      </c>
      <c r="J551" s="10">
        <v>300</v>
      </c>
      <c r="K551" s="10">
        <v>0</v>
      </c>
      <c r="L551" s="10">
        <v>300</v>
      </c>
      <c r="M551" s="11">
        <v>0</v>
      </c>
      <c r="N551" s="10">
        <v>0</v>
      </c>
      <c r="O551" s="10">
        <v>300</v>
      </c>
      <c r="P551" s="11">
        <v>0.5</v>
      </c>
      <c r="Q551" s="10">
        <v>600</v>
      </c>
      <c r="R551" s="10">
        <f t="shared" si="138"/>
        <v>-59.700000000000045</v>
      </c>
      <c r="S551" s="10">
        <v>300</v>
      </c>
      <c r="T551" s="9" t="s">
        <v>76</v>
      </c>
      <c r="U551" s="10">
        <v>2199</v>
      </c>
      <c r="V551" s="10">
        <f t="shared" si="139"/>
        <v>1539.3</v>
      </c>
      <c r="W551" s="166">
        <v>490110</v>
      </c>
      <c r="X551" s="12" t="s">
        <v>30</v>
      </c>
      <c r="Y551" s="12">
        <f t="shared" si="140"/>
        <v>300</v>
      </c>
      <c r="Z551" s="13">
        <f t="shared" si="141"/>
        <v>300</v>
      </c>
      <c r="AA551" s="13">
        <f t="shared" si="142"/>
        <v>300</v>
      </c>
      <c r="AB551" s="13">
        <f t="shared" si="143"/>
        <v>300</v>
      </c>
      <c r="AC551" s="13">
        <f t="shared" si="144"/>
        <v>0</v>
      </c>
      <c r="AD551" s="14">
        <f t="shared" si="145"/>
        <v>0</v>
      </c>
      <c r="AE551" s="14">
        <f t="shared" si="146"/>
        <v>0</v>
      </c>
      <c r="AF551" s="13" t="str">
        <f>IF(AD551&gt;=Assumptions!$B$3,"OK","Review")</f>
        <v>Review</v>
      </c>
      <c r="AG551" s="13">
        <f>IFERROR(IF(Assumptions!$B$13="Cost Price",AB551,AA551)*SUMIF(Assumptions!$A$6:$A$10,X551,Assumptions!$B$6:$B$10),0)</f>
        <v>24</v>
      </c>
      <c r="AH551" s="13">
        <f>IFERROR(IF(Assumptions!$B$13="Cost Price",AB551,AA551)*SUMIF(Assumptions!$A$6:$A$10,X551,Assumptions!$C$6:$C$10),0)</f>
        <v>15</v>
      </c>
      <c r="AI551" s="13">
        <f>IFERROR(IF(Assumptions!$B$13="Cost Price",AB551,AA551)*SUMIF(Assumptions!$A$6:$A$10,X551,Assumptions!$D$6:$D$10),0)</f>
        <v>30</v>
      </c>
      <c r="AJ551" s="13">
        <v>30</v>
      </c>
      <c r="AK551" s="13">
        <f t="shared" si="147"/>
        <v>99</v>
      </c>
      <c r="AL551" s="14">
        <v>0.33</v>
      </c>
      <c r="AM551" s="13">
        <f t="shared" si="148"/>
        <v>-99</v>
      </c>
      <c r="AN551" s="14">
        <f t="shared" si="149"/>
        <v>-0.33</v>
      </c>
      <c r="AO551" t="str">
        <f>IF(AN551&gt;=Assumptions!$B$3,"OK","Review")</f>
        <v>Review</v>
      </c>
    </row>
    <row r="552" spans="1:41">
      <c r="A552" s="9" t="s">
        <v>371</v>
      </c>
      <c r="B552" s="9" t="s">
        <v>39</v>
      </c>
      <c r="C552" s="9" t="s">
        <v>380</v>
      </c>
      <c r="D552" s="9" t="s">
        <v>404</v>
      </c>
      <c r="E552" s="9" t="s">
        <v>73</v>
      </c>
      <c r="F552" s="9" t="s">
        <v>90</v>
      </c>
      <c r="G552" s="9" t="s">
        <v>28</v>
      </c>
      <c r="H552" s="9" t="s">
        <v>378</v>
      </c>
      <c r="I552" s="9" t="s">
        <v>405</v>
      </c>
      <c r="J552" s="10">
        <v>1203.18</v>
      </c>
      <c r="K552" s="10">
        <v>0</v>
      </c>
      <c r="L552" s="10">
        <v>1203.18</v>
      </c>
      <c r="M552" s="11">
        <v>0.18</v>
      </c>
      <c r="N552" s="10">
        <v>395.82</v>
      </c>
      <c r="O552" s="10">
        <v>1599</v>
      </c>
      <c r="P552" s="11">
        <v>0</v>
      </c>
      <c r="Q552" s="10">
        <v>1599</v>
      </c>
      <c r="R552" s="10">
        <f t="shared" si="138"/>
        <v>-59.700000000000045</v>
      </c>
      <c r="S552" s="10">
        <v>1599</v>
      </c>
      <c r="T552" s="9" t="s">
        <v>91</v>
      </c>
      <c r="U552" s="10">
        <v>2199</v>
      </c>
      <c r="V552" s="10">
        <f t="shared" si="139"/>
        <v>1539.3</v>
      </c>
      <c r="W552" s="166">
        <v>902300</v>
      </c>
      <c r="X552" s="12" t="s">
        <v>30</v>
      </c>
      <c r="Y552" s="12">
        <f t="shared" si="140"/>
        <v>1599</v>
      </c>
      <c r="Z552" s="13">
        <f t="shared" si="141"/>
        <v>1599</v>
      </c>
      <c r="AA552" s="13">
        <f t="shared" si="142"/>
        <v>1355.0847457627119</v>
      </c>
      <c r="AB552" s="13">
        <f t="shared" si="143"/>
        <v>1203.18</v>
      </c>
      <c r="AC552" s="13">
        <f t="shared" si="144"/>
        <v>151.90474576271185</v>
      </c>
      <c r="AD552" s="14">
        <f t="shared" si="145"/>
        <v>0.11209981238273919</v>
      </c>
      <c r="AE552" s="14">
        <f t="shared" si="146"/>
        <v>0.12625271843174907</v>
      </c>
      <c r="AF552" s="13" t="str">
        <f>IF(AD552&gt;=Assumptions!$B$3,"OK","Review")</f>
        <v>Review</v>
      </c>
      <c r="AG552" s="13">
        <f>IFERROR(IF(Assumptions!$B$13="Cost Price",AB552,AA552)*SUMIF(Assumptions!$A$6:$A$10,X552,Assumptions!$B$6:$B$10),0)</f>
        <v>108.40677966101696</v>
      </c>
      <c r="AH552" s="13">
        <f>IFERROR(IF(Assumptions!$B$13="Cost Price",AB552,AA552)*SUMIF(Assumptions!$A$6:$A$10,X552,Assumptions!$C$6:$C$10),0)</f>
        <v>67.754237288135599</v>
      </c>
      <c r="AI552" s="13">
        <f>IFERROR(IF(Assumptions!$B$13="Cost Price",AB552,AA552)*SUMIF(Assumptions!$A$6:$A$10,X552,Assumptions!$D$6:$D$10),0)</f>
        <v>135.5084745762712</v>
      </c>
      <c r="AJ552" s="13">
        <v>135.5084745762712</v>
      </c>
      <c r="AK552" s="13">
        <f t="shared" si="147"/>
        <v>447.17796610169489</v>
      </c>
      <c r="AL552" s="14">
        <v>0.33</v>
      </c>
      <c r="AM552" s="13">
        <f t="shared" si="148"/>
        <v>-295.27322033898304</v>
      </c>
      <c r="AN552" s="14">
        <f t="shared" si="149"/>
        <v>-0.21790018761726077</v>
      </c>
      <c r="AO552" t="str">
        <f>IF(AN552&gt;=Assumptions!$B$3,"OK","Review")</f>
        <v>Review</v>
      </c>
    </row>
    <row r="553" spans="1:41">
      <c r="A553" s="9" t="s">
        <v>371</v>
      </c>
      <c r="B553" s="9" t="s">
        <v>40</v>
      </c>
      <c r="C553" s="9" t="s">
        <v>372</v>
      </c>
      <c r="D553" s="9" t="s">
        <v>406</v>
      </c>
      <c r="E553" s="9" t="s">
        <v>73</v>
      </c>
      <c r="F553" s="9" t="s">
        <v>74</v>
      </c>
      <c r="G553" s="9" t="s">
        <v>28</v>
      </c>
      <c r="H553" s="9" t="s">
        <v>374</v>
      </c>
      <c r="I553" s="9" t="s">
        <v>407</v>
      </c>
      <c r="J553" s="10">
        <v>300</v>
      </c>
      <c r="K553" s="10"/>
      <c r="L553" s="10">
        <v>300</v>
      </c>
      <c r="M553" s="11">
        <v>0</v>
      </c>
      <c r="N553" s="10">
        <v>0</v>
      </c>
      <c r="O553" s="10">
        <v>300</v>
      </c>
      <c r="P553" s="11">
        <v>0.5</v>
      </c>
      <c r="Q553" s="10">
        <v>600</v>
      </c>
      <c r="R553" s="10">
        <f t="shared" si="138"/>
        <v>-149.70000000000005</v>
      </c>
      <c r="S553" s="10">
        <v>300</v>
      </c>
      <c r="T553" s="9" t="s">
        <v>76</v>
      </c>
      <c r="U553" s="10">
        <v>2499</v>
      </c>
      <c r="V553" s="10">
        <f t="shared" si="139"/>
        <v>1749.3</v>
      </c>
      <c r="W553" s="166">
        <v>490110</v>
      </c>
      <c r="X553" s="12" t="s">
        <v>30</v>
      </c>
      <c r="Y553" s="12">
        <f t="shared" si="140"/>
        <v>300</v>
      </c>
      <c r="Z553" s="13">
        <f t="shared" si="141"/>
        <v>300</v>
      </c>
      <c r="AA553" s="13">
        <f t="shared" si="142"/>
        <v>300</v>
      </c>
      <c r="AB553" s="13">
        <f t="shared" si="143"/>
        <v>300</v>
      </c>
      <c r="AC553" s="13">
        <f t="shared" si="144"/>
        <v>0</v>
      </c>
      <c r="AD553" s="14">
        <f t="shared" si="145"/>
        <v>0</v>
      </c>
      <c r="AE553" s="14">
        <f t="shared" si="146"/>
        <v>0</v>
      </c>
      <c r="AF553" s="13" t="str">
        <f>IF(AD553&gt;=Assumptions!$B$3,"OK","Review")</f>
        <v>Review</v>
      </c>
      <c r="AG553" s="13">
        <f>IFERROR(IF(Assumptions!$B$13="Cost Price",AB553,AA553)*SUMIF(Assumptions!$A$6:$A$10,X553,Assumptions!$B$6:$B$10),0)</f>
        <v>24</v>
      </c>
      <c r="AH553" s="13">
        <f>IFERROR(IF(Assumptions!$B$13="Cost Price",AB553,AA553)*SUMIF(Assumptions!$A$6:$A$10,X553,Assumptions!$C$6:$C$10),0)</f>
        <v>15</v>
      </c>
      <c r="AI553" s="13">
        <f>IFERROR(IF(Assumptions!$B$13="Cost Price",AB553,AA553)*SUMIF(Assumptions!$A$6:$A$10,X553,Assumptions!$D$6:$D$10),0)</f>
        <v>30</v>
      </c>
      <c r="AJ553" s="13">
        <v>30</v>
      </c>
      <c r="AK553" s="13">
        <f t="shared" si="147"/>
        <v>99</v>
      </c>
      <c r="AL553" s="14">
        <v>0.33</v>
      </c>
      <c r="AM553" s="13">
        <f t="shared" si="148"/>
        <v>-99</v>
      </c>
      <c r="AN553" s="14">
        <f t="shared" si="149"/>
        <v>-0.33</v>
      </c>
      <c r="AO553" t="str">
        <f>IF(AN553&gt;=Assumptions!$B$3,"OK","Review")</f>
        <v>Review</v>
      </c>
    </row>
    <row r="554" spans="1:41">
      <c r="A554" s="9" t="s">
        <v>371</v>
      </c>
      <c r="B554" s="9" t="s">
        <v>40</v>
      </c>
      <c r="C554" s="9" t="s">
        <v>376</v>
      </c>
      <c r="D554" s="9" t="s">
        <v>408</v>
      </c>
      <c r="E554" s="9" t="s">
        <v>73</v>
      </c>
      <c r="F554" s="9" t="s">
        <v>74</v>
      </c>
      <c r="G554" s="9" t="s">
        <v>28</v>
      </c>
      <c r="H554" s="9" t="s">
        <v>378</v>
      </c>
      <c r="I554" s="9" t="s">
        <v>409</v>
      </c>
      <c r="J554" s="10">
        <v>300</v>
      </c>
      <c r="K554" s="10">
        <v>0</v>
      </c>
      <c r="L554" s="10">
        <v>300</v>
      </c>
      <c r="M554" s="11">
        <v>0</v>
      </c>
      <c r="N554" s="10">
        <v>0</v>
      </c>
      <c r="O554" s="10">
        <v>300</v>
      </c>
      <c r="P554" s="11">
        <v>0.5</v>
      </c>
      <c r="Q554" s="10">
        <v>600</v>
      </c>
      <c r="R554" s="10">
        <f t="shared" si="138"/>
        <v>-149.70000000000005</v>
      </c>
      <c r="S554" s="10">
        <v>300</v>
      </c>
      <c r="T554" s="9" t="s">
        <v>76</v>
      </c>
      <c r="U554" s="10">
        <v>2499</v>
      </c>
      <c r="V554" s="10">
        <f t="shared" si="139"/>
        <v>1749.3</v>
      </c>
      <c r="W554" s="166">
        <v>490110</v>
      </c>
      <c r="X554" s="12" t="s">
        <v>30</v>
      </c>
      <c r="Y554" s="12">
        <f t="shared" si="140"/>
        <v>300</v>
      </c>
      <c r="Z554" s="13">
        <f t="shared" si="141"/>
        <v>300</v>
      </c>
      <c r="AA554" s="13">
        <f t="shared" si="142"/>
        <v>300</v>
      </c>
      <c r="AB554" s="13">
        <f t="shared" si="143"/>
        <v>300</v>
      </c>
      <c r="AC554" s="13">
        <f t="shared" si="144"/>
        <v>0</v>
      </c>
      <c r="AD554" s="14">
        <f t="shared" si="145"/>
        <v>0</v>
      </c>
      <c r="AE554" s="14">
        <f t="shared" si="146"/>
        <v>0</v>
      </c>
      <c r="AF554" s="13" t="str">
        <f>IF(AD554&gt;=Assumptions!$B$3,"OK","Review")</f>
        <v>Review</v>
      </c>
      <c r="AG554" s="13">
        <f>IFERROR(IF(Assumptions!$B$13="Cost Price",AB554,AA554)*SUMIF(Assumptions!$A$6:$A$10,X554,Assumptions!$B$6:$B$10),0)</f>
        <v>24</v>
      </c>
      <c r="AH554" s="13">
        <f>IFERROR(IF(Assumptions!$B$13="Cost Price",AB554,AA554)*SUMIF(Assumptions!$A$6:$A$10,X554,Assumptions!$C$6:$C$10),0)</f>
        <v>15</v>
      </c>
      <c r="AI554" s="13">
        <f>IFERROR(IF(Assumptions!$B$13="Cost Price",AB554,AA554)*SUMIF(Assumptions!$A$6:$A$10,X554,Assumptions!$D$6:$D$10),0)</f>
        <v>30</v>
      </c>
      <c r="AJ554" s="13">
        <v>30</v>
      </c>
      <c r="AK554" s="13">
        <f t="shared" si="147"/>
        <v>99</v>
      </c>
      <c r="AL554" s="14">
        <v>0.33</v>
      </c>
      <c r="AM554" s="13">
        <f t="shared" si="148"/>
        <v>-99</v>
      </c>
      <c r="AN554" s="14">
        <f t="shared" si="149"/>
        <v>-0.33</v>
      </c>
      <c r="AO554" t="str">
        <f>IF(AN554&gt;=Assumptions!$B$3,"OK","Review")</f>
        <v>Review</v>
      </c>
    </row>
    <row r="555" spans="1:41">
      <c r="A555" s="9" t="s">
        <v>371</v>
      </c>
      <c r="B555" s="9" t="s">
        <v>40</v>
      </c>
      <c r="C555" s="9" t="s">
        <v>380</v>
      </c>
      <c r="D555" s="9" t="s">
        <v>410</v>
      </c>
      <c r="E555" s="9" t="s">
        <v>73</v>
      </c>
      <c r="F555" s="9" t="s">
        <v>90</v>
      </c>
      <c r="G555" s="9" t="s">
        <v>28</v>
      </c>
      <c r="H555" s="9" t="s">
        <v>378</v>
      </c>
      <c r="I555" s="9" t="s">
        <v>411</v>
      </c>
      <c r="J555" s="10">
        <v>1449.18</v>
      </c>
      <c r="K555" s="10">
        <v>0</v>
      </c>
      <c r="L555" s="10">
        <v>1449.18</v>
      </c>
      <c r="M555" s="11">
        <v>0.18</v>
      </c>
      <c r="N555" s="10">
        <v>449.82</v>
      </c>
      <c r="O555" s="10">
        <v>1899</v>
      </c>
      <c r="P555" s="11">
        <v>0</v>
      </c>
      <c r="Q555" s="10">
        <v>1899</v>
      </c>
      <c r="R555" s="10">
        <f t="shared" si="138"/>
        <v>-149.70000000000005</v>
      </c>
      <c r="S555" s="10">
        <v>1899</v>
      </c>
      <c r="T555" s="9" t="s">
        <v>91</v>
      </c>
      <c r="U555" s="10">
        <v>2499</v>
      </c>
      <c r="V555" s="10">
        <f t="shared" si="139"/>
        <v>1749.3</v>
      </c>
      <c r="W555" s="166">
        <v>902300</v>
      </c>
      <c r="X555" s="12" t="s">
        <v>30</v>
      </c>
      <c r="Y555" s="12">
        <f t="shared" si="140"/>
        <v>1899</v>
      </c>
      <c r="Z555" s="13">
        <f t="shared" si="141"/>
        <v>1899</v>
      </c>
      <c r="AA555" s="13">
        <f t="shared" si="142"/>
        <v>1609.3220338983051</v>
      </c>
      <c r="AB555" s="13">
        <f t="shared" si="143"/>
        <v>1449.18</v>
      </c>
      <c r="AC555" s="13">
        <f t="shared" si="144"/>
        <v>160.14203389830504</v>
      </c>
      <c r="AD555" s="14">
        <f t="shared" si="145"/>
        <v>9.9509004739336465E-2</v>
      </c>
      <c r="AE555" s="14">
        <f t="shared" si="146"/>
        <v>0.11050527463690159</v>
      </c>
      <c r="AF555" s="13" t="str">
        <f>IF(AD555&gt;=Assumptions!$B$3,"OK","Review")</f>
        <v>Review</v>
      </c>
      <c r="AG555" s="13">
        <f>IFERROR(IF(Assumptions!$B$13="Cost Price",AB555,AA555)*SUMIF(Assumptions!$A$6:$A$10,X555,Assumptions!$B$6:$B$10),0)</f>
        <v>128.74576271186442</v>
      </c>
      <c r="AH555" s="13">
        <f>IFERROR(IF(Assumptions!$B$13="Cost Price",AB555,AA555)*SUMIF(Assumptions!$A$6:$A$10,X555,Assumptions!$C$6:$C$10),0)</f>
        <v>80.466101694915267</v>
      </c>
      <c r="AI555" s="13">
        <f>IFERROR(IF(Assumptions!$B$13="Cost Price",AB555,AA555)*SUMIF(Assumptions!$A$6:$A$10,X555,Assumptions!$D$6:$D$10),0)</f>
        <v>160.93220338983053</v>
      </c>
      <c r="AJ555" s="13">
        <v>160.93220338983053</v>
      </c>
      <c r="AK555" s="13">
        <f t="shared" si="147"/>
        <v>531.07627118644075</v>
      </c>
      <c r="AL555" s="14">
        <v>0.33</v>
      </c>
      <c r="AM555" s="13">
        <f t="shared" si="148"/>
        <v>-370.93423728813571</v>
      </c>
      <c r="AN555" s="14">
        <f t="shared" si="149"/>
        <v>-0.23049099526066358</v>
      </c>
      <c r="AO555" t="str">
        <f>IF(AN555&gt;=Assumptions!$B$3,"OK","Review")</f>
        <v>Review</v>
      </c>
    </row>
    <row r="556" spans="1:41">
      <c r="A556" s="9" t="s">
        <v>371</v>
      </c>
      <c r="B556" s="9" t="s">
        <v>41</v>
      </c>
      <c r="C556" s="9" t="s">
        <v>372</v>
      </c>
      <c r="D556" s="9" t="s">
        <v>412</v>
      </c>
      <c r="E556" s="9" t="s">
        <v>73</v>
      </c>
      <c r="F556" s="9" t="s">
        <v>74</v>
      </c>
      <c r="G556" s="9" t="s">
        <v>28</v>
      </c>
      <c r="H556" s="9" t="s">
        <v>374</v>
      </c>
      <c r="I556" s="9" t="s">
        <v>413</v>
      </c>
      <c r="J556" s="10">
        <v>300</v>
      </c>
      <c r="K556" s="10"/>
      <c r="L556" s="10">
        <v>300</v>
      </c>
      <c r="M556" s="11">
        <v>0</v>
      </c>
      <c r="N556" s="10">
        <v>0</v>
      </c>
      <c r="O556" s="10">
        <v>300</v>
      </c>
      <c r="P556" s="11">
        <v>0.5</v>
      </c>
      <c r="Q556" s="10">
        <v>600</v>
      </c>
      <c r="R556" s="10">
        <f t="shared" si="138"/>
        <v>-209.70000000000005</v>
      </c>
      <c r="S556" s="10">
        <v>300</v>
      </c>
      <c r="T556" s="9" t="s">
        <v>76</v>
      </c>
      <c r="U556" s="10">
        <v>2699</v>
      </c>
      <c r="V556" s="10">
        <f t="shared" si="139"/>
        <v>1889.3</v>
      </c>
      <c r="W556" s="166">
        <v>490110</v>
      </c>
      <c r="X556" s="12" t="s">
        <v>30</v>
      </c>
      <c r="Y556" s="12">
        <f t="shared" si="140"/>
        <v>300</v>
      </c>
      <c r="Z556" s="13">
        <f t="shared" si="141"/>
        <v>300</v>
      </c>
      <c r="AA556" s="13">
        <f t="shared" si="142"/>
        <v>300</v>
      </c>
      <c r="AB556" s="13">
        <f t="shared" si="143"/>
        <v>300</v>
      </c>
      <c r="AC556" s="13">
        <f t="shared" si="144"/>
        <v>0</v>
      </c>
      <c r="AD556" s="14">
        <f t="shared" si="145"/>
        <v>0</v>
      </c>
      <c r="AE556" s="14">
        <f t="shared" si="146"/>
        <v>0</v>
      </c>
      <c r="AF556" s="13" t="str">
        <f>IF(AD556&gt;=Assumptions!$B$3,"OK","Review")</f>
        <v>Review</v>
      </c>
      <c r="AG556" s="13">
        <f>IFERROR(IF(Assumptions!$B$13="Cost Price",AB556,AA556)*SUMIF(Assumptions!$A$6:$A$10,X556,Assumptions!$B$6:$B$10),0)</f>
        <v>24</v>
      </c>
      <c r="AH556" s="13">
        <f>IFERROR(IF(Assumptions!$B$13="Cost Price",AB556,AA556)*SUMIF(Assumptions!$A$6:$A$10,X556,Assumptions!$C$6:$C$10),0)</f>
        <v>15</v>
      </c>
      <c r="AI556" s="13">
        <f>IFERROR(IF(Assumptions!$B$13="Cost Price",AB556,AA556)*SUMIF(Assumptions!$A$6:$A$10,X556,Assumptions!$D$6:$D$10),0)</f>
        <v>30</v>
      </c>
      <c r="AJ556" s="13">
        <v>30</v>
      </c>
      <c r="AK556" s="13">
        <f t="shared" si="147"/>
        <v>99</v>
      </c>
      <c r="AL556" s="14">
        <v>0.33</v>
      </c>
      <c r="AM556" s="13">
        <f t="shared" si="148"/>
        <v>-99</v>
      </c>
      <c r="AN556" s="14">
        <f t="shared" si="149"/>
        <v>-0.33</v>
      </c>
      <c r="AO556" t="str">
        <f>IF(AN556&gt;=Assumptions!$B$3,"OK","Review")</f>
        <v>Review</v>
      </c>
    </row>
    <row r="557" spans="1:41">
      <c r="A557" s="9" t="s">
        <v>371</v>
      </c>
      <c r="B557" s="9" t="s">
        <v>41</v>
      </c>
      <c r="C557" s="9" t="s">
        <v>376</v>
      </c>
      <c r="D557" s="9" t="s">
        <v>414</v>
      </c>
      <c r="E557" s="9" t="s">
        <v>73</v>
      </c>
      <c r="F557" s="9" t="s">
        <v>74</v>
      </c>
      <c r="G557" s="9" t="s">
        <v>28</v>
      </c>
      <c r="H557" s="9" t="s">
        <v>378</v>
      </c>
      <c r="I557" s="9" t="s">
        <v>415</v>
      </c>
      <c r="J557" s="10">
        <v>300</v>
      </c>
      <c r="K557" s="10">
        <v>0</v>
      </c>
      <c r="L557" s="10">
        <v>300</v>
      </c>
      <c r="M557" s="11">
        <v>0</v>
      </c>
      <c r="N557" s="10">
        <v>0</v>
      </c>
      <c r="O557" s="10">
        <v>300</v>
      </c>
      <c r="P557" s="11">
        <v>0.5</v>
      </c>
      <c r="Q557" s="10">
        <v>600</v>
      </c>
      <c r="R557" s="10">
        <f t="shared" si="138"/>
        <v>-209.70000000000005</v>
      </c>
      <c r="S557" s="10">
        <v>300</v>
      </c>
      <c r="T557" s="9" t="s">
        <v>76</v>
      </c>
      <c r="U557" s="10">
        <v>2699</v>
      </c>
      <c r="V557" s="10">
        <f t="shared" si="139"/>
        <v>1889.3</v>
      </c>
      <c r="W557" s="166">
        <v>490110</v>
      </c>
      <c r="X557" s="12" t="s">
        <v>30</v>
      </c>
      <c r="Y557" s="12">
        <f t="shared" si="140"/>
        <v>300</v>
      </c>
      <c r="Z557" s="13">
        <f t="shared" si="141"/>
        <v>300</v>
      </c>
      <c r="AA557" s="13">
        <f t="shared" si="142"/>
        <v>300</v>
      </c>
      <c r="AB557" s="13">
        <f t="shared" si="143"/>
        <v>300</v>
      </c>
      <c r="AC557" s="13">
        <f t="shared" si="144"/>
        <v>0</v>
      </c>
      <c r="AD557" s="14">
        <f t="shared" si="145"/>
        <v>0</v>
      </c>
      <c r="AE557" s="14">
        <f t="shared" si="146"/>
        <v>0</v>
      </c>
      <c r="AF557" s="13" t="str">
        <f>IF(AD557&gt;=Assumptions!$B$3,"OK","Review")</f>
        <v>Review</v>
      </c>
      <c r="AG557" s="13">
        <f>IFERROR(IF(Assumptions!$B$13="Cost Price",AB557,AA557)*SUMIF(Assumptions!$A$6:$A$10,X557,Assumptions!$B$6:$B$10),0)</f>
        <v>24</v>
      </c>
      <c r="AH557" s="13">
        <f>IFERROR(IF(Assumptions!$B$13="Cost Price",AB557,AA557)*SUMIF(Assumptions!$A$6:$A$10,X557,Assumptions!$C$6:$C$10),0)</f>
        <v>15</v>
      </c>
      <c r="AI557" s="13">
        <f>IFERROR(IF(Assumptions!$B$13="Cost Price",AB557,AA557)*SUMIF(Assumptions!$A$6:$A$10,X557,Assumptions!$D$6:$D$10),0)</f>
        <v>30</v>
      </c>
      <c r="AJ557" s="13">
        <v>30</v>
      </c>
      <c r="AK557" s="13">
        <f t="shared" si="147"/>
        <v>99</v>
      </c>
      <c r="AL557" s="14">
        <v>0.33</v>
      </c>
      <c r="AM557" s="13">
        <f t="shared" si="148"/>
        <v>-99</v>
      </c>
      <c r="AN557" s="14">
        <f t="shared" si="149"/>
        <v>-0.33</v>
      </c>
      <c r="AO557" t="str">
        <f>IF(AN557&gt;=Assumptions!$B$3,"OK","Review")</f>
        <v>Review</v>
      </c>
    </row>
    <row r="558" spans="1:41">
      <c r="A558" s="9" t="s">
        <v>371</v>
      </c>
      <c r="B558" s="9" t="s">
        <v>41</v>
      </c>
      <c r="C558" s="9" t="s">
        <v>380</v>
      </c>
      <c r="D558" s="9" t="s">
        <v>416</v>
      </c>
      <c r="E558" s="9" t="s">
        <v>73</v>
      </c>
      <c r="F558" s="9" t="s">
        <v>90</v>
      </c>
      <c r="G558" s="9" t="s">
        <v>28</v>
      </c>
      <c r="H558" s="9" t="s">
        <v>378</v>
      </c>
      <c r="I558" s="9" t="s">
        <v>417</v>
      </c>
      <c r="J558" s="10">
        <v>1613.18</v>
      </c>
      <c r="K558" s="10">
        <v>0</v>
      </c>
      <c r="L558" s="10">
        <v>1613.18</v>
      </c>
      <c r="M558" s="11">
        <v>0.18</v>
      </c>
      <c r="N558" s="10">
        <v>485.82</v>
      </c>
      <c r="O558" s="10">
        <v>2099</v>
      </c>
      <c r="P558" s="11">
        <v>0</v>
      </c>
      <c r="Q558" s="10">
        <v>2099</v>
      </c>
      <c r="R558" s="10">
        <f t="shared" si="138"/>
        <v>-209.70000000000005</v>
      </c>
      <c r="S558" s="10">
        <v>2099</v>
      </c>
      <c r="T558" s="9" t="s">
        <v>91</v>
      </c>
      <c r="U558" s="10">
        <v>2699</v>
      </c>
      <c r="V558" s="10">
        <f t="shared" si="139"/>
        <v>1889.3</v>
      </c>
      <c r="W558" s="166">
        <v>902300</v>
      </c>
      <c r="X558" s="12" t="s">
        <v>30</v>
      </c>
      <c r="Y558" s="12">
        <f t="shared" si="140"/>
        <v>2099</v>
      </c>
      <c r="Z558" s="13">
        <f t="shared" si="141"/>
        <v>2099</v>
      </c>
      <c r="AA558" s="13">
        <f t="shared" si="142"/>
        <v>1778.8135593220341</v>
      </c>
      <c r="AB558" s="13">
        <f t="shared" si="143"/>
        <v>1613.18</v>
      </c>
      <c r="AC558" s="13">
        <f t="shared" si="144"/>
        <v>165.63355932203399</v>
      </c>
      <c r="AD558" s="14">
        <f t="shared" si="145"/>
        <v>9.3114626012386889E-2</v>
      </c>
      <c r="AE558" s="14">
        <f t="shared" si="146"/>
        <v>0.10267518771744875</v>
      </c>
      <c r="AF558" s="13" t="str">
        <f>IF(AD558&gt;=Assumptions!$B$3,"OK","Review")</f>
        <v>Review</v>
      </c>
      <c r="AG558" s="13">
        <f>IFERROR(IF(Assumptions!$B$13="Cost Price",AB558,AA558)*SUMIF(Assumptions!$A$6:$A$10,X558,Assumptions!$B$6:$B$10),0)</f>
        <v>142.30508474576274</v>
      </c>
      <c r="AH558" s="13">
        <f>IFERROR(IF(Assumptions!$B$13="Cost Price",AB558,AA558)*SUMIF(Assumptions!$A$6:$A$10,X558,Assumptions!$C$6:$C$10),0)</f>
        <v>88.940677966101703</v>
      </c>
      <c r="AI558" s="13">
        <f>IFERROR(IF(Assumptions!$B$13="Cost Price",AB558,AA558)*SUMIF(Assumptions!$A$6:$A$10,X558,Assumptions!$D$6:$D$10),0)</f>
        <v>177.88135593220341</v>
      </c>
      <c r="AJ558" s="13">
        <v>177.88135593220341</v>
      </c>
      <c r="AK558" s="13">
        <f t="shared" si="147"/>
        <v>587.00847457627128</v>
      </c>
      <c r="AL558" s="14">
        <v>0.33</v>
      </c>
      <c r="AM558" s="13">
        <f t="shared" si="148"/>
        <v>-421.37491525423729</v>
      </c>
      <c r="AN558" s="14">
        <f t="shared" si="149"/>
        <v>-0.23688537398761314</v>
      </c>
      <c r="AO558" t="str">
        <f>IF(AN558&gt;=Assumptions!$B$3,"OK","Review")</f>
        <v>Review</v>
      </c>
    </row>
    <row r="559" spans="1:41">
      <c r="A559" s="9" t="s">
        <v>371</v>
      </c>
      <c r="B559" s="9" t="s">
        <v>42</v>
      </c>
      <c r="C559" s="9" t="s">
        <v>372</v>
      </c>
      <c r="D559" s="9" t="s">
        <v>418</v>
      </c>
      <c r="E559" s="9" t="s">
        <v>73</v>
      </c>
      <c r="F559" s="9" t="s">
        <v>74</v>
      </c>
      <c r="G559" s="9" t="s">
        <v>28</v>
      </c>
      <c r="H559" s="9" t="s">
        <v>374</v>
      </c>
      <c r="I559" s="9" t="s">
        <v>419</v>
      </c>
      <c r="J559" s="10">
        <v>300</v>
      </c>
      <c r="K559" s="10"/>
      <c r="L559" s="10">
        <v>300</v>
      </c>
      <c r="M559" s="11">
        <v>0</v>
      </c>
      <c r="N559" s="10">
        <v>0</v>
      </c>
      <c r="O559" s="10">
        <v>300</v>
      </c>
      <c r="P559" s="11">
        <v>0.5</v>
      </c>
      <c r="Q559" s="10">
        <v>600</v>
      </c>
      <c r="R559" s="10">
        <f t="shared" si="138"/>
        <v>-209.70000000000005</v>
      </c>
      <c r="S559" s="10">
        <v>300</v>
      </c>
      <c r="T559" s="9" t="s">
        <v>76</v>
      </c>
      <c r="U559" s="10">
        <v>2699</v>
      </c>
      <c r="V559" s="10">
        <f t="shared" si="139"/>
        <v>1889.3</v>
      </c>
      <c r="W559" s="166">
        <v>490110</v>
      </c>
      <c r="X559" s="12" t="s">
        <v>30</v>
      </c>
      <c r="Y559" s="12">
        <f t="shared" si="140"/>
        <v>300</v>
      </c>
      <c r="Z559" s="13">
        <f t="shared" si="141"/>
        <v>300</v>
      </c>
      <c r="AA559" s="13">
        <f t="shared" si="142"/>
        <v>300</v>
      </c>
      <c r="AB559" s="13">
        <f t="shared" si="143"/>
        <v>300</v>
      </c>
      <c r="AC559" s="13">
        <f t="shared" si="144"/>
        <v>0</v>
      </c>
      <c r="AD559" s="14">
        <f t="shared" si="145"/>
        <v>0</v>
      </c>
      <c r="AE559" s="14">
        <f t="shared" si="146"/>
        <v>0</v>
      </c>
      <c r="AF559" s="13" t="str">
        <f>IF(AD559&gt;=Assumptions!$B$3,"OK","Review")</f>
        <v>Review</v>
      </c>
      <c r="AG559" s="13">
        <f>IFERROR(IF(Assumptions!$B$13="Cost Price",AB559,AA559)*SUMIF(Assumptions!$A$6:$A$10,X559,Assumptions!$B$6:$B$10),0)</f>
        <v>24</v>
      </c>
      <c r="AH559" s="13">
        <f>IFERROR(IF(Assumptions!$B$13="Cost Price",AB559,AA559)*SUMIF(Assumptions!$A$6:$A$10,X559,Assumptions!$C$6:$C$10),0)</f>
        <v>15</v>
      </c>
      <c r="AI559" s="13">
        <f>IFERROR(IF(Assumptions!$B$13="Cost Price",AB559,AA559)*SUMIF(Assumptions!$A$6:$A$10,X559,Assumptions!$D$6:$D$10),0)</f>
        <v>30</v>
      </c>
      <c r="AJ559" s="13">
        <v>30</v>
      </c>
      <c r="AK559" s="13">
        <f t="shared" si="147"/>
        <v>99</v>
      </c>
      <c r="AL559" s="14">
        <v>0.33</v>
      </c>
      <c r="AM559" s="13">
        <f t="shared" si="148"/>
        <v>-99</v>
      </c>
      <c r="AN559" s="14">
        <f t="shared" si="149"/>
        <v>-0.33</v>
      </c>
      <c r="AO559" t="str">
        <f>IF(AN559&gt;=Assumptions!$B$3,"OK","Review")</f>
        <v>Review</v>
      </c>
    </row>
    <row r="560" spans="1:41">
      <c r="A560" s="9" t="s">
        <v>371</v>
      </c>
      <c r="B560" s="9" t="s">
        <v>42</v>
      </c>
      <c r="C560" s="9" t="s">
        <v>376</v>
      </c>
      <c r="D560" s="9" t="s">
        <v>420</v>
      </c>
      <c r="E560" s="9" t="s">
        <v>73</v>
      </c>
      <c r="F560" s="9" t="s">
        <v>74</v>
      </c>
      <c r="G560" s="9" t="s">
        <v>28</v>
      </c>
      <c r="H560" s="9" t="s">
        <v>378</v>
      </c>
      <c r="I560" s="9" t="s">
        <v>421</v>
      </c>
      <c r="J560" s="10">
        <v>300</v>
      </c>
      <c r="K560" s="10">
        <v>0</v>
      </c>
      <c r="L560" s="10">
        <v>300</v>
      </c>
      <c r="M560" s="11">
        <v>0</v>
      </c>
      <c r="N560" s="10">
        <v>0</v>
      </c>
      <c r="O560" s="10">
        <v>300</v>
      </c>
      <c r="P560" s="11">
        <v>0.5</v>
      </c>
      <c r="Q560" s="10">
        <v>600</v>
      </c>
      <c r="R560" s="10">
        <f t="shared" si="138"/>
        <v>-209.70000000000005</v>
      </c>
      <c r="S560" s="10">
        <v>300</v>
      </c>
      <c r="T560" s="9" t="s">
        <v>76</v>
      </c>
      <c r="U560" s="10">
        <v>2699</v>
      </c>
      <c r="V560" s="10">
        <f t="shared" si="139"/>
        <v>1889.3</v>
      </c>
      <c r="W560" s="166">
        <v>490110</v>
      </c>
      <c r="X560" s="12" t="s">
        <v>30</v>
      </c>
      <c r="Y560" s="12">
        <f t="shared" si="140"/>
        <v>300</v>
      </c>
      <c r="Z560" s="13">
        <f t="shared" si="141"/>
        <v>300</v>
      </c>
      <c r="AA560" s="13">
        <f t="shared" si="142"/>
        <v>300</v>
      </c>
      <c r="AB560" s="13">
        <f t="shared" si="143"/>
        <v>300</v>
      </c>
      <c r="AC560" s="13">
        <f t="shared" si="144"/>
        <v>0</v>
      </c>
      <c r="AD560" s="14">
        <f t="shared" si="145"/>
        <v>0</v>
      </c>
      <c r="AE560" s="14">
        <f t="shared" si="146"/>
        <v>0</v>
      </c>
      <c r="AF560" s="13" t="str">
        <f>IF(AD560&gt;=Assumptions!$B$3,"OK","Review")</f>
        <v>Review</v>
      </c>
      <c r="AG560" s="13">
        <f>IFERROR(IF(Assumptions!$B$13="Cost Price",AB560,AA560)*SUMIF(Assumptions!$A$6:$A$10,X560,Assumptions!$B$6:$B$10),0)</f>
        <v>24</v>
      </c>
      <c r="AH560" s="13">
        <f>IFERROR(IF(Assumptions!$B$13="Cost Price",AB560,AA560)*SUMIF(Assumptions!$A$6:$A$10,X560,Assumptions!$C$6:$C$10),0)</f>
        <v>15</v>
      </c>
      <c r="AI560" s="13">
        <f>IFERROR(IF(Assumptions!$B$13="Cost Price",AB560,AA560)*SUMIF(Assumptions!$A$6:$A$10,X560,Assumptions!$D$6:$D$10),0)</f>
        <v>30</v>
      </c>
      <c r="AJ560" s="13">
        <v>30</v>
      </c>
      <c r="AK560" s="13">
        <f t="shared" si="147"/>
        <v>99</v>
      </c>
      <c r="AL560" s="14">
        <v>0.33</v>
      </c>
      <c r="AM560" s="13">
        <f t="shared" si="148"/>
        <v>-99</v>
      </c>
      <c r="AN560" s="14">
        <f t="shared" si="149"/>
        <v>-0.33</v>
      </c>
      <c r="AO560" t="str">
        <f>IF(AN560&gt;=Assumptions!$B$3,"OK","Review")</f>
        <v>Review</v>
      </c>
    </row>
    <row r="561" spans="1:41">
      <c r="A561" s="9" t="s">
        <v>371</v>
      </c>
      <c r="B561" s="9" t="s">
        <v>42</v>
      </c>
      <c r="C561" s="9" t="s">
        <v>380</v>
      </c>
      <c r="D561" s="9" t="s">
        <v>422</v>
      </c>
      <c r="E561" s="9" t="s">
        <v>73</v>
      </c>
      <c r="F561" s="9" t="s">
        <v>90</v>
      </c>
      <c r="G561" s="9" t="s">
        <v>28</v>
      </c>
      <c r="H561" s="9" t="s">
        <v>378</v>
      </c>
      <c r="I561" s="9" t="s">
        <v>423</v>
      </c>
      <c r="J561" s="10">
        <v>1613.18</v>
      </c>
      <c r="K561" s="10">
        <v>0</v>
      </c>
      <c r="L561" s="10">
        <v>1613.18</v>
      </c>
      <c r="M561" s="11">
        <v>0.18</v>
      </c>
      <c r="N561" s="10">
        <v>485.82</v>
      </c>
      <c r="O561" s="10">
        <v>2099</v>
      </c>
      <c r="P561" s="11">
        <v>0</v>
      </c>
      <c r="Q561" s="10">
        <v>2099</v>
      </c>
      <c r="R561" s="10">
        <f t="shared" si="138"/>
        <v>-209.70000000000005</v>
      </c>
      <c r="S561" s="10">
        <v>2099</v>
      </c>
      <c r="T561" s="9" t="s">
        <v>91</v>
      </c>
      <c r="U561" s="10">
        <v>2699</v>
      </c>
      <c r="V561" s="10">
        <f t="shared" si="139"/>
        <v>1889.3</v>
      </c>
      <c r="W561" s="166">
        <v>902300</v>
      </c>
      <c r="X561" s="12" t="s">
        <v>30</v>
      </c>
      <c r="Y561" s="12">
        <f t="shared" si="140"/>
        <v>2099</v>
      </c>
      <c r="Z561" s="13">
        <f t="shared" si="141"/>
        <v>2099</v>
      </c>
      <c r="AA561" s="13">
        <f t="shared" si="142"/>
        <v>1778.8135593220341</v>
      </c>
      <c r="AB561" s="13">
        <f t="shared" si="143"/>
        <v>1613.18</v>
      </c>
      <c r="AC561" s="13">
        <f t="shared" si="144"/>
        <v>165.63355932203399</v>
      </c>
      <c r="AD561" s="14">
        <f t="shared" si="145"/>
        <v>9.3114626012386889E-2</v>
      </c>
      <c r="AE561" s="14">
        <f t="shared" si="146"/>
        <v>0.10267518771744875</v>
      </c>
      <c r="AF561" s="13" t="str">
        <f>IF(AD561&gt;=Assumptions!$B$3,"OK","Review")</f>
        <v>Review</v>
      </c>
      <c r="AG561" s="13">
        <f>IFERROR(IF(Assumptions!$B$13="Cost Price",AB561,AA561)*SUMIF(Assumptions!$A$6:$A$10,X561,Assumptions!$B$6:$B$10),0)</f>
        <v>142.30508474576274</v>
      </c>
      <c r="AH561" s="13">
        <f>IFERROR(IF(Assumptions!$B$13="Cost Price",AB561,AA561)*SUMIF(Assumptions!$A$6:$A$10,X561,Assumptions!$C$6:$C$10),0)</f>
        <v>88.940677966101703</v>
      </c>
      <c r="AI561" s="13">
        <f>IFERROR(IF(Assumptions!$B$13="Cost Price",AB561,AA561)*SUMIF(Assumptions!$A$6:$A$10,X561,Assumptions!$D$6:$D$10),0)</f>
        <v>177.88135593220341</v>
      </c>
      <c r="AJ561" s="13">
        <v>177.88135593220341</v>
      </c>
      <c r="AK561" s="13">
        <f t="shared" si="147"/>
        <v>587.00847457627128</v>
      </c>
      <c r="AL561" s="14">
        <v>0.33</v>
      </c>
      <c r="AM561" s="13">
        <f t="shared" si="148"/>
        <v>-421.37491525423729</v>
      </c>
      <c r="AN561" s="14">
        <f t="shared" si="149"/>
        <v>-0.23688537398761314</v>
      </c>
      <c r="AO561" t="str">
        <f>IF(AN561&gt;=Assumptions!$B$3,"OK","Review")</f>
        <v>Review</v>
      </c>
    </row>
    <row r="562" spans="1:41">
      <c r="A562" s="9" t="s">
        <v>371</v>
      </c>
      <c r="B562" s="9" t="s">
        <v>48</v>
      </c>
      <c r="C562" s="9" t="s">
        <v>372</v>
      </c>
      <c r="D562" s="9" t="s">
        <v>424</v>
      </c>
      <c r="E562" s="9" t="s">
        <v>73</v>
      </c>
      <c r="F562" s="9" t="s">
        <v>74</v>
      </c>
      <c r="G562" s="9" t="s">
        <v>28</v>
      </c>
      <c r="H562" s="9" t="s">
        <v>374</v>
      </c>
      <c r="I562" s="9" t="s">
        <v>425</v>
      </c>
      <c r="J562" s="10">
        <v>300</v>
      </c>
      <c r="K562" s="10"/>
      <c r="L562" s="10">
        <v>300</v>
      </c>
      <c r="M562" s="11">
        <v>0</v>
      </c>
      <c r="N562" s="10">
        <v>0</v>
      </c>
      <c r="O562" s="10">
        <v>300</v>
      </c>
      <c r="P562" s="11">
        <v>0.5</v>
      </c>
      <c r="Q562" s="10">
        <v>600</v>
      </c>
      <c r="R562" s="10">
        <f t="shared" si="138"/>
        <v>-209.70000000000005</v>
      </c>
      <c r="S562" s="10">
        <v>300</v>
      </c>
      <c r="T562" s="9" t="s">
        <v>76</v>
      </c>
      <c r="U562" s="10">
        <v>2699</v>
      </c>
      <c r="V562" s="10">
        <f t="shared" si="139"/>
        <v>1889.3</v>
      </c>
      <c r="W562" s="166">
        <v>490110</v>
      </c>
      <c r="X562" s="12" t="s">
        <v>30</v>
      </c>
      <c r="Y562" s="12">
        <f t="shared" si="140"/>
        <v>300</v>
      </c>
      <c r="Z562" s="13">
        <f t="shared" si="141"/>
        <v>300</v>
      </c>
      <c r="AA562" s="13">
        <f t="shared" si="142"/>
        <v>300</v>
      </c>
      <c r="AB562" s="13">
        <f t="shared" si="143"/>
        <v>300</v>
      </c>
      <c r="AC562" s="13">
        <f t="shared" si="144"/>
        <v>0</v>
      </c>
      <c r="AD562" s="14">
        <f t="shared" si="145"/>
        <v>0</v>
      </c>
      <c r="AE562" s="14">
        <f t="shared" si="146"/>
        <v>0</v>
      </c>
      <c r="AF562" s="13" t="str">
        <f>IF(AD562&gt;=Assumptions!$B$3,"OK","Review")</f>
        <v>Review</v>
      </c>
      <c r="AG562" s="13">
        <f>IFERROR(IF(Assumptions!$B$13="Cost Price",AB562,AA562)*SUMIF(Assumptions!$A$6:$A$10,X562,Assumptions!$B$6:$B$10),0)</f>
        <v>24</v>
      </c>
      <c r="AH562" s="13">
        <f>IFERROR(IF(Assumptions!$B$13="Cost Price",AB562,AA562)*SUMIF(Assumptions!$A$6:$A$10,X562,Assumptions!$C$6:$C$10),0)</f>
        <v>15</v>
      </c>
      <c r="AI562" s="13">
        <f>IFERROR(IF(Assumptions!$B$13="Cost Price",AB562,AA562)*SUMIF(Assumptions!$A$6:$A$10,X562,Assumptions!$D$6:$D$10),0)</f>
        <v>30</v>
      </c>
      <c r="AJ562" s="13">
        <v>30</v>
      </c>
      <c r="AK562" s="13">
        <f t="shared" si="147"/>
        <v>99</v>
      </c>
      <c r="AL562" s="14">
        <v>0.33</v>
      </c>
      <c r="AM562" s="13">
        <f t="shared" si="148"/>
        <v>-99</v>
      </c>
      <c r="AN562" s="14">
        <f t="shared" si="149"/>
        <v>-0.33</v>
      </c>
      <c r="AO562" t="str">
        <f>IF(AN562&gt;=Assumptions!$B$3,"OK","Review")</f>
        <v>Review</v>
      </c>
    </row>
    <row r="563" spans="1:41">
      <c r="A563" s="9" t="s">
        <v>371</v>
      </c>
      <c r="B563" s="9" t="s">
        <v>48</v>
      </c>
      <c r="C563" s="9" t="s">
        <v>376</v>
      </c>
      <c r="D563" s="9" t="s">
        <v>426</v>
      </c>
      <c r="E563" s="9" t="s">
        <v>73</v>
      </c>
      <c r="F563" s="9" t="s">
        <v>74</v>
      </c>
      <c r="G563" s="9" t="s">
        <v>28</v>
      </c>
      <c r="H563" s="9" t="s">
        <v>378</v>
      </c>
      <c r="I563" s="9" t="s">
        <v>427</v>
      </c>
      <c r="J563" s="10">
        <v>300</v>
      </c>
      <c r="K563" s="10">
        <v>0</v>
      </c>
      <c r="L563" s="10">
        <v>300</v>
      </c>
      <c r="M563" s="11">
        <v>0</v>
      </c>
      <c r="N563" s="10">
        <v>0</v>
      </c>
      <c r="O563" s="10">
        <v>300</v>
      </c>
      <c r="P563" s="11">
        <v>0.5</v>
      </c>
      <c r="Q563" s="10">
        <v>600</v>
      </c>
      <c r="R563" s="10">
        <f t="shared" ref="R563:R626" si="150">V563-SUMIFS(Q:Q,A:A,A563,B:B,B563,G:G,G563,E:E,E563,T:T,"Fixed Price ( Base Price with GST)")</f>
        <v>-209.70000000000005</v>
      </c>
      <c r="S563" s="10">
        <v>300</v>
      </c>
      <c r="T563" s="9" t="s">
        <v>76</v>
      </c>
      <c r="U563" s="10">
        <v>2699</v>
      </c>
      <c r="V563" s="10">
        <f t="shared" si="139"/>
        <v>1889.3</v>
      </c>
      <c r="W563" s="166">
        <v>490110</v>
      </c>
      <c r="X563" s="12" t="s">
        <v>30</v>
      </c>
      <c r="Y563" s="12">
        <f t="shared" si="140"/>
        <v>300</v>
      </c>
      <c r="Z563" s="13">
        <f t="shared" si="141"/>
        <v>300</v>
      </c>
      <c r="AA563" s="13">
        <f t="shared" si="142"/>
        <v>300</v>
      </c>
      <c r="AB563" s="13">
        <f t="shared" si="143"/>
        <v>300</v>
      </c>
      <c r="AC563" s="13">
        <f t="shared" si="144"/>
        <v>0</v>
      </c>
      <c r="AD563" s="14">
        <f t="shared" si="145"/>
        <v>0</v>
      </c>
      <c r="AE563" s="14">
        <f t="shared" si="146"/>
        <v>0</v>
      </c>
      <c r="AF563" s="13" t="str">
        <f>IF(AD563&gt;=Assumptions!$B$3,"OK","Review")</f>
        <v>Review</v>
      </c>
      <c r="AG563" s="13">
        <f>IFERROR(IF(Assumptions!$B$13="Cost Price",AB563,AA563)*SUMIF(Assumptions!$A$6:$A$10,X563,Assumptions!$B$6:$B$10),0)</f>
        <v>24</v>
      </c>
      <c r="AH563" s="13">
        <f>IFERROR(IF(Assumptions!$B$13="Cost Price",AB563,AA563)*SUMIF(Assumptions!$A$6:$A$10,X563,Assumptions!$C$6:$C$10),0)</f>
        <v>15</v>
      </c>
      <c r="AI563" s="13">
        <f>IFERROR(IF(Assumptions!$B$13="Cost Price",AB563,AA563)*SUMIF(Assumptions!$A$6:$A$10,X563,Assumptions!$D$6:$D$10),0)</f>
        <v>30</v>
      </c>
      <c r="AJ563" s="13">
        <v>30</v>
      </c>
      <c r="AK563" s="13">
        <f t="shared" si="147"/>
        <v>99</v>
      </c>
      <c r="AL563" s="14">
        <v>0.33</v>
      </c>
      <c r="AM563" s="13">
        <f t="shared" si="148"/>
        <v>-99</v>
      </c>
      <c r="AN563" s="14">
        <f t="shared" si="149"/>
        <v>-0.33</v>
      </c>
      <c r="AO563" t="str">
        <f>IF(AN563&gt;=Assumptions!$B$3,"OK","Review")</f>
        <v>Review</v>
      </c>
    </row>
    <row r="564" spans="1:41">
      <c r="A564" s="9" t="s">
        <v>371</v>
      </c>
      <c r="B564" s="9" t="s">
        <v>48</v>
      </c>
      <c r="C564" s="9" t="s">
        <v>380</v>
      </c>
      <c r="D564" s="9" t="s">
        <v>428</v>
      </c>
      <c r="E564" s="9" t="s">
        <v>73</v>
      </c>
      <c r="F564" s="9" t="s">
        <v>90</v>
      </c>
      <c r="G564" s="9" t="s">
        <v>28</v>
      </c>
      <c r="H564" s="9" t="s">
        <v>378</v>
      </c>
      <c r="I564" s="9" t="s">
        <v>429</v>
      </c>
      <c r="J564" s="10">
        <v>1613.18</v>
      </c>
      <c r="K564" s="10">
        <v>0</v>
      </c>
      <c r="L564" s="10">
        <v>1613.18</v>
      </c>
      <c r="M564" s="11">
        <v>0.18</v>
      </c>
      <c r="N564" s="10">
        <v>485.82</v>
      </c>
      <c r="O564" s="10">
        <v>2099</v>
      </c>
      <c r="P564" s="11">
        <v>0</v>
      </c>
      <c r="Q564" s="10">
        <v>2099</v>
      </c>
      <c r="R564" s="10">
        <f t="shared" si="150"/>
        <v>-209.70000000000005</v>
      </c>
      <c r="S564" s="10">
        <v>2099</v>
      </c>
      <c r="T564" s="9" t="s">
        <v>91</v>
      </c>
      <c r="U564" s="10">
        <v>2699</v>
      </c>
      <c r="V564" s="10">
        <f t="shared" si="139"/>
        <v>1889.3</v>
      </c>
      <c r="W564" s="166">
        <v>902300</v>
      </c>
      <c r="X564" s="12" t="s">
        <v>30</v>
      </c>
      <c r="Y564" s="12">
        <f t="shared" si="140"/>
        <v>2099</v>
      </c>
      <c r="Z564" s="13">
        <f t="shared" si="141"/>
        <v>2099</v>
      </c>
      <c r="AA564" s="13">
        <f t="shared" si="142"/>
        <v>1778.8135593220341</v>
      </c>
      <c r="AB564" s="13">
        <f t="shared" si="143"/>
        <v>1613.18</v>
      </c>
      <c r="AC564" s="13">
        <f t="shared" si="144"/>
        <v>165.63355932203399</v>
      </c>
      <c r="AD564" s="14">
        <f t="shared" si="145"/>
        <v>9.3114626012386889E-2</v>
      </c>
      <c r="AE564" s="14">
        <f t="shared" si="146"/>
        <v>0.10267518771744875</v>
      </c>
      <c r="AF564" s="13" t="str">
        <f>IF(AD564&gt;=Assumptions!$B$3,"OK","Review")</f>
        <v>Review</v>
      </c>
      <c r="AG564" s="13">
        <f>IFERROR(IF(Assumptions!$B$13="Cost Price",AB564,AA564)*SUMIF(Assumptions!$A$6:$A$10,X564,Assumptions!$B$6:$B$10),0)</f>
        <v>142.30508474576274</v>
      </c>
      <c r="AH564" s="13">
        <f>IFERROR(IF(Assumptions!$B$13="Cost Price",AB564,AA564)*SUMIF(Assumptions!$A$6:$A$10,X564,Assumptions!$C$6:$C$10),0)</f>
        <v>88.940677966101703</v>
      </c>
      <c r="AI564" s="13">
        <f>IFERROR(IF(Assumptions!$B$13="Cost Price",AB564,AA564)*SUMIF(Assumptions!$A$6:$A$10,X564,Assumptions!$D$6:$D$10),0)</f>
        <v>177.88135593220341</v>
      </c>
      <c r="AJ564" s="13">
        <v>177.88135593220341</v>
      </c>
      <c r="AK564" s="13">
        <f t="shared" si="147"/>
        <v>587.00847457627128</v>
      </c>
      <c r="AL564" s="14">
        <v>0.33</v>
      </c>
      <c r="AM564" s="13">
        <f t="shared" si="148"/>
        <v>-421.37491525423729</v>
      </c>
      <c r="AN564" s="14">
        <f t="shared" si="149"/>
        <v>-0.23688537398761314</v>
      </c>
      <c r="AO564" t="str">
        <f>IF(AN564&gt;=Assumptions!$B$3,"OK","Review")</f>
        <v>Review</v>
      </c>
    </row>
    <row r="565" spans="1:41">
      <c r="A565" s="9" t="s">
        <v>371</v>
      </c>
      <c r="B565" s="9" t="s">
        <v>35</v>
      </c>
      <c r="C565" s="9" t="s">
        <v>372</v>
      </c>
      <c r="D565" s="9" t="s">
        <v>373</v>
      </c>
      <c r="E565" s="9" t="s">
        <v>430</v>
      </c>
      <c r="F565" s="9" t="s">
        <v>74</v>
      </c>
      <c r="G565" s="9" t="s">
        <v>28</v>
      </c>
      <c r="H565" s="9" t="s">
        <v>374</v>
      </c>
      <c r="I565" s="9" t="s">
        <v>375</v>
      </c>
      <c r="J565" s="10">
        <v>300</v>
      </c>
      <c r="K565" s="10"/>
      <c r="L565" s="10">
        <v>300</v>
      </c>
      <c r="M565" s="11">
        <v>0</v>
      </c>
      <c r="N565" s="10">
        <v>0</v>
      </c>
      <c r="O565" s="10">
        <v>300</v>
      </c>
      <c r="P565" s="11">
        <v>0.5</v>
      </c>
      <c r="Q565" s="10">
        <v>600</v>
      </c>
      <c r="R565" s="10">
        <f t="shared" si="150"/>
        <v>270.29999999999995</v>
      </c>
      <c r="S565" s="10">
        <v>300</v>
      </c>
      <c r="T565" s="9" t="s">
        <v>76</v>
      </c>
      <c r="U565" s="10">
        <v>1099</v>
      </c>
      <c r="V565" s="10">
        <f t="shared" si="139"/>
        <v>769.3</v>
      </c>
      <c r="W565" s="166">
        <v>490110</v>
      </c>
      <c r="X565" s="12" t="s">
        <v>30</v>
      </c>
      <c r="Y565" s="12">
        <f t="shared" si="140"/>
        <v>300</v>
      </c>
      <c r="Z565" s="13">
        <f t="shared" si="141"/>
        <v>300</v>
      </c>
      <c r="AA565" s="13">
        <f t="shared" si="142"/>
        <v>300</v>
      </c>
      <c r="AB565" s="13">
        <f t="shared" si="143"/>
        <v>300</v>
      </c>
      <c r="AC565" s="13">
        <f t="shared" si="144"/>
        <v>0</v>
      </c>
      <c r="AD565" s="14">
        <f t="shared" si="145"/>
        <v>0</v>
      </c>
      <c r="AE565" s="14">
        <f t="shared" si="146"/>
        <v>0</v>
      </c>
      <c r="AF565" s="13" t="str">
        <f>IF(AD565&gt;=Assumptions!$B$3,"OK","Review")</f>
        <v>Review</v>
      </c>
      <c r="AG565" s="13">
        <f>IFERROR(IF(Assumptions!$B$13="Cost Price",AB565,AA565)*SUMIF(Assumptions!$A$6:$A$10,X565,Assumptions!$B$6:$B$10),0)</f>
        <v>24</v>
      </c>
      <c r="AH565" s="13">
        <f>IFERROR(IF(Assumptions!$B$13="Cost Price",AB565,AA565)*SUMIF(Assumptions!$A$6:$A$10,X565,Assumptions!$C$6:$C$10),0)</f>
        <v>15</v>
      </c>
      <c r="AI565" s="13">
        <f>IFERROR(IF(Assumptions!$B$13="Cost Price",AB565,AA565)*SUMIF(Assumptions!$A$6:$A$10,X565,Assumptions!$D$6:$D$10),0)</f>
        <v>30</v>
      </c>
      <c r="AJ565" s="13">
        <v>30</v>
      </c>
      <c r="AK565" s="13">
        <f t="shared" si="147"/>
        <v>99</v>
      </c>
      <c r="AL565" s="14">
        <v>0.33</v>
      </c>
      <c r="AM565" s="13">
        <f t="shared" si="148"/>
        <v>-99</v>
      </c>
      <c r="AN565" s="14">
        <f t="shared" si="149"/>
        <v>-0.33</v>
      </c>
      <c r="AO565" t="str">
        <f>IF(AN565&gt;=Assumptions!$B$3,"OK","Review")</f>
        <v>Review</v>
      </c>
    </row>
    <row r="566" spans="1:41">
      <c r="A566" s="9" t="s">
        <v>371</v>
      </c>
      <c r="B566" s="9" t="s">
        <v>35</v>
      </c>
      <c r="C566" s="9" t="s">
        <v>376</v>
      </c>
      <c r="D566" s="9" t="s">
        <v>377</v>
      </c>
      <c r="E566" s="9" t="s">
        <v>430</v>
      </c>
      <c r="F566" s="9" t="s">
        <v>74</v>
      </c>
      <c r="G566" s="9" t="s">
        <v>28</v>
      </c>
      <c r="H566" s="9" t="s">
        <v>378</v>
      </c>
      <c r="I566" s="9" t="s">
        <v>379</v>
      </c>
      <c r="J566" s="10">
        <v>300</v>
      </c>
      <c r="K566" s="10">
        <v>0</v>
      </c>
      <c r="L566" s="10">
        <v>300</v>
      </c>
      <c r="M566" s="11">
        <v>0</v>
      </c>
      <c r="N566" s="10">
        <v>0</v>
      </c>
      <c r="O566" s="10">
        <v>300</v>
      </c>
      <c r="P566" s="11">
        <v>0.5</v>
      </c>
      <c r="Q566" s="10">
        <v>600</v>
      </c>
      <c r="R566" s="10">
        <f t="shared" si="150"/>
        <v>270.29999999999995</v>
      </c>
      <c r="S566" s="10">
        <v>300</v>
      </c>
      <c r="T566" s="9" t="s">
        <v>76</v>
      </c>
      <c r="U566" s="10">
        <v>1099</v>
      </c>
      <c r="V566" s="10">
        <f t="shared" si="139"/>
        <v>769.3</v>
      </c>
      <c r="W566" s="166">
        <v>490110</v>
      </c>
      <c r="X566" s="12" t="s">
        <v>30</v>
      </c>
      <c r="Y566" s="12">
        <f t="shared" si="140"/>
        <v>300</v>
      </c>
      <c r="Z566" s="13">
        <f t="shared" si="141"/>
        <v>300</v>
      </c>
      <c r="AA566" s="13">
        <f t="shared" si="142"/>
        <v>300</v>
      </c>
      <c r="AB566" s="13">
        <f t="shared" si="143"/>
        <v>300</v>
      </c>
      <c r="AC566" s="13">
        <f t="shared" si="144"/>
        <v>0</v>
      </c>
      <c r="AD566" s="14">
        <f t="shared" si="145"/>
        <v>0</v>
      </c>
      <c r="AE566" s="14">
        <f t="shared" si="146"/>
        <v>0</v>
      </c>
      <c r="AF566" s="13" t="str">
        <f>IF(AD566&gt;=Assumptions!$B$3,"OK","Review")</f>
        <v>Review</v>
      </c>
      <c r="AG566" s="13">
        <f>IFERROR(IF(Assumptions!$B$13="Cost Price",AB566,AA566)*SUMIF(Assumptions!$A$6:$A$10,X566,Assumptions!$B$6:$B$10),0)</f>
        <v>24</v>
      </c>
      <c r="AH566" s="13">
        <f>IFERROR(IF(Assumptions!$B$13="Cost Price",AB566,AA566)*SUMIF(Assumptions!$A$6:$A$10,X566,Assumptions!$C$6:$C$10),0)</f>
        <v>15</v>
      </c>
      <c r="AI566" s="13">
        <f>IFERROR(IF(Assumptions!$B$13="Cost Price",AB566,AA566)*SUMIF(Assumptions!$A$6:$A$10,X566,Assumptions!$D$6:$D$10),0)</f>
        <v>30</v>
      </c>
      <c r="AJ566" s="13">
        <v>30</v>
      </c>
      <c r="AK566" s="13">
        <f t="shared" si="147"/>
        <v>99</v>
      </c>
      <c r="AL566" s="14">
        <v>0.33</v>
      </c>
      <c r="AM566" s="13">
        <f t="shared" si="148"/>
        <v>-99</v>
      </c>
      <c r="AN566" s="14">
        <f t="shared" si="149"/>
        <v>-0.33</v>
      </c>
      <c r="AO566" t="str">
        <f>IF(AN566&gt;=Assumptions!$B$3,"OK","Review")</f>
        <v>Review</v>
      </c>
    </row>
    <row r="567" spans="1:41">
      <c r="A567" s="9" t="s">
        <v>371</v>
      </c>
      <c r="B567" s="9" t="s">
        <v>35</v>
      </c>
      <c r="C567" s="9" t="s">
        <v>380</v>
      </c>
      <c r="D567" s="9" t="s">
        <v>381</v>
      </c>
      <c r="E567" s="9" t="s">
        <v>430</v>
      </c>
      <c r="F567" s="9" t="s">
        <v>90</v>
      </c>
      <c r="G567" s="9" t="s">
        <v>28</v>
      </c>
      <c r="H567" s="9" t="s">
        <v>378</v>
      </c>
      <c r="I567" s="9" t="s">
        <v>382</v>
      </c>
      <c r="J567" s="10">
        <v>301.18</v>
      </c>
      <c r="K567" s="10">
        <v>0</v>
      </c>
      <c r="L567" s="10">
        <v>301.18</v>
      </c>
      <c r="M567" s="11">
        <v>0.18</v>
      </c>
      <c r="N567" s="10">
        <v>197.82</v>
      </c>
      <c r="O567" s="10">
        <v>499</v>
      </c>
      <c r="P567" s="11">
        <v>0</v>
      </c>
      <c r="Q567" s="10">
        <v>499</v>
      </c>
      <c r="R567" s="10">
        <f t="shared" si="150"/>
        <v>270.29999999999995</v>
      </c>
      <c r="S567" s="10">
        <v>499</v>
      </c>
      <c r="T567" s="9" t="s">
        <v>91</v>
      </c>
      <c r="U567" s="10">
        <v>1099</v>
      </c>
      <c r="V567" s="10">
        <f t="shared" si="139"/>
        <v>769.3</v>
      </c>
      <c r="W567" s="166">
        <v>902300</v>
      </c>
      <c r="X567" s="12" t="s">
        <v>30</v>
      </c>
      <c r="Y567" s="12">
        <f t="shared" si="140"/>
        <v>499</v>
      </c>
      <c r="Z567" s="13">
        <f t="shared" si="141"/>
        <v>499</v>
      </c>
      <c r="AA567" s="13">
        <f t="shared" si="142"/>
        <v>422.88135593220341</v>
      </c>
      <c r="AB567" s="13">
        <f t="shared" si="143"/>
        <v>301.18</v>
      </c>
      <c r="AC567" s="13">
        <f t="shared" si="144"/>
        <v>121.7013559322034</v>
      </c>
      <c r="AD567" s="14">
        <f t="shared" si="145"/>
        <v>0.28779078156312626</v>
      </c>
      <c r="AE567" s="14">
        <f t="shared" si="146"/>
        <v>0.40408179803507338</v>
      </c>
      <c r="AF567" s="13" t="str">
        <f>IF(AD567&gt;=Assumptions!$B$3,"OK","Review")</f>
        <v>Review</v>
      </c>
      <c r="AG567" s="13">
        <f>IFERROR(IF(Assumptions!$B$13="Cost Price",AB567,AA567)*SUMIF(Assumptions!$A$6:$A$10,X567,Assumptions!$B$6:$B$10),0)</f>
        <v>33.83050847457627</v>
      </c>
      <c r="AH567" s="13">
        <f>IFERROR(IF(Assumptions!$B$13="Cost Price",AB567,AA567)*SUMIF(Assumptions!$A$6:$A$10,X567,Assumptions!$C$6:$C$10),0)</f>
        <v>21.144067796610173</v>
      </c>
      <c r="AI567" s="13">
        <f>IFERROR(IF(Assumptions!$B$13="Cost Price",AB567,AA567)*SUMIF(Assumptions!$A$6:$A$10,X567,Assumptions!$D$6:$D$10),0)</f>
        <v>42.288135593220346</v>
      </c>
      <c r="AJ567" s="13">
        <v>42.288135593220346</v>
      </c>
      <c r="AK567" s="13">
        <f t="shared" si="147"/>
        <v>139.55084745762713</v>
      </c>
      <c r="AL567" s="14">
        <v>0.33</v>
      </c>
      <c r="AM567" s="13">
        <f t="shared" si="148"/>
        <v>-17.84949152542373</v>
      </c>
      <c r="AN567" s="14">
        <f t="shared" si="149"/>
        <v>-4.2209218436873745E-2</v>
      </c>
      <c r="AO567" t="str">
        <f>IF(AN567&gt;=Assumptions!$B$3,"OK","Review")</f>
        <v>Review</v>
      </c>
    </row>
    <row r="568" spans="1:41">
      <c r="A568" s="9" t="s">
        <v>371</v>
      </c>
      <c r="B568" s="9" t="s">
        <v>36</v>
      </c>
      <c r="C568" s="9" t="s">
        <v>372</v>
      </c>
      <c r="D568" s="9" t="s">
        <v>383</v>
      </c>
      <c r="E568" s="9" t="s">
        <v>430</v>
      </c>
      <c r="F568" s="9" t="s">
        <v>74</v>
      </c>
      <c r="G568" s="9" t="s">
        <v>28</v>
      </c>
      <c r="H568" s="9" t="s">
        <v>374</v>
      </c>
      <c r="I568" s="9" t="s">
        <v>384</v>
      </c>
      <c r="J568" s="10">
        <v>300</v>
      </c>
      <c r="K568" s="10"/>
      <c r="L568" s="10">
        <v>300</v>
      </c>
      <c r="M568" s="11">
        <v>0</v>
      </c>
      <c r="N568" s="10">
        <v>0</v>
      </c>
      <c r="O568" s="10">
        <v>300</v>
      </c>
      <c r="P568" s="11">
        <v>0.5</v>
      </c>
      <c r="Q568" s="10">
        <v>600</v>
      </c>
      <c r="R568" s="10">
        <f t="shared" si="150"/>
        <v>270.29999999999995</v>
      </c>
      <c r="S568" s="10">
        <v>300</v>
      </c>
      <c r="T568" s="9" t="s">
        <v>76</v>
      </c>
      <c r="U568" s="10">
        <v>1099</v>
      </c>
      <c r="V568" s="10">
        <f t="shared" si="139"/>
        <v>769.3</v>
      </c>
      <c r="W568" s="166">
        <v>490110</v>
      </c>
      <c r="X568" s="12" t="s">
        <v>30</v>
      </c>
      <c r="Y568" s="12">
        <f t="shared" si="140"/>
        <v>300</v>
      </c>
      <c r="Z568" s="13">
        <f t="shared" si="141"/>
        <v>300</v>
      </c>
      <c r="AA568" s="13">
        <f t="shared" si="142"/>
        <v>300</v>
      </c>
      <c r="AB568" s="13">
        <f t="shared" si="143"/>
        <v>300</v>
      </c>
      <c r="AC568" s="13">
        <f t="shared" si="144"/>
        <v>0</v>
      </c>
      <c r="AD568" s="14">
        <f t="shared" si="145"/>
        <v>0</v>
      </c>
      <c r="AE568" s="14">
        <f t="shared" si="146"/>
        <v>0</v>
      </c>
      <c r="AF568" s="13" t="str">
        <f>IF(AD568&gt;=Assumptions!$B$3,"OK","Review")</f>
        <v>Review</v>
      </c>
      <c r="AG568" s="13">
        <f>IFERROR(IF(Assumptions!$B$13="Cost Price",AB568,AA568)*SUMIF(Assumptions!$A$6:$A$10,X568,Assumptions!$B$6:$B$10),0)</f>
        <v>24</v>
      </c>
      <c r="AH568" s="13">
        <f>IFERROR(IF(Assumptions!$B$13="Cost Price",AB568,AA568)*SUMIF(Assumptions!$A$6:$A$10,X568,Assumptions!$C$6:$C$10),0)</f>
        <v>15</v>
      </c>
      <c r="AI568" s="13">
        <f>IFERROR(IF(Assumptions!$B$13="Cost Price",AB568,AA568)*SUMIF(Assumptions!$A$6:$A$10,X568,Assumptions!$D$6:$D$10),0)</f>
        <v>30</v>
      </c>
      <c r="AJ568" s="13">
        <v>30</v>
      </c>
      <c r="AK568" s="13">
        <f t="shared" si="147"/>
        <v>99</v>
      </c>
      <c r="AL568" s="14">
        <v>0.33</v>
      </c>
      <c r="AM568" s="13">
        <f t="shared" si="148"/>
        <v>-99</v>
      </c>
      <c r="AN568" s="14">
        <f t="shared" si="149"/>
        <v>-0.33</v>
      </c>
      <c r="AO568" t="str">
        <f>IF(AN568&gt;=Assumptions!$B$3,"OK","Review")</f>
        <v>Review</v>
      </c>
    </row>
    <row r="569" spans="1:41">
      <c r="A569" s="9" t="s">
        <v>371</v>
      </c>
      <c r="B569" s="9" t="s">
        <v>36</v>
      </c>
      <c r="C569" s="9" t="s">
        <v>376</v>
      </c>
      <c r="D569" s="9" t="s">
        <v>385</v>
      </c>
      <c r="E569" s="9" t="s">
        <v>430</v>
      </c>
      <c r="F569" s="9" t="s">
        <v>74</v>
      </c>
      <c r="G569" s="9" t="s">
        <v>28</v>
      </c>
      <c r="H569" s="9" t="s">
        <v>378</v>
      </c>
      <c r="I569" s="9" t="s">
        <v>386</v>
      </c>
      <c r="J569" s="10">
        <v>300</v>
      </c>
      <c r="K569" s="10">
        <v>0</v>
      </c>
      <c r="L569" s="10">
        <v>300</v>
      </c>
      <c r="M569" s="11">
        <v>0</v>
      </c>
      <c r="N569" s="10">
        <v>0</v>
      </c>
      <c r="O569" s="10">
        <v>300</v>
      </c>
      <c r="P569" s="11">
        <v>0.5</v>
      </c>
      <c r="Q569" s="10">
        <v>600</v>
      </c>
      <c r="R569" s="10">
        <f t="shared" si="150"/>
        <v>270.29999999999995</v>
      </c>
      <c r="S569" s="10">
        <v>300</v>
      </c>
      <c r="T569" s="9" t="s">
        <v>76</v>
      </c>
      <c r="U569" s="10">
        <v>1099</v>
      </c>
      <c r="V569" s="10">
        <f t="shared" si="139"/>
        <v>769.3</v>
      </c>
      <c r="W569" s="166">
        <v>490110</v>
      </c>
      <c r="X569" s="12" t="s">
        <v>30</v>
      </c>
      <c r="Y569" s="12">
        <f t="shared" si="140"/>
        <v>300</v>
      </c>
      <c r="Z569" s="13">
        <f t="shared" si="141"/>
        <v>300</v>
      </c>
      <c r="AA569" s="13">
        <f t="shared" si="142"/>
        <v>300</v>
      </c>
      <c r="AB569" s="13">
        <f t="shared" si="143"/>
        <v>300</v>
      </c>
      <c r="AC569" s="13">
        <f t="shared" si="144"/>
        <v>0</v>
      </c>
      <c r="AD569" s="14">
        <f t="shared" si="145"/>
        <v>0</v>
      </c>
      <c r="AE569" s="14">
        <f t="shared" si="146"/>
        <v>0</v>
      </c>
      <c r="AF569" s="13" t="str">
        <f>IF(AD569&gt;=Assumptions!$B$3,"OK","Review")</f>
        <v>Review</v>
      </c>
      <c r="AG569" s="13">
        <f>IFERROR(IF(Assumptions!$B$13="Cost Price",AB569,AA569)*SUMIF(Assumptions!$A$6:$A$10,X569,Assumptions!$B$6:$B$10),0)</f>
        <v>24</v>
      </c>
      <c r="AH569" s="13">
        <f>IFERROR(IF(Assumptions!$B$13="Cost Price",AB569,AA569)*SUMIF(Assumptions!$A$6:$A$10,X569,Assumptions!$C$6:$C$10),0)</f>
        <v>15</v>
      </c>
      <c r="AI569" s="13">
        <f>IFERROR(IF(Assumptions!$B$13="Cost Price",AB569,AA569)*SUMIF(Assumptions!$A$6:$A$10,X569,Assumptions!$D$6:$D$10),0)</f>
        <v>30</v>
      </c>
      <c r="AJ569" s="13">
        <v>30</v>
      </c>
      <c r="AK569" s="13">
        <f t="shared" si="147"/>
        <v>99</v>
      </c>
      <c r="AL569" s="14">
        <v>0.33</v>
      </c>
      <c r="AM569" s="13">
        <f t="shared" si="148"/>
        <v>-99</v>
      </c>
      <c r="AN569" s="14">
        <f t="shared" si="149"/>
        <v>-0.33</v>
      </c>
      <c r="AO569" t="str">
        <f>IF(AN569&gt;=Assumptions!$B$3,"OK","Review")</f>
        <v>Review</v>
      </c>
    </row>
    <row r="570" spans="1:41">
      <c r="A570" s="9" t="s">
        <v>371</v>
      </c>
      <c r="B570" s="9" t="s">
        <v>36</v>
      </c>
      <c r="C570" s="9" t="s">
        <v>380</v>
      </c>
      <c r="D570" s="9" t="s">
        <v>387</v>
      </c>
      <c r="E570" s="9" t="s">
        <v>430</v>
      </c>
      <c r="F570" s="9" t="s">
        <v>90</v>
      </c>
      <c r="G570" s="9" t="s">
        <v>28</v>
      </c>
      <c r="H570" s="9" t="s">
        <v>378</v>
      </c>
      <c r="I570" s="9" t="s">
        <v>382</v>
      </c>
      <c r="J570" s="10">
        <v>301.18</v>
      </c>
      <c r="K570" s="10">
        <v>0</v>
      </c>
      <c r="L570" s="10">
        <v>301.18</v>
      </c>
      <c r="M570" s="11">
        <v>0.18</v>
      </c>
      <c r="N570" s="10">
        <v>197.82</v>
      </c>
      <c r="O570" s="10">
        <v>499</v>
      </c>
      <c r="P570" s="11">
        <v>0</v>
      </c>
      <c r="Q570" s="10">
        <v>499</v>
      </c>
      <c r="R570" s="10">
        <f t="shared" si="150"/>
        <v>270.29999999999995</v>
      </c>
      <c r="S570" s="10">
        <v>499</v>
      </c>
      <c r="T570" s="9" t="s">
        <v>91</v>
      </c>
      <c r="U570" s="10">
        <v>1099</v>
      </c>
      <c r="V570" s="10">
        <f t="shared" si="139"/>
        <v>769.3</v>
      </c>
      <c r="W570" s="166">
        <v>902300</v>
      </c>
      <c r="X570" s="12" t="s">
        <v>30</v>
      </c>
      <c r="Y570" s="12">
        <f t="shared" si="140"/>
        <v>499</v>
      </c>
      <c r="Z570" s="13">
        <f t="shared" si="141"/>
        <v>499</v>
      </c>
      <c r="AA570" s="13">
        <f t="shared" si="142"/>
        <v>422.88135593220341</v>
      </c>
      <c r="AB570" s="13">
        <f t="shared" si="143"/>
        <v>301.18</v>
      </c>
      <c r="AC570" s="13">
        <f t="shared" si="144"/>
        <v>121.7013559322034</v>
      </c>
      <c r="AD570" s="14">
        <f t="shared" si="145"/>
        <v>0.28779078156312626</v>
      </c>
      <c r="AE570" s="14">
        <f t="shared" si="146"/>
        <v>0.40408179803507338</v>
      </c>
      <c r="AF570" s="13" t="str">
        <f>IF(AD570&gt;=Assumptions!$B$3,"OK","Review")</f>
        <v>Review</v>
      </c>
      <c r="AG570" s="13">
        <f>IFERROR(IF(Assumptions!$B$13="Cost Price",AB570,AA570)*SUMIF(Assumptions!$A$6:$A$10,X570,Assumptions!$B$6:$B$10),0)</f>
        <v>33.83050847457627</v>
      </c>
      <c r="AH570" s="13">
        <f>IFERROR(IF(Assumptions!$B$13="Cost Price",AB570,AA570)*SUMIF(Assumptions!$A$6:$A$10,X570,Assumptions!$C$6:$C$10),0)</f>
        <v>21.144067796610173</v>
      </c>
      <c r="AI570" s="13">
        <f>IFERROR(IF(Assumptions!$B$13="Cost Price",AB570,AA570)*SUMIF(Assumptions!$A$6:$A$10,X570,Assumptions!$D$6:$D$10),0)</f>
        <v>42.288135593220346</v>
      </c>
      <c r="AJ570" s="13">
        <v>42.288135593220346</v>
      </c>
      <c r="AK570" s="13">
        <f t="shared" si="147"/>
        <v>139.55084745762713</v>
      </c>
      <c r="AL570" s="14">
        <v>0.33</v>
      </c>
      <c r="AM570" s="13">
        <f t="shared" si="148"/>
        <v>-17.84949152542373</v>
      </c>
      <c r="AN570" s="14">
        <f t="shared" si="149"/>
        <v>-4.2209218436873745E-2</v>
      </c>
      <c r="AO570" t="str">
        <f>IF(AN570&gt;=Assumptions!$B$3,"OK","Review")</f>
        <v>Review</v>
      </c>
    </row>
    <row r="571" spans="1:41">
      <c r="A571" s="9" t="s">
        <v>371</v>
      </c>
      <c r="B571" s="9" t="s">
        <v>37</v>
      </c>
      <c r="C571" s="9" t="s">
        <v>372</v>
      </c>
      <c r="D571" s="9" t="s">
        <v>388</v>
      </c>
      <c r="E571" s="9" t="s">
        <v>430</v>
      </c>
      <c r="F571" s="9" t="s">
        <v>74</v>
      </c>
      <c r="G571" s="9" t="s">
        <v>28</v>
      </c>
      <c r="H571" s="9" t="s">
        <v>374</v>
      </c>
      <c r="I571" s="9" t="s">
        <v>389</v>
      </c>
      <c r="J571" s="10">
        <v>300</v>
      </c>
      <c r="K571" s="10"/>
      <c r="L571" s="10">
        <v>300</v>
      </c>
      <c r="M571" s="11">
        <v>0</v>
      </c>
      <c r="N571" s="10">
        <v>0</v>
      </c>
      <c r="O571" s="10">
        <v>300</v>
      </c>
      <c r="P571" s="11">
        <v>0.5</v>
      </c>
      <c r="Q571" s="10">
        <v>600</v>
      </c>
      <c r="R571" s="10">
        <f t="shared" si="150"/>
        <v>270.29999999999995</v>
      </c>
      <c r="S571" s="10">
        <v>300</v>
      </c>
      <c r="T571" s="9" t="s">
        <v>76</v>
      </c>
      <c r="U571" s="10">
        <v>1099</v>
      </c>
      <c r="V571" s="10">
        <f t="shared" si="139"/>
        <v>769.3</v>
      </c>
      <c r="W571" s="166">
        <v>490110</v>
      </c>
      <c r="X571" s="12" t="s">
        <v>30</v>
      </c>
      <c r="Y571" s="12">
        <f t="shared" si="140"/>
        <v>300</v>
      </c>
      <c r="Z571" s="13">
        <f t="shared" si="141"/>
        <v>300</v>
      </c>
      <c r="AA571" s="13">
        <f t="shared" si="142"/>
        <v>300</v>
      </c>
      <c r="AB571" s="13">
        <f t="shared" si="143"/>
        <v>300</v>
      </c>
      <c r="AC571" s="13">
        <f t="shared" si="144"/>
        <v>0</v>
      </c>
      <c r="AD571" s="14">
        <f t="shared" si="145"/>
        <v>0</v>
      </c>
      <c r="AE571" s="14">
        <f t="shared" si="146"/>
        <v>0</v>
      </c>
      <c r="AF571" s="13" t="str">
        <f>IF(AD571&gt;=Assumptions!$B$3,"OK","Review")</f>
        <v>Review</v>
      </c>
      <c r="AG571" s="13">
        <f>IFERROR(IF(Assumptions!$B$13="Cost Price",AB571,AA571)*SUMIF(Assumptions!$A$6:$A$10,X571,Assumptions!$B$6:$B$10),0)</f>
        <v>24</v>
      </c>
      <c r="AH571" s="13">
        <f>IFERROR(IF(Assumptions!$B$13="Cost Price",AB571,AA571)*SUMIF(Assumptions!$A$6:$A$10,X571,Assumptions!$C$6:$C$10),0)</f>
        <v>15</v>
      </c>
      <c r="AI571" s="13">
        <f>IFERROR(IF(Assumptions!$B$13="Cost Price",AB571,AA571)*SUMIF(Assumptions!$A$6:$A$10,X571,Assumptions!$D$6:$D$10),0)</f>
        <v>30</v>
      </c>
      <c r="AJ571" s="13">
        <v>30</v>
      </c>
      <c r="AK571" s="13">
        <f t="shared" si="147"/>
        <v>99</v>
      </c>
      <c r="AL571" s="14">
        <v>0.33</v>
      </c>
      <c r="AM571" s="13">
        <f t="shared" si="148"/>
        <v>-99</v>
      </c>
      <c r="AN571" s="14">
        <f t="shared" si="149"/>
        <v>-0.33</v>
      </c>
      <c r="AO571" t="str">
        <f>IF(AN571&gt;=Assumptions!$B$3,"OK","Review")</f>
        <v>Review</v>
      </c>
    </row>
    <row r="572" spans="1:41">
      <c r="A572" s="9" t="s">
        <v>371</v>
      </c>
      <c r="B572" s="9" t="s">
        <v>37</v>
      </c>
      <c r="C572" s="9" t="s">
        <v>376</v>
      </c>
      <c r="D572" s="9" t="s">
        <v>390</v>
      </c>
      <c r="E572" s="9" t="s">
        <v>430</v>
      </c>
      <c r="F572" s="9" t="s">
        <v>74</v>
      </c>
      <c r="G572" s="9" t="s">
        <v>28</v>
      </c>
      <c r="H572" s="9" t="s">
        <v>378</v>
      </c>
      <c r="I572" s="9" t="s">
        <v>391</v>
      </c>
      <c r="J572" s="10">
        <v>300</v>
      </c>
      <c r="K572" s="10">
        <v>0</v>
      </c>
      <c r="L572" s="10">
        <v>300</v>
      </c>
      <c r="M572" s="11">
        <v>0</v>
      </c>
      <c r="N572" s="10">
        <v>0</v>
      </c>
      <c r="O572" s="10">
        <v>300</v>
      </c>
      <c r="P572" s="11">
        <v>0.5</v>
      </c>
      <c r="Q572" s="10">
        <v>600</v>
      </c>
      <c r="R572" s="10">
        <f t="shared" si="150"/>
        <v>270.29999999999995</v>
      </c>
      <c r="S572" s="10">
        <v>300</v>
      </c>
      <c r="T572" s="9" t="s">
        <v>76</v>
      </c>
      <c r="U572" s="10">
        <v>1099</v>
      </c>
      <c r="V572" s="10">
        <f t="shared" si="139"/>
        <v>769.3</v>
      </c>
      <c r="W572" s="166">
        <v>490110</v>
      </c>
      <c r="X572" s="12" t="s">
        <v>30</v>
      </c>
      <c r="Y572" s="12">
        <f t="shared" si="140"/>
        <v>300</v>
      </c>
      <c r="Z572" s="13">
        <f t="shared" si="141"/>
        <v>300</v>
      </c>
      <c r="AA572" s="13">
        <f t="shared" si="142"/>
        <v>300</v>
      </c>
      <c r="AB572" s="13">
        <f t="shared" si="143"/>
        <v>300</v>
      </c>
      <c r="AC572" s="13">
        <f t="shared" si="144"/>
        <v>0</v>
      </c>
      <c r="AD572" s="14">
        <f t="shared" si="145"/>
        <v>0</v>
      </c>
      <c r="AE572" s="14">
        <f t="shared" si="146"/>
        <v>0</v>
      </c>
      <c r="AF572" s="13" t="str">
        <f>IF(AD572&gt;=Assumptions!$B$3,"OK","Review")</f>
        <v>Review</v>
      </c>
      <c r="AG572" s="13">
        <f>IFERROR(IF(Assumptions!$B$13="Cost Price",AB572,AA572)*SUMIF(Assumptions!$A$6:$A$10,X572,Assumptions!$B$6:$B$10),0)</f>
        <v>24</v>
      </c>
      <c r="AH572" s="13">
        <f>IFERROR(IF(Assumptions!$B$13="Cost Price",AB572,AA572)*SUMIF(Assumptions!$A$6:$A$10,X572,Assumptions!$C$6:$C$10),0)</f>
        <v>15</v>
      </c>
      <c r="AI572" s="13">
        <f>IFERROR(IF(Assumptions!$B$13="Cost Price",AB572,AA572)*SUMIF(Assumptions!$A$6:$A$10,X572,Assumptions!$D$6:$D$10),0)</f>
        <v>30</v>
      </c>
      <c r="AJ572" s="13">
        <v>30</v>
      </c>
      <c r="AK572" s="13">
        <f t="shared" si="147"/>
        <v>99</v>
      </c>
      <c r="AL572" s="14">
        <v>0.33</v>
      </c>
      <c r="AM572" s="13">
        <f t="shared" si="148"/>
        <v>-99</v>
      </c>
      <c r="AN572" s="14">
        <f t="shared" si="149"/>
        <v>-0.33</v>
      </c>
      <c r="AO572" t="str">
        <f>IF(AN572&gt;=Assumptions!$B$3,"OK","Review")</f>
        <v>Review</v>
      </c>
    </row>
    <row r="573" spans="1:41">
      <c r="A573" s="9" t="s">
        <v>371</v>
      </c>
      <c r="B573" s="9" t="s">
        <v>37</v>
      </c>
      <c r="C573" s="9" t="s">
        <v>380</v>
      </c>
      <c r="D573" s="9" t="s">
        <v>392</v>
      </c>
      <c r="E573" s="9" t="s">
        <v>430</v>
      </c>
      <c r="F573" s="9" t="s">
        <v>90</v>
      </c>
      <c r="G573" s="9" t="s">
        <v>28</v>
      </c>
      <c r="H573" s="9" t="s">
        <v>378</v>
      </c>
      <c r="I573" s="9" t="s">
        <v>393</v>
      </c>
      <c r="J573" s="10">
        <v>301.18</v>
      </c>
      <c r="K573" s="10">
        <v>0</v>
      </c>
      <c r="L573" s="10">
        <v>301.18</v>
      </c>
      <c r="M573" s="11">
        <v>0.18</v>
      </c>
      <c r="N573" s="10">
        <v>197.82</v>
      </c>
      <c r="O573" s="10">
        <v>499</v>
      </c>
      <c r="P573" s="11">
        <v>0</v>
      </c>
      <c r="Q573" s="10">
        <v>499</v>
      </c>
      <c r="R573" s="10">
        <f t="shared" si="150"/>
        <v>270.29999999999995</v>
      </c>
      <c r="S573" s="10">
        <v>499</v>
      </c>
      <c r="T573" s="9" t="s">
        <v>91</v>
      </c>
      <c r="U573" s="10">
        <v>1099</v>
      </c>
      <c r="V573" s="10">
        <f t="shared" si="139"/>
        <v>769.3</v>
      </c>
      <c r="W573" s="166">
        <v>902300</v>
      </c>
      <c r="X573" s="12" t="s">
        <v>30</v>
      </c>
      <c r="Y573" s="12">
        <f t="shared" si="140"/>
        <v>499</v>
      </c>
      <c r="Z573" s="13">
        <f t="shared" si="141"/>
        <v>499</v>
      </c>
      <c r="AA573" s="13">
        <f t="shared" si="142"/>
        <v>422.88135593220341</v>
      </c>
      <c r="AB573" s="13">
        <f t="shared" si="143"/>
        <v>301.18</v>
      </c>
      <c r="AC573" s="13">
        <f t="shared" si="144"/>
        <v>121.7013559322034</v>
      </c>
      <c r="AD573" s="14">
        <f t="shared" si="145"/>
        <v>0.28779078156312626</v>
      </c>
      <c r="AE573" s="14">
        <f t="shared" si="146"/>
        <v>0.40408179803507338</v>
      </c>
      <c r="AF573" s="13" t="str">
        <f>IF(AD573&gt;=Assumptions!$B$3,"OK","Review")</f>
        <v>Review</v>
      </c>
      <c r="AG573" s="13">
        <f>IFERROR(IF(Assumptions!$B$13="Cost Price",AB573,AA573)*SUMIF(Assumptions!$A$6:$A$10,X573,Assumptions!$B$6:$B$10),0)</f>
        <v>33.83050847457627</v>
      </c>
      <c r="AH573" s="13">
        <f>IFERROR(IF(Assumptions!$B$13="Cost Price",AB573,AA573)*SUMIF(Assumptions!$A$6:$A$10,X573,Assumptions!$C$6:$C$10),0)</f>
        <v>21.144067796610173</v>
      </c>
      <c r="AI573" s="13">
        <f>IFERROR(IF(Assumptions!$B$13="Cost Price",AB573,AA573)*SUMIF(Assumptions!$A$6:$A$10,X573,Assumptions!$D$6:$D$10),0)</f>
        <v>42.288135593220346</v>
      </c>
      <c r="AJ573" s="13">
        <v>42.288135593220346</v>
      </c>
      <c r="AK573" s="13">
        <f t="shared" si="147"/>
        <v>139.55084745762713</v>
      </c>
      <c r="AL573" s="14">
        <v>0.33</v>
      </c>
      <c r="AM573" s="13">
        <f t="shared" si="148"/>
        <v>-17.84949152542373</v>
      </c>
      <c r="AN573" s="14">
        <f t="shared" si="149"/>
        <v>-4.2209218436873745E-2</v>
      </c>
      <c r="AO573" t="str">
        <f>IF(AN573&gt;=Assumptions!$B$3,"OK","Review")</f>
        <v>Review</v>
      </c>
    </row>
    <row r="574" spans="1:41">
      <c r="A574" s="9" t="s">
        <v>371</v>
      </c>
      <c r="B574" s="9" t="s">
        <v>38</v>
      </c>
      <c r="C574" s="9" t="s">
        <v>372</v>
      </c>
      <c r="D574" s="9" t="s">
        <v>394</v>
      </c>
      <c r="E574" s="9" t="s">
        <v>430</v>
      </c>
      <c r="F574" s="9" t="s">
        <v>74</v>
      </c>
      <c r="G574" s="9" t="s">
        <v>28</v>
      </c>
      <c r="H574" s="9" t="s">
        <v>374</v>
      </c>
      <c r="I574" s="9" t="s">
        <v>395</v>
      </c>
      <c r="J574" s="10">
        <v>300</v>
      </c>
      <c r="K574" s="10"/>
      <c r="L574" s="10">
        <v>300</v>
      </c>
      <c r="M574" s="11">
        <v>0</v>
      </c>
      <c r="N574" s="10">
        <v>0</v>
      </c>
      <c r="O574" s="10">
        <v>300</v>
      </c>
      <c r="P574" s="11">
        <v>0.5</v>
      </c>
      <c r="Q574" s="10">
        <v>600</v>
      </c>
      <c r="R574" s="10">
        <f t="shared" si="150"/>
        <v>270.29999999999995</v>
      </c>
      <c r="S574" s="10">
        <v>300</v>
      </c>
      <c r="T574" s="9" t="s">
        <v>76</v>
      </c>
      <c r="U574" s="10">
        <v>1099</v>
      </c>
      <c r="V574" s="10">
        <f t="shared" si="139"/>
        <v>769.3</v>
      </c>
      <c r="W574" s="166">
        <v>490110</v>
      </c>
      <c r="X574" s="12" t="s">
        <v>30</v>
      </c>
      <c r="Y574" s="12">
        <f t="shared" si="140"/>
        <v>300</v>
      </c>
      <c r="Z574" s="13">
        <f t="shared" si="141"/>
        <v>300</v>
      </c>
      <c r="AA574" s="13">
        <f t="shared" si="142"/>
        <v>300</v>
      </c>
      <c r="AB574" s="13">
        <f t="shared" si="143"/>
        <v>300</v>
      </c>
      <c r="AC574" s="13">
        <f t="shared" si="144"/>
        <v>0</v>
      </c>
      <c r="AD574" s="14">
        <f t="shared" si="145"/>
        <v>0</v>
      </c>
      <c r="AE574" s="14">
        <f t="shared" si="146"/>
        <v>0</v>
      </c>
      <c r="AF574" s="13" t="str">
        <f>IF(AD574&gt;=Assumptions!$B$3,"OK","Review")</f>
        <v>Review</v>
      </c>
      <c r="AG574" s="13">
        <f>IFERROR(IF(Assumptions!$B$13="Cost Price",AB574,AA574)*SUMIF(Assumptions!$A$6:$A$10,X574,Assumptions!$B$6:$B$10),0)</f>
        <v>24</v>
      </c>
      <c r="AH574" s="13">
        <f>IFERROR(IF(Assumptions!$B$13="Cost Price",AB574,AA574)*SUMIF(Assumptions!$A$6:$A$10,X574,Assumptions!$C$6:$C$10),0)</f>
        <v>15</v>
      </c>
      <c r="AI574" s="13">
        <f>IFERROR(IF(Assumptions!$B$13="Cost Price",AB574,AA574)*SUMIF(Assumptions!$A$6:$A$10,X574,Assumptions!$D$6:$D$10),0)</f>
        <v>30</v>
      </c>
      <c r="AJ574" s="13">
        <v>30</v>
      </c>
      <c r="AK574" s="13">
        <f t="shared" si="147"/>
        <v>99</v>
      </c>
      <c r="AL574" s="14">
        <v>0.33</v>
      </c>
      <c r="AM574" s="13">
        <f t="shared" si="148"/>
        <v>-99</v>
      </c>
      <c r="AN574" s="14">
        <f t="shared" si="149"/>
        <v>-0.33</v>
      </c>
      <c r="AO574" t="str">
        <f>IF(AN574&gt;=Assumptions!$B$3,"OK","Review")</f>
        <v>Review</v>
      </c>
    </row>
    <row r="575" spans="1:41">
      <c r="A575" s="9" t="s">
        <v>371</v>
      </c>
      <c r="B575" s="9" t="s">
        <v>38</v>
      </c>
      <c r="C575" s="9" t="s">
        <v>376</v>
      </c>
      <c r="D575" s="9" t="s">
        <v>396</v>
      </c>
      <c r="E575" s="9" t="s">
        <v>430</v>
      </c>
      <c r="F575" s="9" t="s">
        <v>74</v>
      </c>
      <c r="G575" s="9" t="s">
        <v>28</v>
      </c>
      <c r="H575" s="9" t="s">
        <v>378</v>
      </c>
      <c r="I575" s="9" t="s">
        <v>397</v>
      </c>
      <c r="J575" s="10">
        <v>300</v>
      </c>
      <c r="K575" s="10">
        <v>0</v>
      </c>
      <c r="L575" s="10">
        <v>300</v>
      </c>
      <c r="M575" s="11">
        <v>0</v>
      </c>
      <c r="N575" s="10">
        <v>0</v>
      </c>
      <c r="O575" s="10">
        <v>300</v>
      </c>
      <c r="P575" s="11">
        <v>0.5</v>
      </c>
      <c r="Q575" s="10">
        <v>600</v>
      </c>
      <c r="R575" s="10">
        <f t="shared" si="150"/>
        <v>270.29999999999995</v>
      </c>
      <c r="S575" s="10">
        <v>300</v>
      </c>
      <c r="T575" s="9" t="s">
        <v>76</v>
      </c>
      <c r="U575" s="10">
        <v>1099</v>
      </c>
      <c r="V575" s="10">
        <f t="shared" si="139"/>
        <v>769.3</v>
      </c>
      <c r="W575" s="166">
        <v>490110</v>
      </c>
      <c r="X575" s="12" t="s">
        <v>30</v>
      </c>
      <c r="Y575" s="12">
        <f t="shared" si="140"/>
        <v>300</v>
      </c>
      <c r="Z575" s="13">
        <f t="shared" si="141"/>
        <v>300</v>
      </c>
      <c r="AA575" s="13">
        <f t="shared" si="142"/>
        <v>300</v>
      </c>
      <c r="AB575" s="13">
        <f t="shared" si="143"/>
        <v>300</v>
      </c>
      <c r="AC575" s="13">
        <f t="shared" si="144"/>
        <v>0</v>
      </c>
      <c r="AD575" s="14">
        <f t="shared" si="145"/>
        <v>0</v>
      </c>
      <c r="AE575" s="14">
        <f t="shared" si="146"/>
        <v>0</v>
      </c>
      <c r="AF575" s="13" t="str">
        <f>IF(AD575&gt;=Assumptions!$B$3,"OK","Review")</f>
        <v>Review</v>
      </c>
      <c r="AG575" s="13">
        <f>IFERROR(IF(Assumptions!$B$13="Cost Price",AB575,AA575)*SUMIF(Assumptions!$A$6:$A$10,X575,Assumptions!$B$6:$B$10),0)</f>
        <v>24</v>
      </c>
      <c r="AH575" s="13">
        <f>IFERROR(IF(Assumptions!$B$13="Cost Price",AB575,AA575)*SUMIF(Assumptions!$A$6:$A$10,X575,Assumptions!$C$6:$C$10),0)</f>
        <v>15</v>
      </c>
      <c r="AI575" s="13">
        <f>IFERROR(IF(Assumptions!$B$13="Cost Price",AB575,AA575)*SUMIF(Assumptions!$A$6:$A$10,X575,Assumptions!$D$6:$D$10),0)</f>
        <v>30</v>
      </c>
      <c r="AJ575" s="13">
        <v>30</v>
      </c>
      <c r="AK575" s="13">
        <f t="shared" si="147"/>
        <v>99</v>
      </c>
      <c r="AL575" s="14">
        <v>0.33</v>
      </c>
      <c r="AM575" s="13">
        <f t="shared" si="148"/>
        <v>-99</v>
      </c>
      <c r="AN575" s="14">
        <f t="shared" si="149"/>
        <v>-0.33</v>
      </c>
      <c r="AO575" t="str">
        <f>IF(AN575&gt;=Assumptions!$B$3,"OK","Review")</f>
        <v>Review</v>
      </c>
    </row>
    <row r="576" spans="1:41">
      <c r="A576" s="9" t="s">
        <v>371</v>
      </c>
      <c r="B576" s="9" t="s">
        <v>38</v>
      </c>
      <c r="C576" s="9" t="s">
        <v>380</v>
      </c>
      <c r="D576" s="9" t="s">
        <v>398</v>
      </c>
      <c r="E576" s="9" t="s">
        <v>430</v>
      </c>
      <c r="F576" s="9" t="s">
        <v>90</v>
      </c>
      <c r="G576" s="9" t="s">
        <v>28</v>
      </c>
      <c r="H576" s="9" t="s">
        <v>378</v>
      </c>
      <c r="I576" s="9" t="s">
        <v>399</v>
      </c>
      <c r="J576" s="10">
        <v>301.18</v>
      </c>
      <c r="K576" s="10">
        <v>0</v>
      </c>
      <c r="L576" s="10">
        <v>301.18</v>
      </c>
      <c r="M576" s="11">
        <v>0.18</v>
      </c>
      <c r="N576" s="10">
        <v>197.82</v>
      </c>
      <c r="O576" s="10">
        <v>499</v>
      </c>
      <c r="P576" s="11">
        <v>0</v>
      </c>
      <c r="Q576" s="10">
        <v>499</v>
      </c>
      <c r="R576" s="10">
        <f t="shared" si="150"/>
        <v>270.29999999999995</v>
      </c>
      <c r="S576" s="10">
        <v>499</v>
      </c>
      <c r="T576" s="9" t="s">
        <v>91</v>
      </c>
      <c r="U576" s="10">
        <v>1099</v>
      </c>
      <c r="V576" s="10">
        <f t="shared" si="139"/>
        <v>769.3</v>
      </c>
      <c r="W576" s="166">
        <v>902300</v>
      </c>
      <c r="X576" s="12" t="s">
        <v>30</v>
      </c>
      <c r="Y576" s="12">
        <f t="shared" si="140"/>
        <v>499</v>
      </c>
      <c r="Z576" s="13">
        <f t="shared" si="141"/>
        <v>499</v>
      </c>
      <c r="AA576" s="13">
        <f t="shared" si="142"/>
        <v>422.88135593220341</v>
      </c>
      <c r="AB576" s="13">
        <f t="shared" si="143"/>
        <v>301.18</v>
      </c>
      <c r="AC576" s="13">
        <f t="shared" si="144"/>
        <v>121.7013559322034</v>
      </c>
      <c r="AD576" s="14">
        <f t="shared" si="145"/>
        <v>0.28779078156312626</v>
      </c>
      <c r="AE576" s="14">
        <f t="shared" si="146"/>
        <v>0.40408179803507338</v>
      </c>
      <c r="AF576" s="13" t="str">
        <f>IF(AD576&gt;=Assumptions!$B$3,"OK","Review")</f>
        <v>Review</v>
      </c>
      <c r="AG576" s="13">
        <f>IFERROR(IF(Assumptions!$B$13="Cost Price",AB576,AA576)*SUMIF(Assumptions!$A$6:$A$10,X576,Assumptions!$B$6:$B$10),0)</f>
        <v>33.83050847457627</v>
      </c>
      <c r="AH576" s="13">
        <f>IFERROR(IF(Assumptions!$B$13="Cost Price",AB576,AA576)*SUMIF(Assumptions!$A$6:$A$10,X576,Assumptions!$C$6:$C$10),0)</f>
        <v>21.144067796610173</v>
      </c>
      <c r="AI576" s="13">
        <f>IFERROR(IF(Assumptions!$B$13="Cost Price",AB576,AA576)*SUMIF(Assumptions!$A$6:$A$10,X576,Assumptions!$D$6:$D$10),0)</f>
        <v>42.288135593220346</v>
      </c>
      <c r="AJ576" s="13">
        <v>42.288135593220346</v>
      </c>
      <c r="AK576" s="13">
        <f t="shared" si="147"/>
        <v>139.55084745762713</v>
      </c>
      <c r="AL576" s="14">
        <v>0.33</v>
      </c>
      <c r="AM576" s="13">
        <f t="shared" si="148"/>
        <v>-17.84949152542373</v>
      </c>
      <c r="AN576" s="14">
        <f t="shared" si="149"/>
        <v>-4.2209218436873745E-2</v>
      </c>
      <c r="AO576" t="str">
        <f>IF(AN576&gt;=Assumptions!$B$3,"OK","Review")</f>
        <v>Review</v>
      </c>
    </row>
    <row r="577" spans="1:41">
      <c r="A577" s="9" t="s">
        <v>371</v>
      </c>
      <c r="B577" s="9" t="s">
        <v>39</v>
      </c>
      <c r="C577" s="9" t="s">
        <v>372</v>
      </c>
      <c r="D577" s="9" t="s">
        <v>400</v>
      </c>
      <c r="E577" s="9" t="s">
        <v>430</v>
      </c>
      <c r="F577" s="9" t="s">
        <v>74</v>
      </c>
      <c r="G577" s="9" t="s">
        <v>28</v>
      </c>
      <c r="H577" s="9" t="s">
        <v>374</v>
      </c>
      <c r="I577" s="9" t="s">
        <v>401</v>
      </c>
      <c r="J577" s="10">
        <v>300</v>
      </c>
      <c r="K577" s="10"/>
      <c r="L577" s="10">
        <v>300</v>
      </c>
      <c r="M577" s="11">
        <v>0</v>
      </c>
      <c r="N577" s="10">
        <v>0</v>
      </c>
      <c r="O577" s="10">
        <v>300</v>
      </c>
      <c r="P577" s="11">
        <v>0.5</v>
      </c>
      <c r="Q577" s="10">
        <v>600</v>
      </c>
      <c r="R577" s="10">
        <f t="shared" si="150"/>
        <v>270.29999999999995</v>
      </c>
      <c r="S577" s="10">
        <v>300</v>
      </c>
      <c r="T577" s="9" t="s">
        <v>76</v>
      </c>
      <c r="U577" s="10">
        <v>1099</v>
      </c>
      <c r="V577" s="10">
        <f t="shared" si="139"/>
        <v>769.3</v>
      </c>
      <c r="W577" s="166">
        <v>490110</v>
      </c>
      <c r="X577" s="12" t="s">
        <v>30</v>
      </c>
      <c r="Y577" s="12">
        <f t="shared" si="140"/>
        <v>300</v>
      </c>
      <c r="Z577" s="13">
        <f t="shared" si="141"/>
        <v>300</v>
      </c>
      <c r="AA577" s="13">
        <f t="shared" si="142"/>
        <v>300</v>
      </c>
      <c r="AB577" s="13">
        <f t="shared" si="143"/>
        <v>300</v>
      </c>
      <c r="AC577" s="13">
        <f t="shared" si="144"/>
        <v>0</v>
      </c>
      <c r="AD577" s="14">
        <f t="shared" si="145"/>
        <v>0</v>
      </c>
      <c r="AE577" s="14">
        <f t="shared" si="146"/>
        <v>0</v>
      </c>
      <c r="AF577" s="13" t="str">
        <f>IF(AD577&gt;=Assumptions!$B$3,"OK","Review")</f>
        <v>Review</v>
      </c>
      <c r="AG577" s="13">
        <f>IFERROR(IF(Assumptions!$B$13="Cost Price",AB577,AA577)*SUMIF(Assumptions!$A$6:$A$10,X577,Assumptions!$B$6:$B$10),0)</f>
        <v>24</v>
      </c>
      <c r="AH577" s="13">
        <f>IFERROR(IF(Assumptions!$B$13="Cost Price",AB577,AA577)*SUMIF(Assumptions!$A$6:$A$10,X577,Assumptions!$C$6:$C$10),0)</f>
        <v>15</v>
      </c>
      <c r="AI577" s="13">
        <f>IFERROR(IF(Assumptions!$B$13="Cost Price",AB577,AA577)*SUMIF(Assumptions!$A$6:$A$10,X577,Assumptions!$D$6:$D$10),0)</f>
        <v>30</v>
      </c>
      <c r="AJ577" s="13">
        <v>30</v>
      </c>
      <c r="AK577" s="13">
        <f t="shared" si="147"/>
        <v>99</v>
      </c>
      <c r="AL577" s="14">
        <v>0.33</v>
      </c>
      <c r="AM577" s="13">
        <f t="shared" si="148"/>
        <v>-99</v>
      </c>
      <c r="AN577" s="14">
        <f t="shared" si="149"/>
        <v>-0.33</v>
      </c>
      <c r="AO577" t="str">
        <f>IF(AN577&gt;=Assumptions!$B$3,"OK","Review")</f>
        <v>Review</v>
      </c>
    </row>
    <row r="578" spans="1:41">
      <c r="A578" s="9" t="s">
        <v>371</v>
      </c>
      <c r="B578" s="9" t="s">
        <v>39</v>
      </c>
      <c r="C578" s="9" t="s">
        <v>376</v>
      </c>
      <c r="D578" s="9" t="s">
        <v>402</v>
      </c>
      <c r="E578" s="9" t="s">
        <v>430</v>
      </c>
      <c r="F578" s="9" t="s">
        <v>74</v>
      </c>
      <c r="G578" s="9" t="s">
        <v>28</v>
      </c>
      <c r="H578" s="9" t="s">
        <v>378</v>
      </c>
      <c r="I578" s="9" t="s">
        <v>403</v>
      </c>
      <c r="J578" s="10">
        <v>300</v>
      </c>
      <c r="K578" s="10">
        <v>0</v>
      </c>
      <c r="L578" s="10">
        <v>300</v>
      </c>
      <c r="M578" s="11">
        <v>0</v>
      </c>
      <c r="N578" s="10">
        <v>0</v>
      </c>
      <c r="O578" s="10">
        <v>300</v>
      </c>
      <c r="P578" s="11">
        <v>0.5</v>
      </c>
      <c r="Q578" s="10">
        <v>600</v>
      </c>
      <c r="R578" s="10">
        <f t="shared" si="150"/>
        <v>270.29999999999995</v>
      </c>
      <c r="S578" s="10">
        <v>300</v>
      </c>
      <c r="T578" s="9" t="s">
        <v>76</v>
      </c>
      <c r="U578" s="10">
        <v>1099</v>
      </c>
      <c r="V578" s="10">
        <f t="shared" ref="V578:V641" si="151">IFERROR(U578*(1-30%),0)</f>
        <v>769.3</v>
      </c>
      <c r="W578" s="166">
        <v>490110</v>
      </c>
      <c r="X578" s="12" t="s">
        <v>30</v>
      </c>
      <c r="Y578" s="12">
        <f t="shared" ref="Y578:Y645" si="152">IFERROR(S578,0)</f>
        <v>300</v>
      </c>
      <c r="Z578" s="13">
        <f t="shared" ref="Z578:Z641" si="153">IF(ISNUMBER(S578),S578,0)</f>
        <v>300</v>
      </c>
      <c r="AA578" s="13">
        <f t="shared" ref="AA578:AA645" si="154">IFERROR(Z578/(1+M578),Z578)</f>
        <v>300</v>
      </c>
      <c r="AB578" s="13">
        <f t="shared" ref="AB578:AB641" si="155">IF(ISNUMBER(J578),J578,0)</f>
        <v>300</v>
      </c>
      <c r="AC578" s="13">
        <f t="shared" ref="AC578:AC641" si="156">AA578-AB578</f>
        <v>0</v>
      </c>
      <c r="AD578" s="14">
        <f t="shared" ref="AD578:AD645" si="157">IFERROR(AC578/AA578,0)</f>
        <v>0</v>
      </c>
      <c r="AE578" s="14">
        <f t="shared" ref="AE578:AE645" si="158">IFERROR(AC578/AB578,0)</f>
        <v>0</v>
      </c>
      <c r="AF578" s="13" t="str">
        <f>IF(AD578&gt;=Assumptions!$B$3,"OK","Review")</f>
        <v>Review</v>
      </c>
      <c r="AG578" s="13">
        <f>IFERROR(IF(Assumptions!$B$13="Cost Price",AB578,AA578)*SUMIF(Assumptions!$A$6:$A$10,X578,Assumptions!$B$6:$B$10),0)</f>
        <v>24</v>
      </c>
      <c r="AH578" s="13">
        <f>IFERROR(IF(Assumptions!$B$13="Cost Price",AB578,AA578)*SUMIF(Assumptions!$A$6:$A$10,X578,Assumptions!$C$6:$C$10),0)</f>
        <v>15</v>
      </c>
      <c r="AI578" s="13">
        <f>IFERROR(IF(Assumptions!$B$13="Cost Price",AB578,AA578)*SUMIF(Assumptions!$A$6:$A$10,X578,Assumptions!$D$6:$D$10),0)</f>
        <v>30</v>
      </c>
      <c r="AJ578" s="13">
        <v>30</v>
      </c>
      <c r="AK578" s="13">
        <f t="shared" ref="AK578:AK641" si="159">SUM(AG578:AJ578)</f>
        <v>99</v>
      </c>
      <c r="AL578" s="14">
        <v>0.33</v>
      </c>
      <c r="AM578" s="13">
        <f t="shared" ref="AM578:AM641" si="160">AC578-AK578</f>
        <v>-99</v>
      </c>
      <c r="AN578" s="14">
        <f t="shared" ref="AN578:AN641" si="161">IFERROR(AM578/AA578,0)</f>
        <v>-0.33</v>
      </c>
      <c r="AO578" t="str">
        <f>IF(AN578&gt;=Assumptions!$B$3,"OK","Review")</f>
        <v>Review</v>
      </c>
    </row>
    <row r="579" spans="1:41">
      <c r="A579" s="9" t="s">
        <v>371</v>
      </c>
      <c r="B579" s="9" t="s">
        <v>39</v>
      </c>
      <c r="C579" s="9" t="s">
        <v>380</v>
      </c>
      <c r="D579" s="9" t="s">
        <v>404</v>
      </c>
      <c r="E579" s="9" t="s">
        <v>430</v>
      </c>
      <c r="F579" s="9" t="s">
        <v>90</v>
      </c>
      <c r="G579" s="9" t="s">
        <v>28</v>
      </c>
      <c r="H579" s="9" t="s">
        <v>378</v>
      </c>
      <c r="I579" s="9" t="s">
        <v>405</v>
      </c>
      <c r="J579" s="10">
        <v>301.18</v>
      </c>
      <c r="K579" s="10">
        <v>0</v>
      </c>
      <c r="L579" s="10">
        <v>301.18</v>
      </c>
      <c r="M579" s="11">
        <v>0.18</v>
      </c>
      <c r="N579" s="10">
        <v>197.82</v>
      </c>
      <c r="O579" s="10">
        <v>499</v>
      </c>
      <c r="P579" s="11">
        <v>0</v>
      </c>
      <c r="Q579" s="10">
        <v>499</v>
      </c>
      <c r="R579" s="10">
        <f t="shared" si="150"/>
        <v>270.29999999999995</v>
      </c>
      <c r="S579" s="10">
        <v>499</v>
      </c>
      <c r="T579" s="9" t="s">
        <v>91</v>
      </c>
      <c r="U579" s="10">
        <v>1099</v>
      </c>
      <c r="V579" s="10">
        <f t="shared" si="151"/>
        <v>769.3</v>
      </c>
      <c r="W579" s="166">
        <v>902300</v>
      </c>
      <c r="X579" s="12" t="s">
        <v>30</v>
      </c>
      <c r="Y579" s="12">
        <f t="shared" si="152"/>
        <v>499</v>
      </c>
      <c r="Z579" s="13">
        <f t="shared" si="153"/>
        <v>499</v>
      </c>
      <c r="AA579" s="13">
        <f t="shared" si="154"/>
        <v>422.88135593220341</v>
      </c>
      <c r="AB579" s="13">
        <f t="shared" si="155"/>
        <v>301.18</v>
      </c>
      <c r="AC579" s="13">
        <f t="shared" si="156"/>
        <v>121.7013559322034</v>
      </c>
      <c r="AD579" s="14">
        <f t="shared" si="157"/>
        <v>0.28779078156312626</v>
      </c>
      <c r="AE579" s="14">
        <f t="shared" si="158"/>
        <v>0.40408179803507338</v>
      </c>
      <c r="AF579" s="13" t="str">
        <f>IF(AD579&gt;=Assumptions!$B$3,"OK","Review")</f>
        <v>Review</v>
      </c>
      <c r="AG579" s="13">
        <f>IFERROR(IF(Assumptions!$B$13="Cost Price",AB579,AA579)*SUMIF(Assumptions!$A$6:$A$10,X579,Assumptions!$B$6:$B$10),0)</f>
        <v>33.83050847457627</v>
      </c>
      <c r="AH579" s="13">
        <f>IFERROR(IF(Assumptions!$B$13="Cost Price",AB579,AA579)*SUMIF(Assumptions!$A$6:$A$10,X579,Assumptions!$C$6:$C$10),0)</f>
        <v>21.144067796610173</v>
      </c>
      <c r="AI579" s="13">
        <f>IFERROR(IF(Assumptions!$B$13="Cost Price",AB579,AA579)*SUMIF(Assumptions!$A$6:$A$10,X579,Assumptions!$D$6:$D$10),0)</f>
        <v>42.288135593220346</v>
      </c>
      <c r="AJ579" s="13">
        <v>42.288135593220346</v>
      </c>
      <c r="AK579" s="13">
        <f t="shared" si="159"/>
        <v>139.55084745762713</v>
      </c>
      <c r="AL579" s="14">
        <v>0.33</v>
      </c>
      <c r="AM579" s="13">
        <f t="shared" si="160"/>
        <v>-17.84949152542373</v>
      </c>
      <c r="AN579" s="14">
        <f t="shared" si="161"/>
        <v>-4.2209218436873745E-2</v>
      </c>
      <c r="AO579" t="str">
        <f>IF(AN579&gt;=Assumptions!$B$3,"OK","Review")</f>
        <v>Review</v>
      </c>
    </row>
    <row r="580" spans="1:41">
      <c r="A580" s="9" t="s">
        <v>371</v>
      </c>
      <c r="B580" s="9" t="s">
        <v>40</v>
      </c>
      <c r="C580" s="9" t="s">
        <v>372</v>
      </c>
      <c r="D580" s="9" t="s">
        <v>406</v>
      </c>
      <c r="E580" s="9" t="s">
        <v>430</v>
      </c>
      <c r="F580" s="9" t="s">
        <v>74</v>
      </c>
      <c r="G580" s="9" t="s">
        <v>28</v>
      </c>
      <c r="H580" s="9" t="s">
        <v>374</v>
      </c>
      <c r="I580" s="9" t="s">
        <v>407</v>
      </c>
      <c r="J580" s="10">
        <v>300</v>
      </c>
      <c r="K580" s="10"/>
      <c r="L580" s="10">
        <v>300</v>
      </c>
      <c r="M580" s="11">
        <v>0</v>
      </c>
      <c r="N580" s="10">
        <v>0</v>
      </c>
      <c r="O580" s="10">
        <v>300</v>
      </c>
      <c r="P580" s="11">
        <v>0.5</v>
      </c>
      <c r="Q580" s="10">
        <v>600</v>
      </c>
      <c r="R580" s="10">
        <f t="shared" si="150"/>
        <v>240.29999999999995</v>
      </c>
      <c r="S580" s="10">
        <v>300</v>
      </c>
      <c r="T580" s="9" t="s">
        <v>76</v>
      </c>
      <c r="U580" s="10">
        <v>1199</v>
      </c>
      <c r="V580" s="10">
        <f t="shared" si="151"/>
        <v>839.3</v>
      </c>
      <c r="W580" s="166">
        <v>490110</v>
      </c>
      <c r="X580" s="12" t="s">
        <v>30</v>
      </c>
      <c r="Y580" s="12">
        <f t="shared" si="152"/>
        <v>300</v>
      </c>
      <c r="Z580" s="13">
        <f t="shared" si="153"/>
        <v>300</v>
      </c>
      <c r="AA580" s="13">
        <f t="shared" si="154"/>
        <v>300</v>
      </c>
      <c r="AB580" s="13">
        <f t="shared" si="155"/>
        <v>300</v>
      </c>
      <c r="AC580" s="13">
        <f t="shared" si="156"/>
        <v>0</v>
      </c>
      <c r="AD580" s="14">
        <f t="shared" si="157"/>
        <v>0</v>
      </c>
      <c r="AE580" s="14">
        <f t="shared" si="158"/>
        <v>0</v>
      </c>
      <c r="AF580" s="13" t="str">
        <f>IF(AD580&gt;=Assumptions!$B$3,"OK","Review")</f>
        <v>Review</v>
      </c>
      <c r="AG580" s="13">
        <f>IFERROR(IF(Assumptions!$B$13="Cost Price",AB580,AA580)*SUMIF(Assumptions!$A$6:$A$10,X580,Assumptions!$B$6:$B$10),0)</f>
        <v>24</v>
      </c>
      <c r="AH580" s="13">
        <f>IFERROR(IF(Assumptions!$B$13="Cost Price",AB580,AA580)*SUMIF(Assumptions!$A$6:$A$10,X580,Assumptions!$C$6:$C$10),0)</f>
        <v>15</v>
      </c>
      <c r="AI580" s="13">
        <f>IFERROR(IF(Assumptions!$B$13="Cost Price",AB580,AA580)*SUMIF(Assumptions!$A$6:$A$10,X580,Assumptions!$D$6:$D$10),0)</f>
        <v>30</v>
      </c>
      <c r="AJ580" s="13">
        <v>30</v>
      </c>
      <c r="AK580" s="13">
        <f t="shared" si="159"/>
        <v>99</v>
      </c>
      <c r="AL580" s="14">
        <v>0.33</v>
      </c>
      <c r="AM580" s="13">
        <f t="shared" si="160"/>
        <v>-99</v>
      </c>
      <c r="AN580" s="14">
        <f t="shared" si="161"/>
        <v>-0.33</v>
      </c>
      <c r="AO580" t="str">
        <f>IF(AN580&gt;=Assumptions!$B$3,"OK","Review")</f>
        <v>Review</v>
      </c>
    </row>
    <row r="581" spans="1:41">
      <c r="A581" s="9" t="s">
        <v>371</v>
      </c>
      <c r="B581" s="9" t="s">
        <v>40</v>
      </c>
      <c r="C581" s="9" t="s">
        <v>376</v>
      </c>
      <c r="D581" s="9" t="s">
        <v>408</v>
      </c>
      <c r="E581" s="9" t="s">
        <v>430</v>
      </c>
      <c r="F581" s="9" t="s">
        <v>74</v>
      </c>
      <c r="G581" s="9" t="s">
        <v>28</v>
      </c>
      <c r="H581" s="9" t="s">
        <v>378</v>
      </c>
      <c r="I581" s="9" t="s">
        <v>409</v>
      </c>
      <c r="J581" s="10">
        <v>300</v>
      </c>
      <c r="K581" s="10">
        <v>0</v>
      </c>
      <c r="L581" s="10">
        <v>300</v>
      </c>
      <c r="M581" s="11">
        <v>0</v>
      </c>
      <c r="N581" s="10">
        <v>0</v>
      </c>
      <c r="O581" s="10">
        <v>300</v>
      </c>
      <c r="P581" s="11">
        <v>0.5</v>
      </c>
      <c r="Q581" s="10">
        <v>600</v>
      </c>
      <c r="R581" s="10">
        <f t="shared" si="150"/>
        <v>240.29999999999995</v>
      </c>
      <c r="S581" s="10">
        <v>300</v>
      </c>
      <c r="T581" s="9" t="s">
        <v>76</v>
      </c>
      <c r="U581" s="10">
        <v>1199</v>
      </c>
      <c r="V581" s="10">
        <f t="shared" si="151"/>
        <v>839.3</v>
      </c>
      <c r="W581" s="166">
        <v>490110</v>
      </c>
      <c r="X581" s="12" t="s">
        <v>30</v>
      </c>
      <c r="Y581" s="12">
        <f t="shared" si="152"/>
        <v>300</v>
      </c>
      <c r="Z581" s="13">
        <f t="shared" si="153"/>
        <v>300</v>
      </c>
      <c r="AA581" s="13">
        <f t="shared" si="154"/>
        <v>300</v>
      </c>
      <c r="AB581" s="13">
        <f t="shared" si="155"/>
        <v>300</v>
      </c>
      <c r="AC581" s="13">
        <f t="shared" si="156"/>
        <v>0</v>
      </c>
      <c r="AD581" s="14">
        <f t="shared" si="157"/>
        <v>0</v>
      </c>
      <c r="AE581" s="14">
        <f t="shared" si="158"/>
        <v>0</v>
      </c>
      <c r="AF581" s="13" t="str">
        <f>IF(AD581&gt;=Assumptions!$B$3,"OK","Review")</f>
        <v>Review</v>
      </c>
      <c r="AG581" s="13">
        <f>IFERROR(IF(Assumptions!$B$13="Cost Price",AB581,AA581)*SUMIF(Assumptions!$A$6:$A$10,X581,Assumptions!$B$6:$B$10),0)</f>
        <v>24</v>
      </c>
      <c r="AH581" s="13">
        <f>IFERROR(IF(Assumptions!$B$13="Cost Price",AB581,AA581)*SUMIF(Assumptions!$A$6:$A$10,X581,Assumptions!$C$6:$C$10),0)</f>
        <v>15</v>
      </c>
      <c r="AI581" s="13">
        <f>IFERROR(IF(Assumptions!$B$13="Cost Price",AB581,AA581)*SUMIF(Assumptions!$A$6:$A$10,X581,Assumptions!$D$6:$D$10),0)</f>
        <v>30</v>
      </c>
      <c r="AJ581" s="13">
        <v>30</v>
      </c>
      <c r="AK581" s="13">
        <f t="shared" si="159"/>
        <v>99</v>
      </c>
      <c r="AL581" s="14">
        <v>0.33</v>
      </c>
      <c r="AM581" s="13">
        <f t="shared" si="160"/>
        <v>-99</v>
      </c>
      <c r="AN581" s="14">
        <f t="shared" si="161"/>
        <v>-0.33</v>
      </c>
      <c r="AO581" t="str">
        <f>IF(AN581&gt;=Assumptions!$B$3,"OK","Review")</f>
        <v>Review</v>
      </c>
    </row>
    <row r="582" spans="1:41">
      <c r="A582" s="9" t="s">
        <v>371</v>
      </c>
      <c r="B582" s="9" t="s">
        <v>40</v>
      </c>
      <c r="C582" s="9" t="s">
        <v>380</v>
      </c>
      <c r="D582" s="9" t="s">
        <v>410</v>
      </c>
      <c r="E582" s="9" t="s">
        <v>430</v>
      </c>
      <c r="F582" s="9" t="s">
        <v>90</v>
      </c>
      <c r="G582" s="9" t="s">
        <v>28</v>
      </c>
      <c r="H582" s="9" t="s">
        <v>378</v>
      </c>
      <c r="I582" s="9" t="s">
        <v>411</v>
      </c>
      <c r="J582" s="10">
        <v>383.18</v>
      </c>
      <c r="K582" s="10">
        <v>0</v>
      </c>
      <c r="L582" s="10">
        <v>383.18</v>
      </c>
      <c r="M582" s="11">
        <v>0.18</v>
      </c>
      <c r="N582" s="10">
        <v>215.82</v>
      </c>
      <c r="O582" s="10">
        <v>599</v>
      </c>
      <c r="P582" s="11">
        <v>0</v>
      </c>
      <c r="Q582" s="10">
        <v>599</v>
      </c>
      <c r="R582" s="10">
        <f t="shared" si="150"/>
        <v>240.29999999999995</v>
      </c>
      <c r="S582" s="10">
        <v>599</v>
      </c>
      <c r="T582" s="9" t="s">
        <v>91</v>
      </c>
      <c r="U582" s="10">
        <v>1199</v>
      </c>
      <c r="V582" s="10">
        <f t="shared" si="151"/>
        <v>839.3</v>
      </c>
      <c r="W582" s="166">
        <v>902300</v>
      </c>
      <c r="X582" s="12" t="s">
        <v>30</v>
      </c>
      <c r="Y582" s="12">
        <f t="shared" si="152"/>
        <v>599</v>
      </c>
      <c r="Z582" s="13">
        <f t="shared" si="153"/>
        <v>599</v>
      </c>
      <c r="AA582" s="13">
        <f t="shared" si="154"/>
        <v>507.62711864406782</v>
      </c>
      <c r="AB582" s="13">
        <f t="shared" si="155"/>
        <v>383.18</v>
      </c>
      <c r="AC582" s="13">
        <f t="shared" si="156"/>
        <v>124.44711864406781</v>
      </c>
      <c r="AD582" s="14">
        <f t="shared" si="157"/>
        <v>0.24515459098497497</v>
      </c>
      <c r="AE582" s="14">
        <f t="shared" si="158"/>
        <v>0.32477456715921449</v>
      </c>
      <c r="AF582" s="13" t="str">
        <f>IF(AD582&gt;=Assumptions!$B$3,"OK","Review")</f>
        <v>Review</v>
      </c>
      <c r="AG582" s="13">
        <f>IFERROR(IF(Assumptions!$B$13="Cost Price",AB582,AA582)*SUMIF(Assumptions!$A$6:$A$10,X582,Assumptions!$B$6:$B$10),0)</f>
        <v>40.610169491525426</v>
      </c>
      <c r="AH582" s="13">
        <f>IFERROR(IF(Assumptions!$B$13="Cost Price",AB582,AA582)*SUMIF(Assumptions!$A$6:$A$10,X582,Assumptions!$C$6:$C$10),0)</f>
        <v>25.381355932203391</v>
      </c>
      <c r="AI582" s="13">
        <f>IFERROR(IF(Assumptions!$B$13="Cost Price",AB582,AA582)*SUMIF(Assumptions!$A$6:$A$10,X582,Assumptions!$D$6:$D$10),0)</f>
        <v>50.762711864406782</v>
      </c>
      <c r="AJ582" s="13">
        <v>50.762711864406782</v>
      </c>
      <c r="AK582" s="13">
        <f t="shared" si="159"/>
        <v>167.5169491525424</v>
      </c>
      <c r="AL582" s="14">
        <v>0.33</v>
      </c>
      <c r="AM582" s="13">
        <f t="shared" si="160"/>
        <v>-43.069830508474581</v>
      </c>
      <c r="AN582" s="14">
        <f t="shared" si="161"/>
        <v>-8.4845409015025047E-2</v>
      </c>
      <c r="AO582" t="str">
        <f>IF(AN582&gt;=Assumptions!$B$3,"OK","Review")</f>
        <v>Review</v>
      </c>
    </row>
    <row r="583" spans="1:41">
      <c r="A583" s="9" t="s">
        <v>371</v>
      </c>
      <c r="B583" s="9" t="s">
        <v>41</v>
      </c>
      <c r="C583" s="9" t="s">
        <v>372</v>
      </c>
      <c r="D583" s="9" t="s">
        <v>412</v>
      </c>
      <c r="E583" s="9" t="s">
        <v>430</v>
      </c>
      <c r="F583" s="9" t="s">
        <v>74</v>
      </c>
      <c r="G583" s="9" t="s">
        <v>28</v>
      </c>
      <c r="H583" s="9" t="s">
        <v>374</v>
      </c>
      <c r="I583" s="9" t="s">
        <v>413</v>
      </c>
      <c r="J583" s="10">
        <v>300</v>
      </c>
      <c r="K583" s="10"/>
      <c r="L583" s="10">
        <v>300</v>
      </c>
      <c r="M583" s="11">
        <v>0</v>
      </c>
      <c r="N583" s="10">
        <v>0</v>
      </c>
      <c r="O583" s="10">
        <v>300</v>
      </c>
      <c r="P583" s="11">
        <v>0.5</v>
      </c>
      <c r="Q583" s="10">
        <v>600</v>
      </c>
      <c r="R583" s="10">
        <f t="shared" si="150"/>
        <v>240.29999999999995</v>
      </c>
      <c r="S583" s="10">
        <v>300</v>
      </c>
      <c r="T583" s="9" t="s">
        <v>76</v>
      </c>
      <c r="U583" s="10">
        <v>1199</v>
      </c>
      <c r="V583" s="10">
        <f t="shared" si="151"/>
        <v>839.3</v>
      </c>
      <c r="W583" s="166">
        <v>490110</v>
      </c>
      <c r="X583" s="12" t="s">
        <v>30</v>
      </c>
      <c r="Y583" s="12">
        <f t="shared" si="152"/>
        <v>300</v>
      </c>
      <c r="Z583" s="13">
        <f t="shared" si="153"/>
        <v>300</v>
      </c>
      <c r="AA583" s="13">
        <f t="shared" si="154"/>
        <v>300</v>
      </c>
      <c r="AB583" s="13">
        <f t="shared" si="155"/>
        <v>300</v>
      </c>
      <c r="AC583" s="13">
        <f t="shared" si="156"/>
        <v>0</v>
      </c>
      <c r="AD583" s="14">
        <f t="shared" si="157"/>
        <v>0</v>
      </c>
      <c r="AE583" s="14">
        <f t="shared" si="158"/>
        <v>0</v>
      </c>
      <c r="AF583" s="13" t="str">
        <f>IF(AD583&gt;=Assumptions!$B$3,"OK","Review")</f>
        <v>Review</v>
      </c>
      <c r="AG583" s="13">
        <f>IFERROR(IF(Assumptions!$B$13="Cost Price",AB583,AA583)*SUMIF(Assumptions!$A$6:$A$10,X583,Assumptions!$B$6:$B$10),0)</f>
        <v>24</v>
      </c>
      <c r="AH583" s="13">
        <f>IFERROR(IF(Assumptions!$B$13="Cost Price",AB583,AA583)*SUMIF(Assumptions!$A$6:$A$10,X583,Assumptions!$C$6:$C$10),0)</f>
        <v>15</v>
      </c>
      <c r="AI583" s="13">
        <f>IFERROR(IF(Assumptions!$B$13="Cost Price",AB583,AA583)*SUMIF(Assumptions!$A$6:$A$10,X583,Assumptions!$D$6:$D$10),0)</f>
        <v>30</v>
      </c>
      <c r="AJ583" s="13">
        <v>30</v>
      </c>
      <c r="AK583" s="13">
        <f t="shared" si="159"/>
        <v>99</v>
      </c>
      <c r="AL583" s="14">
        <v>0.33</v>
      </c>
      <c r="AM583" s="13">
        <f t="shared" si="160"/>
        <v>-99</v>
      </c>
      <c r="AN583" s="14">
        <f t="shared" si="161"/>
        <v>-0.33</v>
      </c>
      <c r="AO583" t="str">
        <f>IF(AN583&gt;=Assumptions!$B$3,"OK","Review")</f>
        <v>Review</v>
      </c>
    </row>
    <row r="584" spans="1:41">
      <c r="A584" s="9" t="s">
        <v>371</v>
      </c>
      <c r="B584" s="9" t="s">
        <v>41</v>
      </c>
      <c r="C584" s="9" t="s">
        <v>376</v>
      </c>
      <c r="D584" s="9" t="s">
        <v>414</v>
      </c>
      <c r="E584" s="9" t="s">
        <v>430</v>
      </c>
      <c r="F584" s="9" t="s">
        <v>74</v>
      </c>
      <c r="G584" s="9" t="s">
        <v>28</v>
      </c>
      <c r="H584" s="9" t="s">
        <v>378</v>
      </c>
      <c r="I584" s="9" t="s">
        <v>415</v>
      </c>
      <c r="J584" s="10">
        <v>300</v>
      </c>
      <c r="K584" s="10">
        <v>0</v>
      </c>
      <c r="L584" s="10">
        <v>300</v>
      </c>
      <c r="M584" s="11">
        <v>0</v>
      </c>
      <c r="N584" s="10">
        <v>0</v>
      </c>
      <c r="O584" s="10">
        <v>300</v>
      </c>
      <c r="P584" s="11">
        <v>0.5</v>
      </c>
      <c r="Q584" s="10">
        <v>600</v>
      </c>
      <c r="R584" s="10">
        <f t="shared" si="150"/>
        <v>240.29999999999995</v>
      </c>
      <c r="S584" s="10">
        <v>300</v>
      </c>
      <c r="T584" s="9" t="s">
        <v>76</v>
      </c>
      <c r="U584" s="10">
        <v>1199</v>
      </c>
      <c r="V584" s="10">
        <f t="shared" si="151"/>
        <v>839.3</v>
      </c>
      <c r="W584" s="166">
        <v>490110</v>
      </c>
      <c r="X584" s="12" t="s">
        <v>30</v>
      </c>
      <c r="Y584" s="12">
        <f t="shared" si="152"/>
        <v>300</v>
      </c>
      <c r="Z584" s="13">
        <f t="shared" si="153"/>
        <v>300</v>
      </c>
      <c r="AA584" s="13">
        <f t="shared" si="154"/>
        <v>300</v>
      </c>
      <c r="AB584" s="13">
        <f t="shared" si="155"/>
        <v>300</v>
      </c>
      <c r="AC584" s="13">
        <f t="shared" si="156"/>
        <v>0</v>
      </c>
      <c r="AD584" s="14">
        <f t="shared" si="157"/>
        <v>0</v>
      </c>
      <c r="AE584" s="14">
        <f t="shared" si="158"/>
        <v>0</v>
      </c>
      <c r="AF584" s="13" t="str">
        <f>IF(AD584&gt;=Assumptions!$B$3,"OK","Review")</f>
        <v>Review</v>
      </c>
      <c r="AG584" s="13">
        <f>IFERROR(IF(Assumptions!$B$13="Cost Price",AB584,AA584)*SUMIF(Assumptions!$A$6:$A$10,X584,Assumptions!$B$6:$B$10),0)</f>
        <v>24</v>
      </c>
      <c r="AH584" s="13">
        <f>IFERROR(IF(Assumptions!$B$13="Cost Price",AB584,AA584)*SUMIF(Assumptions!$A$6:$A$10,X584,Assumptions!$C$6:$C$10),0)</f>
        <v>15</v>
      </c>
      <c r="AI584" s="13">
        <f>IFERROR(IF(Assumptions!$B$13="Cost Price",AB584,AA584)*SUMIF(Assumptions!$A$6:$A$10,X584,Assumptions!$D$6:$D$10),0)</f>
        <v>30</v>
      </c>
      <c r="AJ584" s="13">
        <v>30</v>
      </c>
      <c r="AK584" s="13">
        <f t="shared" si="159"/>
        <v>99</v>
      </c>
      <c r="AL584" s="14">
        <v>0.33</v>
      </c>
      <c r="AM584" s="13">
        <f t="shared" si="160"/>
        <v>-99</v>
      </c>
      <c r="AN584" s="14">
        <f t="shared" si="161"/>
        <v>-0.33</v>
      </c>
      <c r="AO584" t="str">
        <f>IF(AN584&gt;=Assumptions!$B$3,"OK","Review")</f>
        <v>Review</v>
      </c>
    </row>
    <row r="585" spans="1:41">
      <c r="A585" s="9" t="s">
        <v>371</v>
      </c>
      <c r="B585" s="9" t="s">
        <v>41</v>
      </c>
      <c r="C585" s="9" t="s">
        <v>380</v>
      </c>
      <c r="D585" s="9" t="s">
        <v>416</v>
      </c>
      <c r="E585" s="9" t="s">
        <v>430</v>
      </c>
      <c r="F585" s="9" t="s">
        <v>90</v>
      </c>
      <c r="G585" s="9" t="s">
        <v>28</v>
      </c>
      <c r="H585" s="9" t="s">
        <v>378</v>
      </c>
      <c r="I585" s="9" t="s">
        <v>417</v>
      </c>
      <c r="J585" s="10">
        <v>383.18</v>
      </c>
      <c r="K585" s="10">
        <v>0</v>
      </c>
      <c r="L585" s="10">
        <v>383.18</v>
      </c>
      <c r="M585" s="11">
        <v>0.18</v>
      </c>
      <c r="N585" s="10">
        <v>215.82</v>
      </c>
      <c r="O585" s="10">
        <v>599</v>
      </c>
      <c r="P585" s="11">
        <v>0</v>
      </c>
      <c r="Q585" s="10">
        <v>599</v>
      </c>
      <c r="R585" s="10">
        <f t="shared" si="150"/>
        <v>240.29999999999995</v>
      </c>
      <c r="S585" s="10">
        <v>599</v>
      </c>
      <c r="T585" s="9" t="s">
        <v>91</v>
      </c>
      <c r="U585" s="10">
        <v>1199</v>
      </c>
      <c r="V585" s="10">
        <f t="shared" si="151"/>
        <v>839.3</v>
      </c>
      <c r="W585" s="166">
        <v>902300</v>
      </c>
      <c r="X585" s="12" t="s">
        <v>30</v>
      </c>
      <c r="Y585" s="12">
        <f t="shared" si="152"/>
        <v>599</v>
      </c>
      <c r="Z585" s="13">
        <f t="shared" si="153"/>
        <v>599</v>
      </c>
      <c r="AA585" s="13">
        <f t="shared" si="154"/>
        <v>507.62711864406782</v>
      </c>
      <c r="AB585" s="13">
        <f t="shared" si="155"/>
        <v>383.18</v>
      </c>
      <c r="AC585" s="13">
        <f t="shared" si="156"/>
        <v>124.44711864406781</v>
      </c>
      <c r="AD585" s="14">
        <f t="shared" si="157"/>
        <v>0.24515459098497497</v>
      </c>
      <c r="AE585" s="14">
        <f t="shared" si="158"/>
        <v>0.32477456715921449</v>
      </c>
      <c r="AF585" s="13" t="str">
        <f>IF(AD585&gt;=Assumptions!$B$3,"OK","Review")</f>
        <v>Review</v>
      </c>
      <c r="AG585" s="13">
        <f>IFERROR(IF(Assumptions!$B$13="Cost Price",AB585,AA585)*SUMIF(Assumptions!$A$6:$A$10,X585,Assumptions!$B$6:$B$10),0)</f>
        <v>40.610169491525426</v>
      </c>
      <c r="AH585" s="13">
        <f>IFERROR(IF(Assumptions!$B$13="Cost Price",AB585,AA585)*SUMIF(Assumptions!$A$6:$A$10,X585,Assumptions!$C$6:$C$10),0)</f>
        <v>25.381355932203391</v>
      </c>
      <c r="AI585" s="13">
        <f>IFERROR(IF(Assumptions!$B$13="Cost Price",AB585,AA585)*SUMIF(Assumptions!$A$6:$A$10,X585,Assumptions!$D$6:$D$10),0)</f>
        <v>50.762711864406782</v>
      </c>
      <c r="AJ585" s="13">
        <v>50.762711864406782</v>
      </c>
      <c r="AK585" s="13">
        <f t="shared" si="159"/>
        <v>167.5169491525424</v>
      </c>
      <c r="AL585" s="14">
        <v>0.33</v>
      </c>
      <c r="AM585" s="13">
        <f t="shared" si="160"/>
        <v>-43.069830508474581</v>
      </c>
      <c r="AN585" s="14">
        <f t="shared" si="161"/>
        <v>-8.4845409015025047E-2</v>
      </c>
      <c r="AO585" t="str">
        <f>IF(AN585&gt;=Assumptions!$B$3,"OK","Review")</f>
        <v>Review</v>
      </c>
    </row>
    <row r="586" spans="1:41">
      <c r="A586" s="9" t="s">
        <v>371</v>
      </c>
      <c r="B586" s="9" t="s">
        <v>42</v>
      </c>
      <c r="C586" s="9" t="s">
        <v>372</v>
      </c>
      <c r="D586" s="9" t="s">
        <v>418</v>
      </c>
      <c r="E586" s="9" t="s">
        <v>430</v>
      </c>
      <c r="F586" s="9" t="s">
        <v>74</v>
      </c>
      <c r="G586" s="9" t="s">
        <v>28</v>
      </c>
      <c r="H586" s="9" t="s">
        <v>374</v>
      </c>
      <c r="I586" s="9" t="s">
        <v>419</v>
      </c>
      <c r="J586" s="10">
        <v>300</v>
      </c>
      <c r="K586" s="10"/>
      <c r="L586" s="10">
        <v>300</v>
      </c>
      <c r="M586" s="11">
        <v>0</v>
      </c>
      <c r="N586" s="10">
        <v>0</v>
      </c>
      <c r="O586" s="10">
        <v>300</v>
      </c>
      <c r="P586" s="11">
        <v>0.5</v>
      </c>
      <c r="Q586" s="10">
        <v>600</v>
      </c>
      <c r="R586" s="10">
        <f t="shared" si="150"/>
        <v>210.29999999999995</v>
      </c>
      <c r="S586" s="10">
        <v>300</v>
      </c>
      <c r="T586" s="9" t="s">
        <v>76</v>
      </c>
      <c r="U586" s="10">
        <v>1299</v>
      </c>
      <c r="V586" s="10">
        <f t="shared" si="151"/>
        <v>909.3</v>
      </c>
      <c r="W586" s="166">
        <v>490110</v>
      </c>
      <c r="X586" s="12" t="s">
        <v>30</v>
      </c>
      <c r="Y586" s="12">
        <f t="shared" si="152"/>
        <v>300</v>
      </c>
      <c r="Z586" s="13">
        <f t="shared" si="153"/>
        <v>300</v>
      </c>
      <c r="AA586" s="13">
        <f t="shared" si="154"/>
        <v>300</v>
      </c>
      <c r="AB586" s="13">
        <f t="shared" si="155"/>
        <v>300</v>
      </c>
      <c r="AC586" s="13">
        <f t="shared" si="156"/>
        <v>0</v>
      </c>
      <c r="AD586" s="14">
        <f t="shared" si="157"/>
        <v>0</v>
      </c>
      <c r="AE586" s="14">
        <f t="shared" si="158"/>
        <v>0</v>
      </c>
      <c r="AF586" s="13" t="str">
        <f>IF(AD586&gt;=Assumptions!$B$3,"OK","Review")</f>
        <v>Review</v>
      </c>
      <c r="AG586" s="13">
        <f>IFERROR(IF(Assumptions!$B$13="Cost Price",AB586,AA586)*SUMIF(Assumptions!$A$6:$A$10,X586,Assumptions!$B$6:$B$10),0)</f>
        <v>24</v>
      </c>
      <c r="AH586" s="13">
        <f>IFERROR(IF(Assumptions!$B$13="Cost Price",AB586,AA586)*SUMIF(Assumptions!$A$6:$A$10,X586,Assumptions!$C$6:$C$10),0)</f>
        <v>15</v>
      </c>
      <c r="AI586" s="13">
        <f>IFERROR(IF(Assumptions!$B$13="Cost Price",AB586,AA586)*SUMIF(Assumptions!$A$6:$A$10,X586,Assumptions!$D$6:$D$10),0)</f>
        <v>30</v>
      </c>
      <c r="AJ586" s="13">
        <v>30</v>
      </c>
      <c r="AK586" s="13">
        <f t="shared" si="159"/>
        <v>99</v>
      </c>
      <c r="AL586" s="14">
        <v>0.33</v>
      </c>
      <c r="AM586" s="13">
        <f t="shared" si="160"/>
        <v>-99</v>
      </c>
      <c r="AN586" s="14">
        <f t="shared" si="161"/>
        <v>-0.33</v>
      </c>
      <c r="AO586" t="str">
        <f>IF(AN586&gt;=Assumptions!$B$3,"OK","Review")</f>
        <v>Review</v>
      </c>
    </row>
    <row r="587" spans="1:41">
      <c r="A587" s="9" t="s">
        <v>371</v>
      </c>
      <c r="B587" s="9" t="s">
        <v>42</v>
      </c>
      <c r="C587" s="9" t="s">
        <v>376</v>
      </c>
      <c r="D587" s="9" t="s">
        <v>420</v>
      </c>
      <c r="E587" s="9" t="s">
        <v>430</v>
      </c>
      <c r="F587" s="9" t="s">
        <v>74</v>
      </c>
      <c r="G587" s="9" t="s">
        <v>28</v>
      </c>
      <c r="H587" s="9" t="s">
        <v>378</v>
      </c>
      <c r="I587" s="9" t="s">
        <v>421</v>
      </c>
      <c r="J587" s="10">
        <v>300</v>
      </c>
      <c r="K587" s="10">
        <v>0</v>
      </c>
      <c r="L587" s="10">
        <v>300</v>
      </c>
      <c r="M587" s="11">
        <v>0</v>
      </c>
      <c r="N587" s="10">
        <v>0</v>
      </c>
      <c r="O587" s="10">
        <v>300</v>
      </c>
      <c r="P587" s="11">
        <v>0.5</v>
      </c>
      <c r="Q587" s="10">
        <v>600</v>
      </c>
      <c r="R587" s="10">
        <f t="shared" si="150"/>
        <v>210.29999999999995</v>
      </c>
      <c r="S587" s="10">
        <v>300</v>
      </c>
      <c r="T587" s="9" t="s">
        <v>76</v>
      </c>
      <c r="U587" s="10">
        <v>1299</v>
      </c>
      <c r="V587" s="10">
        <f t="shared" si="151"/>
        <v>909.3</v>
      </c>
      <c r="W587" s="166">
        <v>490110</v>
      </c>
      <c r="X587" s="12" t="s">
        <v>30</v>
      </c>
      <c r="Y587" s="12">
        <f t="shared" si="152"/>
        <v>300</v>
      </c>
      <c r="Z587" s="13">
        <f t="shared" si="153"/>
        <v>300</v>
      </c>
      <c r="AA587" s="13">
        <f t="shared" si="154"/>
        <v>300</v>
      </c>
      <c r="AB587" s="13">
        <f t="shared" si="155"/>
        <v>300</v>
      </c>
      <c r="AC587" s="13">
        <f t="shared" si="156"/>
        <v>0</v>
      </c>
      <c r="AD587" s="14">
        <f t="shared" si="157"/>
        <v>0</v>
      </c>
      <c r="AE587" s="14">
        <f t="shared" si="158"/>
        <v>0</v>
      </c>
      <c r="AF587" s="13" t="str">
        <f>IF(AD587&gt;=Assumptions!$B$3,"OK","Review")</f>
        <v>Review</v>
      </c>
      <c r="AG587" s="13">
        <f>IFERROR(IF(Assumptions!$B$13="Cost Price",AB587,AA587)*SUMIF(Assumptions!$A$6:$A$10,X587,Assumptions!$B$6:$B$10),0)</f>
        <v>24</v>
      </c>
      <c r="AH587" s="13">
        <f>IFERROR(IF(Assumptions!$B$13="Cost Price",AB587,AA587)*SUMIF(Assumptions!$A$6:$A$10,X587,Assumptions!$C$6:$C$10),0)</f>
        <v>15</v>
      </c>
      <c r="AI587" s="13">
        <f>IFERROR(IF(Assumptions!$B$13="Cost Price",AB587,AA587)*SUMIF(Assumptions!$A$6:$A$10,X587,Assumptions!$D$6:$D$10),0)</f>
        <v>30</v>
      </c>
      <c r="AJ587" s="13">
        <v>30</v>
      </c>
      <c r="AK587" s="13">
        <f t="shared" si="159"/>
        <v>99</v>
      </c>
      <c r="AL587" s="14">
        <v>0.33</v>
      </c>
      <c r="AM587" s="13">
        <f t="shared" si="160"/>
        <v>-99</v>
      </c>
      <c r="AN587" s="14">
        <f t="shared" si="161"/>
        <v>-0.33</v>
      </c>
      <c r="AO587" t="str">
        <f>IF(AN587&gt;=Assumptions!$B$3,"OK","Review")</f>
        <v>Review</v>
      </c>
    </row>
    <row r="588" spans="1:41">
      <c r="A588" s="9" t="s">
        <v>371</v>
      </c>
      <c r="B588" s="9" t="s">
        <v>42</v>
      </c>
      <c r="C588" s="9" t="s">
        <v>380</v>
      </c>
      <c r="D588" s="9" t="s">
        <v>422</v>
      </c>
      <c r="E588" s="9" t="s">
        <v>430</v>
      </c>
      <c r="F588" s="9" t="s">
        <v>90</v>
      </c>
      <c r="G588" s="9" t="s">
        <v>28</v>
      </c>
      <c r="H588" s="9" t="s">
        <v>378</v>
      </c>
      <c r="I588" s="9" t="s">
        <v>423</v>
      </c>
      <c r="J588" s="10">
        <v>465.18</v>
      </c>
      <c r="K588" s="10">
        <v>0</v>
      </c>
      <c r="L588" s="10">
        <v>465.18</v>
      </c>
      <c r="M588" s="11">
        <v>0.18</v>
      </c>
      <c r="N588" s="10">
        <v>233.82</v>
      </c>
      <c r="O588" s="10">
        <v>699</v>
      </c>
      <c r="P588" s="11">
        <v>0</v>
      </c>
      <c r="Q588" s="10">
        <v>699</v>
      </c>
      <c r="R588" s="10">
        <f t="shared" si="150"/>
        <v>210.29999999999995</v>
      </c>
      <c r="S588" s="10">
        <v>699</v>
      </c>
      <c r="T588" s="9" t="s">
        <v>91</v>
      </c>
      <c r="U588" s="10">
        <v>1299</v>
      </c>
      <c r="V588" s="10">
        <f t="shared" si="151"/>
        <v>909.3</v>
      </c>
      <c r="W588" s="166">
        <v>902300</v>
      </c>
      <c r="X588" s="12" t="s">
        <v>30</v>
      </c>
      <c r="Y588" s="12">
        <f t="shared" si="152"/>
        <v>699</v>
      </c>
      <c r="Z588" s="13">
        <f t="shared" si="153"/>
        <v>699</v>
      </c>
      <c r="AA588" s="13">
        <f t="shared" si="154"/>
        <v>592.37288135593224</v>
      </c>
      <c r="AB588" s="13">
        <f t="shared" si="155"/>
        <v>465.18</v>
      </c>
      <c r="AC588" s="13">
        <f t="shared" si="156"/>
        <v>127.19288135593223</v>
      </c>
      <c r="AD588" s="14">
        <f t="shared" si="157"/>
        <v>0.21471759656652364</v>
      </c>
      <c r="AE588" s="14">
        <f t="shared" si="158"/>
        <v>0.27342723538400671</v>
      </c>
      <c r="AF588" s="13" t="str">
        <f>IF(AD588&gt;=Assumptions!$B$3,"OK","Review")</f>
        <v>Review</v>
      </c>
      <c r="AG588" s="13">
        <f>IFERROR(IF(Assumptions!$B$13="Cost Price",AB588,AA588)*SUMIF(Assumptions!$A$6:$A$10,X588,Assumptions!$B$6:$B$10),0)</f>
        <v>47.389830508474581</v>
      </c>
      <c r="AH588" s="13">
        <f>IFERROR(IF(Assumptions!$B$13="Cost Price",AB588,AA588)*SUMIF(Assumptions!$A$6:$A$10,X588,Assumptions!$C$6:$C$10),0)</f>
        <v>29.618644067796613</v>
      </c>
      <c r="AI588" s="13">
        <f>IFERROR(IF(Assumptions!$B$13="Cost Price",AB588,AA588)*SUMIF(Assumptions!$A$6:$A$10,X588,Assumptions!$D$6:$D$10),0)</f>
        <v>59.237288135593225</v>
      </c>
      <c r="AJ588" s="13">
        <v>59.237288135593225</v>
      </c>
      <c r="AK588" s="13">
        <f t="shared" si="159"/>
        <v>195.48305084745763</v>
      </c>
      <c r="AL588" s="14">
        <v>0.33</v>
      </c>
      <c r="AM588" s="13">
        <f t="shared" si="160"/>
        <v>-68.290169491525404</v>
      </c>
      <c r="AN588" s="14">
        <f t="shared" si="161"/>
        <v>-0.11528240343347636</v>
      </c>
      <c r="AO588" t="str">
        <f>IF(AN588&gt;=Assumptions!$B$3,"OK","Review")</f>
        <v>Review</v>
      </c>
    </row>
    <row r="589" spans="1:41">
      <c r="A589" s="9" t="s">
        <v>371</v>
      </c>
      <c r="B589" s="9" t="s">
        <v>48</v>
      </c>
      <c r="C589" s="9" t="s">
        <v>372</v>
      </c>
      <c r="D589" s="9" t="s">
        <v>424</v>
      </c>
      <c r="E589" s="9" t="s">
        <v>430</v>
      </c>
      <c r="F589" s="9" t="s">
        <v>74</v>
      </c>
      <c r="G589" s="9" t="s">
        <v>28</v>
      </c>
      <c r="H589" s="9" t="s">
        <v>374</v>
      </c>
      <c r="I589" s="9" t="s">
        <v>425</v>
      </c>
      <c r="J589" s="10">
        <v>300</v>
      </c>
      <c r="K589" s="10"/>
      <c r="L589" s="10">
        <v>300</v>
      </c>
      <c r="M589" s="11">
        <v>0</v>
      </c>
      <c r="N589" s="10">
        <v>0</v>
      </c>
      <c r="O589" s="10">
        <v>300</v>
      </c>
      <c r="P589" s="11">
        <v>0.5</v>
      </c>
      <c r="Q589" s="10">
        <v>600</v>
      </c>
      <c r="R589" s="10">
        <f t="shared" si="150"/>
        <v>210.29999999999995</v>
      </c>
      <c r="S589" s="10">
        <v>300</v>
      </c>
      <c r="T589" s="9" t="s">
        <v>76</v>
      </c>
      <c r="U589" s="10">
        <v>1299</v>
      </c>
      <c r="V589" s="10">
        <f t="shared" si="151"/>
        <v>909.3</v>
      </c>
      <c r="W589" s="166">
        <v>490110</v>
      </c>
      <c r="X589" s="12" t="s">
        <v>30</v>
      </c>
      <c r="Y589" s="12">
        <f t="shared" si="152"/>
        <v>300</v>
      </c>
      <c r="Z589" s="13">
        <f t="shared" si="153"/>
        <v>300</v>
      </c>
      <c r="AA589" s="13">
        <f t="shared" si="154"/>
        <v>300</v>
      </c>
      <c r="AB589" s="13">
        <f t="shared" si="155"/>
        <v>300</v>
      </c>
      <c r="AC589" s="13">
        <f t="shared" si="156"/>
        <v>0</v>
      </c>
      <c r="AD589" s="14">
        <f t="shared" si="157"/>
        <v>0</v>
      </c>
      <c r="AE589" s="14">
        <f t="shared" si="158"/>
        <v>0</v>
      </c>
      <c r="AF589" s="13" t="str">
        <f>IF(AD589&gt;=Assumptions!$B$3,"OK","Review")</f>
        <v>Review</v>
      </c>
      <c r="AG589" s="13">
        <f>IFERROR(IF(Assumptions!$B$13="Cost Price",AB589,AA589)*SUMIF(Assumptions!$A$6:$A$10,X589,Assumptions!$B$6:$B$10),0)</f>
        <v>24</v>
      </c>
      <c r="AH589" s="13">
        <f>IFERROR(IF(Assumptions!$B$13="Cost Price",AB589,AA589)*SUMIF(Assumptions!$A$6:$A$10,X589,Assumptions!$C$6:$C$10),0)</f>
        <v>15</v>
      </c>
      <c r="AI589" s="13">
        <f>IFERROR(IF(Assumptions!$B$13="Cost Price",AB589,AA589)*SUMIF(Assumptions!$A$6:$A$10,X589,Assumptions!$D$6:$D$10),0)</f>
        <v>30</v>
      </c>
      <c r="AJ589" s="13">
        <v>30</v>
      </c>
      <c r="AK589" s="13">
        <f t="shared" si="159"/>
        <v>99</v>
      </c>
      <c r="AL589" s="14">
        <v>0.33</v>
      </c>
      <c r="AM589" s="13">
        <f t="shared" si="160"/>
        <v>-99</v>
      </c>
      <c r="AN589" s="14">
        <f t="shared" si="161"/>
        <v>-0.33</v>
      </c>
      <c r="AO589" t="str">
        <f>IF(AN589&gt;=Assumptions!$B$3,"OK","Review")</f>
        <v>Review</v>
      </c>
    </row>
    <row r="590" spans="1:41">
      <c r="A590" s="9" t="s">
        <v>371</v>
      </c>
      <c r="B590" s="9" t="s">
        <v>48</v>
      </c>
      <c r="C590" s="9" t="s">
        <v>376</v>
      </c>
      <c r="D590" s="9" t="s">
        <v>426</v>
      </c>
      <c r="E590" s="9" t="s">
        <v>430</v>
      </c>
      <c r="F590" s="9" t="s">
        <v>74</v>
      </c>
      <c r="G590" s="9" t="s">
        <v>28</v>
      </c>
      <c r="H590" s="9" t="s">
        <v>378</v>
      </c>
      <c r="I590" s="9" t="s">
        <v>427</v>
      </c>
      <c r="J590" s="10">
        <v>300</v>
      </c>
      <c r="K590" s="10">
        <v>0</v>
      </c>
      <c r="L590" s="10">
        <v>300</v>
      </c>
      <c r="M590" s="11">
        <v>0</v>
      </c>
      <c r="N590" s="10">
        <v>0</v>
      </c>
      <c r="O590" s="10">
        <v>300</v>
      </c>
      <c r="P590" s="11">
        <v>0.5</v>
      </c>
      <c r="Q590" s="10">
        <v>600</v>
      </c>
      <c r="R590" s="10">
        <f t="shared" si="150"/>
        <v>210.29999999999995</v>
      </c>
      <c r="S590" s="10">
        <v>300</v>
      </c>
      <c r="T590" s="9" t="s">
        <v>76</v>
      </c>
      <c r="U590" s="10">
        <v>1299</v>
      </c>
      <c r="V590" s="10">
        <f t="shared" si="151"/>
        <v>909.3</v>
      </c>
      <c r="W590" s="166">
        <v>490110</v>
      </c>
      <c r="X590" s="12" t="s">
        <v>30</v>
      </c>
      <c r="Y590" s="12">
        <f t="shared" si="152"/>
        <v>300</v>
      </c>
      <c r="Z590" s="13">
        <f t="shared" si="153"/>
        <v>300</v>
      </c>
      <c r="AA590" s="13">
        <f t="shared" si="154"/>
        <v>300</v>
      </c>
      <c r="AB590" s="13">
        <f t="shared" si="155"/>
        <v>300</v>
      </c>
      <c r="AC590" s="13">
        <f t="shared" si="156"/>
        <v>0</v>
      </c>
      <c r="AD590" s="14">
        <f t="shared" si="157"/>
        <v>0</v>
      </c>
      <c r="AE590" s="14">
        <f t="shared" si="158"/>
        <v>0</v>
      </c>
      <c r="AF590" s="13" t="str">
        <f>IF(AD590&gt;=Assumptions!$B$3,"OK","Review")</f>
        <v>Review</v>
      </c>
      <c r="AG590" s="13">
        <f>IFERROR(IF(Assumptions!$B$13="Cost Price",AB590,AA590)*SUMIF(Assumptions!$A$6:$A$10,X590,Assumptions!$B$6:$B$10),0)</f>
        <v>24</v>
      </c>
      <c r="AH590" s="13">
        <f>IFERROR(IF(Assumptions!$B$13="Cost Price",AB590,AA590)*SUMIF(Assumptions!$A$6:$A$10,X590,Assumptions!$C$6:$C$10),0)</f>
        <v>15</v>
      </c>
      <c r="AI590" s="13">
        <f>IFERROR(IF(Assumptions!$B$13="Cost Price",AB590,AA590)*SUMIF(Assumptions!$A$6:$A$10,X590,Assumptions!$D$6:$D$10),0)</f>
        <v>30</v>
      </c>
      <c r="AJ590" s="13">
        <v>30</v>
      </c>
      <c r="AK590" s="13">
        <f t="shared" si="159"/>
        <v>99</v>
      </c>
      <c r="AL590" s="14">
        <v>0.33</v>
      </c>
      <c r="AM590" s="13">
        <f t="shared" si="160"/>
        <v>-99</v>
      </c>
      <c r="AN590" s="14">
        <f t="shared" si="161"/>
        <v>-0.33</v>
      </c>
      <c r="AO590" t="str">
        <f>IF(AN590&gt;=Assumptions!$B$3,"OK","Review")</f>
        <v>Review</v>
      </c>
    </row>
    <row r="591" spans="1:41">
      <c r="A591" s="9" t="s">
        <v>371</v>
      </c>
      <c r="B591" s="9" t="s">
        <v>48</v>
      </c>
      <c r="C591" s="9" t="s">
        <v>380</v>
      </c>
      <c r="D591" s="9" t="s">
        <v>428</v>
      </c>
      <c r="E591" s="9" t="s">
        <v>430</v>
      </c>
      <c r="F591" s="9" t="s">
        <v>90</v>
      </c>
      <c r="G591" s="9" t="s">
        <v>28</v>
      </c>
      <c r="H591" s="9" t="s">
        <v>378</v>
      </c>
      <c r="I591" s="9" t="s">
        <v>429</v>
      </c>
      <c r="J591" s="10">
        <v>465.18</v>
      </c>
      <c r="K591" s="10">
        <v>0</v>
      </c>
      <c r="L591" s="10">
        <v>465.18</v>
      </c>
      <c r="M591" s="11">
        <v>0.18</v>
      </c>
      <c r="N591" s="10">
        <v>233.82</v>
      </c>
      <c r="O591" s="10">
        <v>699</v>
      </c>
      <c r="P591" s="11">
        <v>0</v>
      </c>
      <c r="Q591" s="10">
        <v>699</v>
      </c>
      <c r="R591" s="10">
        <f t="shared" si="150"/>
        <v>210.29999999999995</v>
      </c>
      <c r="S591" s="10">
        <v>699</v>
      </c>
      <c r="T591" s="9" t="s">
        <v>91</v>
      </c>
      <c r="U591" s="10">
        <v>1299</v>
      </c>
      <c r="V591" s="10">
        <f t="shared" si="151"/>
        <v>909.3</v>
      </c>
      <c r="W591" s="166">
        <v>902300</v>
      </c>
      <c r="X591" s="12" t="s">
        <v>30</v>
      </c>
      <c r="Y591" s="12">
        <f t="shared" si="152"/>
        <v>699</v>
      </c>
      <c r="Z591" s="13">
        <f t="shared" si="153"/>
        <v>699</v>
      </c>
      <c r="AA591" s="13">
        <f t="shared" si="154"/>
        <v>592.37288135593224</v>
      </c>
      <c r="AB591" s="13">
        <f t="shared" si="155"/>
        <v>465.18</v>
      </c>
      <c r="AC591" s="13">
        <f t="shared" si="156"/>
        <v>127.19288135593223</v>
      </c>
      <c r="AD591" s="14">
        <f t="shared" si="157"/>
        <v>0.21471759656652364</v>
      </c>
      <c r="AE591" s="14">
        <f t="shared" si="158"/>
        <v>0.27342723538400671</v>
      </c>
      <c r="AF591" s="13" t="str">
        <f>IF(AD591&gt;=Assumptions!$B$3,"OK","Review")</f>
        <v>Review</v>
      </c>
      <c r="AG591" s="13">
        <f>IFERROR(IF(Assumptions!$B$13="Cost Price",AB591,AA591)*SUMIF(Assumptions!$A$6:$A$10,X591,Assumptions!$B$6:$B$10),0)</f>
        <v>47.389830508474581</v>
      </c>
      <c r="AH591" s="13">
        <f>IFERROR(IF(Assumptions!$B$13="Cost Price",AB591,AA591)*SUMIF(Assumptions!$A$6:$A$10,X591,Assumptions!$C$6:$C$10),0)</f>
        <v>29.618644067796613</v>
      </c>
      <c r="AI591" s="13">
        <f>IFERROR(IF(Assumptions!$B$13="Cost Price",AB591,AA591)*SUMIF(Assumptions!$A$6:$A$10,X591,Assumptions!$D$6:$D$10),0)</f>
        <v>59.237288135593225</v>
      </c>
      <c r="AJ591" s="13">
        <v>59.237288135593225</v>
      </c>
      <c r="AK591" s="13">
        <f t="shared" si="159"/>
        <v>195.48305084745763</v>
      </c>
      <c r="AL591" s="14">
        <v>0.33</v>
      </c>
      <c r="AM591" s="13">
        <f t="shared" si="160"/>
        <v>-68.290169491525404</v>
      </c>
      <c r="AN591" s="14">
        <f t="shared" si="161"/>
        <v>-0.11528240343347636</v>
      </c>
      <c r="AO591" t="str">
        <f>IF(AN591&gt;=Assumptions!$B$3,"OK","Review")</f>
        <v>Review</v>
      </c>
    </row>
    <row r="592" spans="1:41">
      <c r="A592" s="9" t="s">
        <v>431</v>
      </c>
      <c r="B592" s="9" t="s">
        <v>35</v>
      </c>
      <c r="C592" s="9" t="s">
        <v>372</v>
      </c>
      <c r="D592" s="9" t="s">
        <v>432</v>
      </c>
      <c r="E592" s="9" t="s">
        <v>73</v>
      </c>
      <c r="F592" s="9" t="s">
        <v>74</v>
      </c>
      <c r="G592" s="9" t="s">
        <v>31</v>
      </c>
      <c r="H592" s="9" t="s">
        <v>374</v>
      </c>
      <c r="I592" s="9" t="s">
        <v>375</v>
      </c>
      <c r="J592" s="10">
        <v>300</v>
      </c>
      <c r="K592" s="10"/>
      <c r="L592" s="10">
        <v>300</v>
      </c>
      <c r="M592" s="11">
        <v>0</v>
      </c>
      <c r="N592" s="10">
        <v>0</v>
      </c>
      <c r="O592" s="10">
        <v>300</v>
      </c>
      <c r="P592" s="11">
        <v>0.14292520249999999</v>
      </c>
      <c r="Q592" s="10">
        <v>2099</v>
      </c>
      <c r="R592" s="10">
        <f t="shared" si="150"/>
        <v>1469.3</v>
      </c>
      <c r="S592" s="10">
        <v>300</v>
      </c>
      <c r="T592" s="9" t="s">
        <v>76</v>
      </c>
      <c r="U592" s="10">
        <v>2099</v>
      </c>
      <c r="V592" s="10">
        <f t="shared" si="151"/>
        <v>1469.3</v>
      </c>
      <c r="W592" s="166">
        <v>490110</v>
      </c>
      <c r="X592" s="12" t="s">
        <v>30</v>
      </c>
      <c r="Y592" s="12">
        <f t="shared" si="152"/>
        <v>300</v>
      </c>
      <c r="Z592" s="13">
        <f t="shared" si="153"/>
        <v>300</v>
      </c>
      <c r="AA592" s="13">
        <f t="shared" si="154"/>
        <v>300</v>
      </c>
      <c r="AB592" s="13">
        <f t="shared" si="155"/>
        <v>300</v>
      </c>
      <c r="AC592" s="13">
        <f t="shared" si="156"/>
        <v>0</v>
      </c>
      <c r="AD592" s="14">
        <f t="shared" si="157"/>
        <v>0</v>
      </c>
      <c r="AE592" s="14">
        <f t="shared" si="158"/>
        <v>0</v>
      </c>
      <c r="AF592" s="13" t="str">
        <f>IF(AD592&gt;=Assumptions!$B$3,"OK","Review")</f>
        <v>Review</v>
      </c>
      <c r="AG592" s="13">
        <f>IFERROR(IF(Assumptions!$B$13="Cost Price",AB592,AA592)*SUMIF(Assumptions!$A$6:$A$10,X592,Assumptions!$B$6:$B$10),0)</f>
        <v>24</v>
      </c>
      <c r="AH592" s="13">
        <f>IFERROR(IF(Assumptions!$B$13="Cost Price",AB592,AA592)*SUMIF(Assumptions!$A$6:$A$10,X592,Assumptions!$C$6:$C$10),0)</f>
        <v>15</v>
      </c>
      <c r="AI592" s="13">
        <f>IFERROR(IF(Assumptions!$B$13="Cost Price",AB592,AA592)*SUMIF(Assumptions!$A$6:$A$10,X592,Assumptions!$D$6:$D$10),0)</f>
        <v>30</v>
      </c>
      <c r="AJ592" s="13">
        <v>30</v>
      </c>
      <c r="AK592" s="13">
        <f t="shared" si="159"/>
        <v>99</v>
      </c>
      <c r="AL592" s="14">
        <v>0.33</v>
      </c>
      <c r="AM592" s="13">
        <f t="shared" si="160"/>
        <v>-99</v>
      </c>
      <c r="AN592" s="14">
        <f t="shared" si="161"/>
        <v>-0.33</v>
      </c>
      <c r="AO592" t="str">
        <f>IF(AN592&gt;=Assumptions!$B$3,"OK","Review")</f>
        <v>Review</v>
      </c>
    </row>
    <row r="593" spans="1:41">
      <c r="A593" s="9" t="s">
        <v>431</v>
      </c>
      <c r="B593" s="9" t="s">
        <v>35</v>
      </c>
      <c r="C593" s="9" t="s">
        <v>376</v>
      </c>
      <c r="D593" s="9" t="s">
        <v>433</v>
      </c>
      <c r="E593" s="9" t="s">
        <v>73</v>
      </c>
      <c r="F593" s="9" t="s">
        <v>74</v>
      </c>
      <c r="G593" s="9" t="s">
        <v>31</v>
      </c>
      <c r="H593" s="9" t="s">
        <v>378</v>
      </c>
      <c r="I593" s="9" t="s">
        <v>379</v>
      </c>
      <c r="J593" s="10">
        <v>300</v>
      </c>
      <c r="K593" s="10">
        <v>0</v>
      </c>
      <c r="L593" s="10">
        <v>300</v>
      </c>
      <c r="M593" s="11">
        <v>0</v>
      </c>
      <c r="N593" s="10">
        <v>0</v>
      </c>
      <c r="O593" s="10">
        <v>300</v>
      </c>
      <c r="P593" s="11">
        <v>0.14292520249999999</v>
      </c>
      <c r="Q593" s="10">
        <v>2099</v>
      </c>
      <c r="R593" s="10">
        <f t="shared" si="150"/>
        <v>1469.3</v>
      </c>
      <c r="S593" s="10">
        <v>300</v>
      </c>
      <c r="T593" s="9" t="s">
        <v>76</v>
      </c>
      <c r="U593" s="10">
        <v>2099</v>
      </c>
      <c r="V593" s="10">
        <f t="shared" si="151"/>
        <v>1469.3</v>
      </c>
      <c r="W593" s="166">
        <v>490110</v>
      </c>
      <c r="X593" s="12" t="s">
        <v>30</v>
      </c>
      <c r="Y593" s="12">
        <f t="shared" si="152"/>
        <v>300</v>
      </c>
      <c r="Z593" s="13">
        <f t="shared" si="153"/>
        <v>300</v>
      </c>
      <c r="AA593" s="13">
        <f t="shared" si="154"/>
        <v>300</v>
      </c>
      <c r="AB593" s="13">
        <f t="shared" si="155"/>
        <v>300</v>
      </c>
      <c r="AC593" s="13">
        <f t="shared" si="156"/>
        <v>0</v>
      </c>
      <c r="AD593" s="14">
        <f t="shared" si="157"/>
        <v>0</v>
      </c>
      <c r="AE593" s="14">
        <f t="shared" si="158"/>
        <v>0</v>
      </c>
      <c r="AF593" s="13" t="str">
        <f>IF(AD593&gt;=Assumptions!$B$3,"OK","Review")</f>
        <v>Review</v>
      </c>
      <c r="AG593" s="13">
        <f>IFERROR(IF(Assumptions!$B$13="Cost Price",AB593,AA593)*SUMIF(Assumptions!$A$6:$A$10,X593,Assumptions!$B$6:$B$10),0)</f>
        <v>24</v>
      </c>
      <c r="AH593" s="13">
        <f>IFERROR(IF(Assumptions!$B$13="Cost Price",AB593,AA593)*SUMIF(Assumptions!$A$6:$A$10,X593,Assumptions!$C$6:$C$10),0)</f>
        <v>15</v>
      </c>
      <c r="AI593" s="13">
        <f>IFERROR(IF(Assumptions!$B$13="Cost Price",AB593,AA593)*SUMIF(Assumptions!$A$6:$A$10,X593,Assumptions!$D$6:$D$10),0)</f>
        <v>30</v>
      </c>
      <c r="AJ593" s="13">
        <v>30</v>
      </c>
      <c r="AK593" s="13">
        <f t="shared" si="159"/>
        <v>99</v>
      </c>
      <c r="AL593" s="14">
        <v>0.33</v>
      </c>
      <c r="AM593" s="13">
        <f t="shared" si="160"/>
        <v>-99</v>
      </c>
      <c r="AN593" s="14">
        <f t="shared" si="161"/>
        <v>-0.33</v>
      </c>
      <c r="AO593" t="str">
        <f>IF(AN593&gt;=Assumptions!$B$3,"OK","Review")</f>
        <v>Review</v>
      </c>
    </row>
    <row r="594" spans="1:41">
      <c r="A594" s="9" t="s">
        <v>431</v>
      </c>
      <c r="B594" s="9" t="s">
        <v>35</v>
      </c>
      <c r="C594" s="9" t="s">
        <v>380</v>
      </c>
      <c r="D594" s="9" t="s">
        <v>434</v>
      </c>
      <c r="E594" s="9" t="s">
        <v>73</v>
      </c>
      <c r="F594" s="9" t="s">
        <v>90</v>
      </c>
      <c r="G594" s="9" t="s">
        <v>31</v>
      </c>
      <c r="H594" s="9" t="s">
        <v>378</v>
      </c>
      <c r="I594" s="9" t="s">
        <v>382</v>
      </c>
      <c r="J594" s="10">
        <v>1121.18</v>
      </c>
      <c r="K594" s="10">
        <v>0</v>
      </c>
      <c r="L594" s="10">
        <v>1121.18</v>
      </c>
      <c r="M594" s="11">
        <v>0.18</v>
      </c>
      <c r="N594" s="10">
        <v>377.82</v>
      </c>
      <c r="O594" s="10">
        <v>1499</v>
      </c>
      <c r="P594" s="11">
        <v>0</v>
      </c>
      <c r="Q594" s="10">
        <v>1499</v>
      </c>
      <c r="R594" s="10">
        <f t="shared" si="150"/>
        <v>1469.3</v>
      </c>
      <c r="S594" s="10">
        <v>1499</v>
      </c>
      <c r="T594" s="9" t="s">
        <v>76</v>
      </c>
      <c r="U594" s="10">
        <v>2099</v>
      </c>
      <c r="V594" s="10">
        <f t="shared" si="151"/>
        <v>1469.3</v>
      </c>
      <c r="W594" s="166">
        <v>902300</v>
      </c>
      <c r="X594" s="12" t="s">
        <v>30</v>
      </c>
      <c r="Y594" s="12">
        <f t="shared" si="152"/>
        <v>1499</v>
      </c>
      <c r="Z594" s="13">
        <f t="shared" si="153"/>
        <v>1499</v>
      </c>
      <c r="AA594" s="13">
        <f t="shared" si="154"/>
        <v>1270.3389830508474</v>
      </c>
      <c r="AB594" s="13">
        <f t="shared" si="155"/>
        <v>1121.18</v>
      </c>
      <c r="AC594" s="13">
        <f t="shared" si="156"/>
        <v>149.15898305084738</v>
      </c>
      <c r="AD594" s="14">
        <f t="shared" si="157"/>
        <v>0.11741667778519006</v>
      </c>
      <c r="AE594" s="14">
        <f t="shared" si="158"/>
        <v>0.13303749893045486</v>
      </c>
      <c r="AF594" s="13" t="str">
        <f>IF(AD594&gt;=Assumptions!$B$3,"OK","Review")</f>
        <v>Review</v>
      </c>
      <c r="AG594" s="13">
        <f>IFERROR(IF(Assumptions!$B$13="Cost Price",AB594,AA594)*SUMIF(Assumptions!$A$6:$A$10,X594,Assumptions!$B$6:$B$10),0)</f>
        <v>101.62711864406779</v>
      </c>
      <c r="AH594" s="13">
        <f>IFERROR(IF(Assumptions!$B$13="Cost Price",AB594,AA594)*SUMIF(Assumptions!$A$6:$A$10,X594,Assumptions!$C$6:$C$10),0)</f>
        <v>63.516949152542374</v>
      </c>
      <c r="AI594" s="13">
        <f>IFERROR(IF(Assumptions!$B$13="Cost Price",AB594,AA594)*SUMIF(Assumptions!$A$6:$A$10,X594,Assumptions!$D$6:$D$10),0)</f>
        <v>127.03389830508475</v>
      </c>
      <c r="AJ594" s="13">
        <v>127.03389830508475</v>
      </c>
      <c r="AK594" s="13">
        <f t="shared" si="159"/>
        <v>419.21186440677963</v>
      </c>
      <c r="AL594" s="14">
        <v>0.33</v>
      </c>
      <c r="AM594" s="13">
        <f t="shared" si="160"/>
        <v>-270.05288135593224</v>
      </c>
      <c r="AN594" s="14">
        <f t="shared" si="161"/>
        <v>-0.21258332221480991</v>
      </c>
      <c r="AO594" t="str">
        <f>IF(AN594&gt;=Assumptions!$B$3,"OK","Review")</f>
        <v>Review</v>
      </c>
    </row>
    <row r="595" spans="1:41">
      <c r="A595" s="9" t="s">
        <v>431</v>
      </c>
      <c r="B595" s="9" t="s">
        <v>36</v>
      </c>
      <c r="C595" s="9" t="s">
        <v>372</v>
      </c>
      <c r="D595" s="9" t="s">
        <v>435</v>
      </c>
      <c r="E595" s="9" t="s">
        <v>73</v>
      </c>
      <c r="F595" s="9" t="s">
        <v>74</v>
      </c>
      <c r="G595" s="9" t="s">
        <v>31</v>
      </c>
      <c r="H595" s="9" t="s">
        <v>374</v>
      </c>
      <c r="I595" s="9" t="s">
        <v>384</v>
      </c>
      <c r="J595" s="10">
        <v>300</v>
      </c>
      <c r="K595" s="10"/>
      <c r="L595" s="10">
        <v>300</v>
      </c>
      <c r="M595" s="11">
        <v>0</v>
      </c>
      <c r="N595" s="10">
        <v>0</v>
      </c>
      <c r="O595" s="10">
        <v>300</v>
      </c>
      <c r="P595" s="11">
        <v>0.5</v>
      </c>
      <c r="Q595" s="10">
        <v>600</v>
      </c>
      <c r="R595" s="10">
        <f t="shared" si="150"/>
        <v>-29.700000000000045</v>
      </c>
      <c r="S595" s="10">
        <v>300</v>
      </c>
      <c r="T595" s="9" t="s">
        <v>76</v>
      </c>
      <c r="U595" s="10">
        <v>2099</v>
      </c>
      <c r="V595" s="10">
        <f t="shared" si="151"/>
        <v>1469.3</v>
      </c>
      <c r="W595" s="166">
        <v>490110</v>
      </c>
      <c r="X595" s="12" t="s">
        <v>30</v>
      </c>
      <c r="Y595" s="12">
        <f t="shared" si="152"/>
        <v>300</v>
      </c>
      <c r="Z595" s="13">
        <f t="shared" si="153"/>
        <v>300</v>
      </c>
      <c r="AA595" s="13">
        <f t="shared" si="154"/>
        <v>300</v>
      </c>
      <c r="AB595" s="13">
        <f t="shared" si="155"/>
        <v>300</v>
      </c>
      <c r="AC595" s="13">
        <f t="shared" si="156"/>
        <v>0</v>
      </c>
      <c r="AD595" s="14">
        <f t="shared" si="157"/>
        <v>0</v>
      </c>
      <c r="AE595" s="14">
        <f t="shared" si="158"/>
        <v>0</v>
      </c>
      <c r="AF595" s="13" t="str">
        <f>IF(AD595&gt;=Assumptions!$B$3,"OK","Review")</f>
        <v>Review</v>
      </c>
      <c r="AG595" s="13">
        <f>IFERROR(IF(Assumptions!$B$13="Cost Price",AB595,AA595)*SUMIF(Assumptions!$A$6:$A$10,X595,Assumptions!$B$6:$B$10),0)</f>
        <v>24</v>
      </c>
      <c r="AH595" s="13">
        <f>IFERROR(IF(Assumptions!$B$13="Cost Price",AB595,AA595)*SUMIF(Assumptions!$A$6:$A$10,X595,Assumptions!$C$6:$C$10),0)</f>
        <v>15</v>
      </c>
      <c r="AI595" s="13">
        <f>IFERROR(IF(Assumptions!$B$13="Cost Price",AB595,AA595)*SUMIF(Assumptions!$A$6:$A$10,X595,Assumptions!$D$6:$D$10),0)</f>
        <v>30</v>
      </c>
      <c r="AJ595" s="13">
        <v>30</v>
      </c>
      <c r="AK595" s="13">
        <f t="shared" si="159"/>
        <v>99</v>
      </c>
      <c r="AL595" s="14">
        <v>0.33</v>
      </c>
      <c r="AM595" s="13">
        <f t="shared" si="160"/>
        <v>-99</v>
      </c>
      <c r="AN595" s="14">
        <f t="shared" si="161"/>
        <v>-0.33</v>
      </c>
      <c r="AO595" t="str">
        <f>IF(AN595&gt;=Assumptions!$B$3,"OK","Review")</f>
        <v>Review</v>
      </c>
    </row>
    <row r="596" spans="1:41">
      <c r="A596" s="9" t="s">
        <v>431</v>
      </c>
      <c r="B596" s="9" t="s">
        <v>36</v>
      </c>
      <c r="C596" s="9" t="s">
        <v>376</v>
      </c>
      <c r="D596" s="9" t="s">
        <v>436</v>
      </c>
      <c r="E596" s="9" t="s">
        <v>73</v>
      </c>
      <c r="F596" s="9" t="s">
        <v>74</v>
      </c>
      <c r="G596" s="9" t="s">
        <v>31</v>
      </c>
      <c r="H596" s="9" t="s">
        <v>378</v>
      </c>
      <c r="I596" s="9" t="s">
        <v>386</v>
      </c>
      <c r="J596" s="10">
        <v>300</v>
      </c>
      <c r="K596" s="10">
        <v>0</v>
      </c>
      <c r="L596" s="10">
        <v>300</v>
      </c>
      <c r="M596" s="11">
        <v>0</v>
      </c>
      <c r="N596" s="10">
        <v>0</v>
      </c>
      <c r="O596" s="10">
        <v>300</v>
      </c>
      <c r="P596" s="11">
        <v>0.5</v>
      </c>
      <c r="Q596" s="10">
        <v>600</v>
      </c>
      <c r="R596" s="10">
        <f t="shared" si="150"/>
        <v>-29.700000000000045</v>
      </c>
      <c r="S596" s="10">
        <v>300</v>
      </c>
      <c r="T596" s="9" t="s">
        <v>76</v>
      </c>
      <c r="U596" s="10">
        <v>2099</v>
      </c>
      <c r="V596" s="10">
        <f t="shared" si="151"/>
        <v>1469.3</v>
      </c>
      <c r="W596" s="166">
        <v>490110</v>
      </c>
      <c r="X596" s="12" t="s">
        <v>30</v>
      </c>
      <c r="Y596" s="12">
        <f t="shared" si="152"/>
        <v>300</v>
      </c>
      <c r="Z596" s="13">
        <f t="shared" si="153"/>
        <v>300</v>
      </c>
      <c r="AA596" s="13">
        <f t="shared" si="154"/>
        <v>300</v>
      </c>
      <c r="AB596" s="13">
        <f t="shared" si="155"/>
        <v>300</v>
      </c>
      <c r="AC596" s="13">
        <f t="shared" si="156"/>
        <v>0</v>
      </c>
      <c r="AD596" s="14">
        <f t="shared" si="157"/>
        <v>0</v>
      </c>
      <c r="AE596" s="14">
        <f t="shared" si="158"/>
        <v>0</v>
      </c>
      <c r="AF596" s="13" t="str">
        <f>IF(AD596&gt;=Assumptions!$B$3,"OK","Review")</f>
        <v>Review</v>
      </c>
      <c r="AG596" s="13">
        <f>IFERROR(IF(Assumptions!$B$13="Cost Price",AB596,AA596)*SUMIF(Assumptions!$A$6:$A$10,X596,Assumptions!$B$6:$B$10),0)</f>
        <v>24</v>
      </c>
      <c r="AH596" s="13">
        <f>IFERROR(IF(Assumptions!$B$13="Cost Price",AB596,AA596)*SUMIF(Assumptions!$A$6:$A$10,X596,Assumptions!$C$6:$C$10),0)</f>
        <v>15</v>
      </c>
      <c r="AI596" s="13">
        <f>IFERROR(IF(Assumptions!$B$13="Cost Price",AB596,AA596)*SUMIF(Assumptions!$A$6:$A$10,X596,Assumptions!$D$6:$D$10),0)</f>
        <v>30</v>
      </c>
      <c r="AJ596" s="13">
        <v>30</v>
      </c>
      <c r="AK596" s="13">
        <f t="shared" si="159"/>
        <v>99</v>
      </c>
      <c r="AL596" s="14">
        <v>0.33</v>
      </c>
      <c r="AM596" s="13">
        <f t="shared" si="160"/>
        <v>-99</v>
      </c>
      <c r="AN596" s="14">
        <f t="shared" si="161"/>
        <v>-0.33</v>
      </c>
      <c r="AO596" t="str">
        <f>IF(AN596&gt;=Assumptions!$B$3,"OK","Review")</f>
        <v>Review</v>
      </c>
    </row>
    <row r="597" spans="1:41">
      <c r="A597" s="9" t="s">
        <v>431</v>
      </c>
      <c r="B597" s="9" t="s">
        <v>36</v>
      </c>
      <c r="C597" s="9" t="s">
        <v>380</v>
      </c>
      <c r="D597" s="9" t="s">
        <v>437</v>
      </c>
      <c r="E597" s="9" t="s">
        <v>73</v>
      </c>
      <c r="F597" s="9" t="s">
        <v>90</v>
      </c>
      <c r="G597" s="9" t="s">
        <v>31</v>
      </c>
      <c r="H597" s="9" t="s">
        <v>378</v>
      </c>
      <c r="I597" s="9" t="s">
        <v>382</v>
      </c>
      <c r="J597" s="10">
        <v>1121.18</v>
      </c>
      <c r="K597" s="10">
        <v>0</v>
      </c>
      <c r="L597" s="10">
        <v>1121.18</v>
      </c>
      <c r="M597" s="11">
        <v>0.18</v>
      </c>
      <c r="N597" s="10">
        <v>377.82</v>
      </c>
      <c r="O597" s="10">
        <v>1499</v>
      </c>
      <c r="P597" s="11">
        <v>0</v>
      </c>
      <c r="Q597" s="10">
        <v>1499</v>
      </c>
      <c r="R597" s="10">
        <f t="shared" si="150"/>
        <v>-29.700000000000045</v>
      </c>
      <c r="S597" s="10">
        <v>1499</v>
      </c>
      <c r="T597" s="9" t="s">
        <v>91</v>
      </c>
      <c r="U597" s="10">
        <v>2099</v>
      </c>
      <c r="V597" s="10">
        <f t="shared" si="151"/>
        <v>1469.3</v>
      </c>
      <c r="W597" s="166">
        <v>902300</v>
      </c>
      <c r="X597" s="12" t="s">
        <v>30</v>
      </c>
      <c r="Y597" s="12">
        <f t="shared" si="152"/>
        <v>1499</v>
      </c>
      <c r="Z597" s="13">
        <f t="shared" si="153"/>
        <v>1499</v>
      </c>
      <c r="AA597" s="13">
        <f t="shared" si="154"/>
        <v>1270.3389830508474</v>
      </c>
      <c r="AB597" s="13">
        <f t="shared" si="155"/>
        <v>1121.18</v>
      </c>
      <c r="AC597" s="13">
        <f t="shared" si="156"/>
        <v>149.15898305084738</v>
      </c>
      <c r="AD597" s="14">
        <f t="shared" si="157"/>
        <v>0.11741667778519006</v>
      </c>
      <c r="AE597" s="14">
        <f t="shared" si="158"/>
        <v>0.13303749893045486</v>
      </c>
      <c r="AF597" s="13" t="str">
        <f>IF(AD597&gt;=Assumptions!$B$3,"OK","Review")</f>
        <v>Review</v>
      </c>
      <c r="AG597" s="13">
        <f>IFERROR(IF(Assumptions!$B$13="Cost Price",AB597,AA597)*SUMIF(Assumptions!$A$6:$A$10,X597,Assumptions!$B$6:$B$10),0)</f>
        <v>101.62711864406779</v>
      </c>
      <c r="AH597" s="13">
        <f>IFERROR(IF(Assumptions!$B$13="Cost Price",AB597,AA597)*SUMIF(Assumptions!$A$6:$A$10,X597,Assumptions!$C$6:$C$10),0)</f>
        <v>63.516949152542374</v>
      </c>
      <c r="AI597" s="13">
        <f>IFERROR(IF(Assumptions!$B$13="Cost Price",AB597,AA597)*SUMIF(Assumptions!$A$6:$A$10,X597,Assumptions!$D$6:$D$10),0)</f>
        <v>127.03389830508475</v>
      </c>
      <c r="AJ597" s="13">
        <v>127.03389830508475</v>
      </c>
      <c r="AK597" s="13">
        <f t="shared" si="159"/>
        <v>419.21186440677963</v>
      </c>
      <c r="AL597" s="14">
        <v>0.33</v>
      </c>
      <c r="AM597" s="13">
        <f t="shared" si="160"/>
        <v>-270.05288135593224</v>
      </c>
      <c r="AN597" s="14">
        <f t="shared" si="161"/>
        <v>-0.21258332221480991</v>
      </c>
      <c r="AO597" t="str">
        <f>IF(AN597&gt;=Assumptions!$B$3,"OK","Review")</f>
        <v>Review</v>
      </c>
    </row>
    <row r="598" spans="1:41">
      <c r="A598" s="9" t="s">
        <v>431</v>
      </c>
      <c r="B598" s="9" t="s">
        <v>37</v>
      </c>
      <c r="C598" s="9" t="s">
        <v>372</v>
      </c>
      <c r="D598" s="9" t="s">
        <v>438</v>
      </c>
      <c r="E598" s="9" t="s">
        <v>73</v>
      </c>
      <c r="F598" s="9" t="s">
        <v>74</v>
      </c>
      <c r="G598" s="9" t="s">
        <v>31</v>
      </c>
      <c r="H598" s="9" t="s">
        <v>374</v>
      </c>
      <c r="I598" s="9" t="s">
        <v>389</v>
      </c>
      <c r="J598" s="10">
        <v>300</v>
      </c>
      <c r="K598" s="10"/>
      <c r="L598" s="10">
        <v>300</v>
      </c>
      <c r="M598" s="11">
        <v>0</v>
      </c>
      <c r="N598" s="10">
        <v>0</v>
      </c>
      <c r="O598" s="10">
        <v>300</v>
      </c>
      <c r="P598" s="11">
        <v>0.5</v>
      </c>
      <c r="Q598" s="10">
        <v>600</v>
      </c>
      <c r="R598" s="10">
        <f t="shared" si="150"/>
        <v>-59.700000000000045</v>
      </c>
      <c r="S598" s="10">
        <v>300</v>
      </c>
      <c r="T598" s="9" t="s">
        <v>76</v>
      </c>
      <c r="U598" s="10">
        <v>2199</v>
      </c>
      <c r="V598" s="10">
        <f t="shared" si="151"/>
        <v>1539.3</v>
      </c>
      <c r="W598" s="166">
        <v>490110</v>
      </c>
      <c r="X598" s="12" t="s">
        <v>30</v>
      </c>
      <c r="Y598" s="12">
        <f t="shared" si="152"/>
        <v>300</v>
      </c>
      <c r="Z598" s="13">
        <f t="shared" si="153"/>
        <v>300</v>
      </c>
      <c r="AA598" s="13">
        <f t="shared" si="154"/>
        <v>300</v>
      </c>
      <c r="AB598" s="13">
        <f t="shared" si="155"/>
        <v>300</v>
      </c>
      <c r="AC598" s="13">
        <f t="shared" si="156"/>
        <v>0</v>
      </c>
      <c r="AD598" s="14">
        <f t="shared" si="157"/>
        <v>0</v>
      </c>
      <c r="AE598" s="14">
        <f t="shared" si="158"/>
        <v>0</v>
      </c>
      <c r="AF598" s="13" t="str">
        <f>IF(AD598&gt;=Assumptions!$B$3,"OK","Review")</f>
        <v>Review</v>
      </c>
      <c r="AG598" s="13">
        <f>IFERROR(IF(Assumptions!$B$13="Cost Price",AB598,AA598)*SUMIF(Assumptions!$A$6:$A$10,X598,Assumptions!$B$6:$B$10),0)</f>
        <v>24</v>
      </c>
      <c r="AH598" s="13">
        <f>IFERROR(IF(Assumptions!$B$13="Cost Price",AB598,AA598)*SUMIF(Assumptions!$A$6:$A$10,X598,Assumptions!$C$6:$C$10),0)</f>
        <v>15</v>
      </c>
      <c r="AI598" s="13">
        <f>IFERROR(IF(Assumptions!$B$13="Cost Price",AB598,AA598)*SUMIF(Assumptions!$A$6:$A$10,X598,Assumptions!$D$6:$D$10),0)</f>
        <v>30</v>
      </c>
      <c r="AJ598" s="13">
        <v>30</v>
      </c>
      <c r="AK598" s="13">
        <f t="shared" si="159"/>
        <v>99</v>
      </c>
      <c r="AL598" s="14">
        <v>0.33</v>
      </c>
      <c r="AM598" s="13">
        <f t="shared" si="160"/>
        <v>-99</v>
      </c>
      <c r="AN598" s="14">
        <f t="shared" si="161"/>
        <v>-0.33</v>
      </c>
      <c r="AO598" t="str">
        <f>IF(AN598&gt;=Assumptions!$B$3,"OK","Review")</f>
        <v>Review</v>
      </c>
    </row>
    <row r="599" spans="1:41">
      <c r="A599" s="9" t="s">
        <v>431</v>
      </c>
      <c r="B599" s="9" t="s">
        <v>37</v>
      </c>
      <c r="C599" s="9" t="s">
        <v>376</v>
      </c>
      <c r="D599" s="9" t="s">
        <v>439</v>
      </c>
      <c r="E599" s="9" t="s">
        <v>73</v>
      </c>
      <c r="F599" s="9" t="s">
        <v>74</v>
      </c>
      <c r="G599" s="9" t="s">
        <v>31</v>
      </c>
      <c r="H599" s="9" t="s">
        <v>378</v>
      </c>
      <c r="I599" s="9" t="s">
        <v>391</v>
      </c>
      <c r="J599" s="10">
        <v>300</v>
      </c>
      <c r="K599" s="10">
        <v>0</v>
      </c>
      <c r="L599" s="10">
        <v>300</v>
      </c>
      <c r="M599" s="11">
        <v>0</v>
      </c>
      <c r="N599" s="10">
        <v>0</v>
      </c>
      <c r="O599" s="10">
        <v>300</v>
      </c>
      <c r="P599" s="11">
        <v>0.5</v>
      </c>
      <c r="Q599" s="10">
        <v>600</v>
      </c>
      <c r="R599" s="10">
        <f t="shared" si="150"/>
        <v>-59.700000000000045</v>
      </c>
      <c r="S599" s="10">
        <v>300</v>
      </c>
      <c r="T599" s="9" t="s">
        <v>76</v>
      </c>
      <c r="U599" s="10">
        <v>2199</v>
      </c>
      <c r="V599" s="10">
        <f t="shared" si="151"/>
        <v>1539.3</v>
      </c>
      <c r="W599" s="166">
        <v>490110</v>
      </c>
      <c r="X599" s="12" t="s">
        <v>30</v>
      </c>
      <c r="Y599" s="12">
        <f t="shared" si="152"/>
        <v>300</v>
      </c>
      <c r="Z599" s="13">
        <f t="shared" si="153"/>
        <v>300</v>
      </c>
      <c r="AA599" s="13">
        <f t="shared" si="154"/>
        <v>300</v>
      </c>
      <c r="AB599" s="13">
        <f t="shared" si="155"/>
        <v>300</v>
      </c>
      <c r="AC599" s="13">
        <f t="shared" si="156"/>
        <v>0</v>
      </c>
      <c r="AD599" s="14">
        <f t="shared" si="157"/>
        <v>0</v>
      </c>
      <c r="AE599" s="14">
        <f t="shared" si="158"/>
        <v>0</v>
      </c>
      <c r="AF599" s="13" t="str">
        <f>IF(AD599&gt;=Assumptions!$B$3,"OK","Review")</f>
        <v>Review</v>
      </c>
      <c r="AG599" s="13">
        <f>IFERROR(IF(Assumptions!$B$13="Cost Price",AB599,AA599)*SUMIF(Assumptions!$A$6:$A$10,X599,Assumptions!$B$6:$B$10),0)</f>
        <v>24</v>
      </c>
      <c r="AH599" s="13">
        <f>IFERROR(IF(Assumptions!$B$13="Cost Price",AB599,AA599)*SUMIF(Assumptions!$A$6:$A$10,X599,Assumptions!$C$6:$C$10),0)</f>
        <v>15</v>
      </c>
      <c r="AI599" s="13">
        <f>IFERROR(IF(Assumptions!$B$13="Cost Price",AB599,AA599)*SUMIF(Assumptions!$A$6:$A$10,X599,Assumptions!$D$6:$D$10),0)</f>
        <v>30</v>
      </c>
      <c r="AJ599" s="13">
        <v>30</v>
      </c>
      <c r="AK599" s="13">
        <f t="shared" si="159"/>
        <v>99</v>
      </c>
      <c r="AL599" s="14">
        <v>0.33</v>
      </c>
      <c r="AM599" s="13">
        <f t="shared" si="160"/>
        <v>-99</v>
      </c>
      <c r="AN599" s="14">
        <f t="shared" si="161"/>
        <v>-0.33</v>
      </c>
      <c r="AO599" t="str">
        <f>IF(AN599&gt;=Assumptions!$B$3,"OK","Review")</f>
        <v>Review</v>
      </c>
    </row>
    <row r="600" spans="1:41">
      <c r="A600" s="9" t="s">
        <v>431</v>
      </c>
      <c r="B600" s="9" t="s">
        <v>37</v>
      </c>
      <c r="C600" s="9" t="s">
        <v>380</v>
      </c>
      <c r="D600" s="9" t="s">
        <v>440</v>
      </c>
      <c r="E600" s="9" t="s">
        <v>73</v>
      </c>
      <c r="F600" s="9" t="s">
        <v>90</v>
      </c>
      <c r="G600" s="9" t="s">
        <v>31</v>
      </c>
      <c r="H600" s="9" t="s">
        <v>378</v>
      </c>
      <c r="I600" s="9" t="s">
        <v>393</v>
      </c>
      <c r="J600" s="10">
        <v>1203.18</v>
      </c>
      <c r="K600" s="10">
        <v>0</v>
      </c>
      <c r="L600" s="10">
        <v>1203.18</v>
      </c>
      <c r="M600" s="11">
        <v>0.18</v>
      </c>
      <c r="N600" s="10">
        <v>395.82</v>
      </c>
      <c r="O600" s="10">
        <v>1599</v>
      </c>
      <c r="P600" s="11">
        <v>0</v>
      </c>
      <c r="Q600" s="10">
        <v>1599</v>
      </c>
      <c r="R600" s="10">
        <f t="shared" si="150"/>
        <v>-59.700000000000045</v>
      </c>
      <c r="S600" s="10">
        <v>1599</v>
      </c>
      <c r="T600" s="9" t="s">
        <v>91</v>
      </c>
      <c r="U600" s="10">
        <v>2199</v>
      </c>
      <c r="V600" s="10">
        <f t="shared" si="151"/>
        <v>1539.3</v>
      </c>
      <c r="W600" s="166">
        <v>902300</v>
      </c>
      <c r="X600" s="12" t="s">
        <v>30</v>
      </c>
      <c r="Y600" s="12">
        <f t="shared" si="152"/>
        <v>1599</v>
      </c>
      <c r="Z600" s="13">
        <f t="shared" si="153"/>
        <v>1599</v>
      </c>
      <c r="AA600" s="13">
        <f t="shared" si="154"/>
        <v>1355.0847457627119</v>
      </c>
      <c r="AB600" s="13">
        <f t="shared" si="155"/>
        <v>1203.18</v>
      </c>
      <c r="AC600" s="13">
        <f t="shared" si="156"/>
        <v>151.90474576271185</v>
      </c>
      <c r="AD600" s="14">
        <f t="shared" si="157"/>
        <v>0.11209981238273919</v>
      </c>
      <c r="AE600" s="14">
        <f t="shared" si="158"/>
        <v>0.12625271843174907</v>
      </c>
      <c r="AF600" s="13" t="str">
        <f>IF(AD600&gt;=Assumptions!$B$3,"OK","Review")</f>
        <v>Review</v>
      </c>
      <c r="AG600" s="13">
        <f>IFERROR(IF(Assumptions!$B$13="Cost Price",AB600,AA600)*SUMIF(Assumptions!$A$6:$A$10,X600,Assumptions!$B$6:$B$10),0)</f>
        <v>108.40677966101696</v>
      </c>
      <c r="AH600" s="13">
        <f>IFERROR(IF(Assumptions!$B$13="Cost Price",AB600,AA600)*SUMIF(Assumptions!$A$6:$A$10,X600,Assumptions!$C$6:$C$10),0)</f>
        <v>67.754237288135599</v>
      </c>
      <c r="AI600" s="13">
        <f>IFERROR(IF(Assumptions!$B$13="Cost Price",AB600,AA600)*SUMIF(Assumptions!$A$6:$A$10,X600,Assumptions!$D$6:$D$10),0)</f>
        <v>135.5084745762712</v>
      </c>
      <c r="AJ600" s="13">
        <v>135.5084745762712</v>
      </c>
      <c r="AK600" s="13">
        <f t="shared" si="159"/>
        <v>447.17796610169489</v>
      </c>
      <c r="AL600" s="14">
        <v>0.33</v>
      </c>
      <c r="AM600" s="13">
        <f t="shared" si="160"/>
        <v>-295.27322033898304</v>
      </c>
      <c r="AN600" s="14">
        <f t="shared" si="161"/>
        <v>-0.21790018761726077</v>
      </c>
      <c r="AO600" t="str">
        <f>IF(AN600&gt;=Assumptions!$B$3,"OK","Review")</f>
        <v>Review</v>
      </c>
    </row>
    <row r="601" spans="1:41">
      <c r="A601" s="9" t="s">
        <v>431</v>
      </c>
      <c r="B601" s="9" t="s">
        <v>38</v>
      </c>
      <c r="C601" s="9" t="s">
        <v>372</v>
      </c>
      <c r="D601" s="9" t="s">
        <v>441</v>
      </c>
      <c r="E601" s="9" t="s">
        <v>73</v>
      </c>
      <c r="F601" s="9" t="s">
        <v>74</v>
      </c>
      <c r="G601" s="9" t="s">
        <v>31</v>
      </c>
      <c r="H601" s="9" t="s">
        <v>374</v>
      </c>
      <c r="I601" s="9" t="s">
        <v>395</v>
      </c>
      <c r="J601" s="10">
        <v>300</v>
      </c>
      <c r="K601" s="10"/>
      <c r="L601" s="10">
        <v>300</v>
      </c>
      <c r="M601" s="11">
        <v>0</v>
      </c>
      <c r="N601" s="10">
        <v>0</v>
      </c>
      <c r="O601" s="10">
        <v>300</v>
      </c>
      <c r="P601" s="11">
        <v>0.5</v>
      </c>
      <c r="Q601" s="10">
        <v>600</v>
      </c>
      <c r="R601" s="10">
        <f t="shared" si="150"/>
        <v>-59.700000000000045</v>
      </c>
      <c r="S601" s="10">
        <v>300</v>
      </c>
      <c r="T601" s="9" t="s">
        <v>76</v>
      </c>
      <c r="U601" s="10">
        <v>2199</v>
      </c>
      <c r="V601" s="10">
        <f t="shared" si="151"/>
        <v>1539.3</v>
      </c>
      <c r="W601" s="166">
        <v>490110</v>
      </c>
      <c r="X601" s="12" t="s">
        <v>30</v>
      </c>
      <c r="Y601" s="12">
        <f t="shared" si="152"/>
        <v>300</v>
      </c>
      <c r="Z601" s="13">
        <f t="shared" si="153"/>
        <v>300</v>
      </c>
      <c r="AA601" s="13">
        <f t="shared" si="154"/>
        <v>300</v>
      </c>
      <c r="AB601" s="13">
        <f t="shared" si="155"/>
        <v>300</v>
      </c>
      <c r="AC601" s="13">
        <f t="shared" si="156"/>
        <v>0</v>
      </c>
      <c r="AD601" s="14">
        <f t="shared" si="157"/>
        <v>0</v>
      </c>
      <c r="AE601" s="14">
        <f t="shared" si="158"/>
        <v>0</v>
      </c>
      <c r="AF601" s="13" t="str">
        <f>IF(AD601&gt;=Assumptions!$B$3,"OK","Review")</f>
        <v>Review</v>
      </c>
      <c r="AG601" s="13">
        <f>IFERROR(IF(Assumptions!$B$13="Cost Price",AB601,AA601)*SUMIF(Assumptions!$A$6:$A$10,X601,Assumptions!$B$6:$B$10),0)</f>
        <v>24</v>
      </c>
      <c r="AH601" s="13">
        <f>IFERROR(IF(Assumptions!$B$13="Cost Price",AB601,AA601)*SUMIF(Assumptions!$A$6:$A$10,X601,Assumptions!$C$6:$C$10),0)</f>
        <v>15</v>
      </c>
      <c r="AI601" s="13">
        <f>IFERROR(IF(Assumptions!$B$13="Cost Price",AB601,AA601)*SUMIF(Assumptions!$A$6:$A$10,X601,Assumptions!$D$6:$D$10),0)</f>
        <v>30</v>
      </c>
      <c r="AJ601" s="13">
        <v>30</v>
      </c>
      <c r="AK601" s="13">
        <f t="shared" si="159"/>
        <v>99</v>
      </c>
      <c r="AL601" s="14">
        <v>0.33</v>
      </c>
      <c r="AM601" s="13">
        <f t="shared" si="160"/>
        <v>-99</v>
      </c>
      <c r="AN601" s="14">
        <f t="shared" si="161"/>
        <v>-0.33</v>
      </c>
      <c r="AO601" t="str">
        <f>IF(AN601&gt;=Assumptions!$B$3,"OK","Review")</f>
        <v>Review</v>
      </c>
    </row>
    <row r="602" spans="1:41">
      <c r="A602" s="9" t="s">
        <v>431</v>
      </c>
      <c r="B602" s="9" t="s">
        <v>38</v>
      </c>
      <c r="C602" s="9" t="s">
        <v>376</v>
      </c>
      <c r="D602" s="9" t="s">
        <v>442</v>
      </c>
      <c r="E602" s="9" t="s">
        <v>73</v>
      </c>
      <c r="F602" s="9" t="s">
        <v>74</v>
      </c>
      <c r="G602" s="9" t="s">
        <v>31</v>
      </c>
      <c r="H602" s="9" t="s">
        <v>378</v>
      </c>
      <c r="I602" s="9" t="s">
        <v>397</v>
      </c>
      <c r="J602" s="10">
        <v>300</v>
      </c>
      <c r="K602" s="10">
        <v>0</v>
      </c>
      <c r="L602" s="10">
        <v>300</v>
      </c>
      <c r="M602" s="11">
        <v>0</v>
      </c>
      <c r="N602" s="10">
        <v>0</v>
      </c>
      <c r="O602" s="10">
        <v>300</v>
      </c>
      <c r="P602" s="11">
        <v>0.5</v>
      </c>
      <c r="Q602" s="10">
        <v>600</v>
      </c>
      <c r="R602" s="10">
        <f t="shared" si="150"/>
        <v>-59.700000000000045</v>
      </c>
      <c r="S602" s="10">
        <v>300</v>
      </c>
      <c r="T602" s="9" t="s">
        <v>76</v>
      </c>
      <c r="U602" s="10">
        <v>2199</v>
      </c>
      <c r="V602" s="10">
        <f t="shared" si="151"/>
        <v>1539.3</v>
      </c>
      <c r="W602" s="166">
        <v>490110</v>
      </c>
      <c r="X602" s="12" t="s">
        <v>30</v>
      </c>
      <c r="Y602" s="12">
        <f t="shared" si="152"/>
        <v>300</v>
      </c>
      <c r="Z602" s="13">
        <f t="shared" si="153"/>
        <v>300</v>
      </c>
      <c r="AA602" s="13">
        <f t="shared" si="154"/>
        <v>300</v>
      </c>
      <c r="AB602" s="13">
        <f t="shared" si="155"/>
        <v>300</v>
      </c>
      <c r="AC602" s="13">
        <f t="shared" si="156"/>
        <v>0</v>
      </c>
      <c r="AD602" s="14">
        <f t="shared" si="157"/>
        <v>0</v>
      </c>
      <c r="AE602" s="14">
        <f t="shared" si="158"/>
        <v>0</v>
      </c>
      <c r="AF602" s="13" t="str">
        <f>IF(AD602&gt;=Assumptions!$B$3,"OK","Review")</f>
        <v>Review</v>
      </c>
      <c r="AG602" s="13">
        <f>IFERROR(IF(Assumptions!$B$13="Cost Price",AB602,AA602)*SUMIF(Assumptions!$A$6:$A$10,X602,Assumptions!$B$6:$B$10),0)</f>
        <v>24</v>
      </c>
      <c r="AH602" s="13">
        <f>IFERROR(IF(Assumptions!$B$13="Cost Price",AB602,AA602)*SUMIF(Assumptions!$A$6:$A$10,X602,Assumptions!$C$6:$C$10),0)</f>
        <v>15</v>
      </c>
      <c r="AI602" s="13">
        <f>IFERROR(IF(Assumptions!$B$13="Cost Price",AB602,AA602)*SUMIF(Assumptions!$A$6:$A$10,X602,Assumptions!$D$6:$D$10),0)</f>
        <v>30</v>
      </c>
      <c r="AJ602" s="13">
        <v>30</v>
      </c>
      <c r="AK602" s="13">
        <f t="shared" si="159"/>
        <v>99</v>
      </c>
      <c r="AL602" s="14">
        <v>0.33</v>
      </c>
      <c r="AM602" s="13">
        <f t="shared" si="160"/>
        <v>-99</v>
      </c>
      <c r="AN602" s="14">
        <f t="shared" si="161"/>
        <v>-0.33</v>
      </c>
      <c r="AO602" t="str">
        <f>IF(AN602&gt;=Assumptions!$B$3,"OK","Review")</f>
        <v>Review</v>
      </c>
    </row>
    <row r="603" spans="1:41">
      <c r="A603" s="9" t="s">
        <v>431</v>
      </c>
      <c r="B603" s="9" t="s">
        <v>38</v>
      </c>
      <c r="C603" s="9" t="s">
        <v>380</v>
      </c>
      <c r="D603" s="9" t="s">
        <v>443</v>
      </c>
      <c r="E603" s="9" t="s">
        <v>73</v>
      </c>
      <c r="F603" s="9" t="s">
        <v>90</v>
      </c>
      <c r="G603" s="9" t="s">
        <v>31</v>
      </c>
      <c r="H603" s="9" t="s">
        <v>378</v>
      </c>
      <c r="I603" s="9" t="s">
        <v>399</v>
      </c>
      <c r="J603" s="10">
        <v>1203.18</v>
      </c>
      <c r="K603" s="10">
        <v>0</v>
      </c>
      <c r="L603" s="10">
        <v>1203.18</v>
      </c>
      <c r="M603" s="11">
        <v>0.18</v>
      </c>
      <c r="N603" s="10">
        <v>395.82</v>
      </c>
      <c r="O603" s="10">
        <v>1599</v>
      </c>
      <c r="P603" s="11">
        <v>0</v>
      </c>
      <c r="Q603" s="10">
        <v>1599</v>
      </c>
      <c r="R603" s="10">
        <f t="shared" si="150"/>
        <v>-59.700000000000045</v>
      </c>
      <c r="S603" s="10">
        <v>1599</v>
      </c>
      <c r="T603" s="9" t="s">
        <v>91</v>
      </c>
      <c r="U603" s="10">
        <v>2199</v>
      </c>
      <c r="V603" s="10">
        <f t="shared" si="151"/>
        <v>1539.3</v>
      </c>
      <c r="W603" s="166">
        <v>902300</v>
      </c>
      <c r="X603" s="12" t="s">
        <v>30</v>
      </c>
      <c r="Y603" s="12">
        <f t="shared" si="152"/>
        <v>1599</v>
      </c>
      <c r="Z603" s="13">
        <f t="shared" si="153"/>
        <v>1599</v>
      </c>
      <c r="AA603" s="13">
        <f t="shared" si="154"/>
        <v>1355.0847457627119</v>
      </c>
      <c r="AB603" s="13">
        <f t="shared" si="155"/>
        <v>1203.18</v>
      </c>
      <c r="AC603" s="13">
        <f t="shared" si="156"/>
        <v>151.90474576271185</v>
      </c>
      <c r="AD603" s="14">
        <f t="shared" si="157"/>
        <v>0.11209981238273919</v>
      </c>
      <c r="AE603" s="14">
        <f t="shared" si="158"/>
        <v>0.12625271843174907</v>
      </c>
      <c r="AF603" s="13" t="str">
        <f>IF(AD603&gt;=Assumptions!$B$3,"OK","Review")</f>
        <v>Review</v>
      </c>
      <c r="AG603" s="13">
        <f>IFERROR(IF(Assumptions!$B$13="Cost Price",AB603,AA603)*SUMIF(Assumptions!$A$6:$A$10,X603,Assumptions!$B$6:$B$10),0)</f>
        <v>108.40677966101696</v>
      </c>
      <c r="AH603" s="13">
        <f>IFERROR(IF(Assumptions!$B$13="Cost Price",AB603,AA603)*SUMIF(Assumptions!$A$6:$A$10,X603,Assumptions!$C$6:$C$10),0)</f>
        <v>67.754237288135599</v>
      </c>
      <c r="AI603" s="13">
        <f>IFERROR(IF(Assumptions!$B$13="Cost Price",AB603,AA603)*SUMIF(Assumptions!$A$6:$A$10,X603,Assumptions!$D$6:$D$10),0)</f>
        <v>135.5084745762712</v>
      </c>
      <c r="AJ603" s="13">
        <v>135.5084745762712</v>
      </c>
      <c r="AK603" s="13">
        <f t="shared" si="159"/>
        <v>447.17796610169489</v>
      </c>
      <c r="AL603" s="14">
        <v>0.33</v>
      </c>
      <c r="AM603" s="13">
        <f t="shared" si="160"/>
        <v>-295.27322033898304</v>
      </c>
      <c r="AN603" s="14">
        <f t="shared" si="161"/>
        <v>-0.21790018761726077</v>
      </c>
      <c r="AO603" t="str">
        <f>IF(AN603&gt;=Assumptions!$B$3,"OK","Review")</f>
        <v>Review</v>
      </c>
    </row>
    <row r="604" spans="1:41">
      <c r="A604" s="9" t="s">
        <v>431</v>
      </c>
      <c r="B604" s="9" t="s">
        <v>39</v>
      </c>
      <c r="C604" s="9" t="s">
        <v>372</v>
      </c>
      <c r="D604" s="9" t="s">
        <v>444</v>
      </c>
      <c r="E604" s="9" t="s">
        <v>73</v>
      </c>
      <c r="F604" s="9" t="s">
        <v>74</v>
      </c>
      <c r="G604" s="9" t="s">
        <v>31</v>
      </c>
      <c r="H604" s="9" t="s">
        <v>374</v>
      </c>
      <c r="I604" s="9" t="s">
        <v>401</v>
      </c>
      <c r="J604" s="10">
        <v>300</v>
      </c>
      <c r="K604" s="10"/>
      <c r="L604" s="10">
        <v>300</v>
      </c>
      <c r="M604" s="11">
        <v>0</v>
      </c>
      <c r="N604" s="10">
        <v>0</v>
      </c>
      <c r="O604" s="10">
        <v>300</v>
      </c>
      <c r="P604" s="11">
        <v>0.5</v>
      </c>
      <c r="Q604" s="10">
        <v>600</v>
      </c>
      <c r="R604" s="10">
        <f t="shared" si="150"/>
        <v>-59.700000000000045</v>
      </c>
      <c r="S604" s="10">
        <v>300</v>
      </c>
      <c r="T604" s="9" t="s">
        <v>76</v>
      </c>
      <c r="U604" s="10">
        <v>2199</v>
      </c>
      <c r="V604" s="10">
        <f t="shared" si="151"/>
        <v>1539.3</v>
      </c>
      <c r="W604" s="166">
        <v>490110</v>
      </c>
      <c r="X604" s="12" t="s">
        <v>30</v>
      </c>
      <c r="Y604" s="12">
        <f t="shared" si="152"/>
        <v>300</v>
      </c>
      <c r="Z604" s="13">
        <f t="shared" si="153"/>
        <v>300</v>
      </c>
      <c r="AA604" s="13">
        <f t="shared" si="154"/>
        <v>300</v>
      </c>
      <c r="AB604" s="13">
        <f t="shared" si="155"/>
        <v>300</v>
      </c>
      <c r="AC604" s="13">
        <f t="shared" si="156"/>
        <v>0</v>
      </c>
      <c r="AD604" s="14">
        <f t="shared" si="157"/>
        <v>0</v>
      </c>
      <c r="AE604" s="14">
        <f t="shared" si="158"/>
        <v>0</v>
      </c>
      <c r="AF604" s="13" t="str">
        <f>IF(AD604&gt;=Assumptions!$B$3,"OK","Review")</f>
        <v>Review</v>
      </c>
      <c r="AG604" s="13">
        <f>IFERROR(IF(Assumptions!$B$13="Cost Price",AB604,AA604)*SUMIF(Assumptions!$A$6:$A$10,X604,Assumptions!$B$6:$B$10),0)</f>
        <v>24</v>
      </c>
      <c r="AH604" s="13">
        <f>IFERROR(IF(Assumptions!$B$13="Cost Price",AB604,AA604)*SUMIF(Assumptions!$A$6:$A$10,X604,Assumptions!$C$6:$C$10),0)</f>
        <v>15</v>
      </c>
      <c r="AI604" s="13">
        <f>IFERROR(IF(Assumptions!$B$13="Cost Price",AB604,AA604)*SUMIF(Assumptions!$A$6:$A$10,X604,Assumptions!$D$6:$D$10),0)</f>
        <v>30</v>
      </c>
      <c r="AJ604" s="13">
        <v>30</v>
      </c>
      <c r="AK604" s="13">
        <f t="shared" si="159"/>
        <v>99</v>
      </c>
      <c r="AL604" s="14">
        <v>0.33</v>
      </c>
      <c r="AM604" s="13">
        <f t="shared" si="160"/>
        <v>-99</v>
      </c>
      <c r="AN604" s="14">
        <f t="shared" si="161"/>
        <v>-0.33</v>
      </c>
      <c r="AO604" t="str">
        <f>IF(AN604&gt;=Assumptions!$B$3,"OK","Review")</f>
        <v>Review</v>
      </c>
    </row>
    <row r="605" spans="1:41">
      <c r="A605" s="9" t="s">
        <v>431</v>
      </c>
      <c r="B605" s="9" t="s">
        <v>39</v>
      </c>
      <c r="C605" s="9" t="s">
        <v>376</v>
      </c>
      <c r="D605" s="9" t="s">
        <v>445</v>
      </c>
      <c r="E605" s="9" t="s">
        <v>73</v>
      </c>
      <c r="F605" s="9" t="s">
        <v>74</v>
      </c>
      <c r="G605" s="9" t="s">
        <v>31</v>
      </c>
      <c r="H605" s="9" t="s">
        <v>378</v>
      </c>
      <c r="I605" s="9" t="s">
        <v>403</v>
      </c>
      <c r="J605" s="10">
        <v>300</v>
      </c>
      <c r="K605" s="10">
        <v>0</v>
      </c>
      <c r="L605" s="10">
        <v>300</v>
      </c>
      <c r="M605" s="11">
        <v>0</v>
      </c>
      <c r="N605" s="10">
        <v>0</v>
      </c>
      <c r="O605" s="10">
        <v>300</v>
      </c>
      <c r="P605" s="11">
        <v>0.5</v>
      </c>
      <c r="Q605" s="10">
        <v>600</v>
      </c>
      <c r="R605" s="10">
        <f t="shared" si="150"/>
        <v>-59.700000000000045</v>
      </c>
      <c r="S605" s="10">
        <v>300</v>
      </c>
      <c r="T605" s="9" t="s">
        <v>76</v>
      </c>
      <c r="U605" s="10">
        <v>2199</v>
      </c>
      <c r="V605" s="10">
        <f t="shared" si="151"/>
        <v>1539.3</v>
      </c>
      <c r="W605" s="166">
        <v>490110</v>
      </c>
      <c r="X605" s="12" t="s">
        <v>30</v>
      </c>
      <c r="Y605" s="12">
        <f t="shared" si="152"/>
        <v>300</v>
      </c>
      <c r="Z605" s="13">
        <f t="shared" si="153"/>
        <v>300</v>
      </c>
      <c r="AA605" s="13">
        <f t="shared" si="154"/>
        <v>300</v>
      </c>
      <c r="AB605" s="13">
        <f t="shared" si="155"/>
        <v>300</v>
      </c>
      <c r="AC605" s="13">
        <f t="shared" si="156"/>
        <v>0</v>
      </c>
      <c r="AD605" s="14">
        <f t="shared" si="157"/>
        <v>0</v>
      </c>
      <c r="AE605" s="14">
        <f t="shared" si="158"/>
        <v>0</v>
      </c>
      <c r="AF605" s="13" t="str">
        <f>IF(AD605&gt;=Assumptions!$B$3,"OK","Review")</f>
        <v>Review</v>
      </c>
      <c r="AG605" s="13">
        <f>IFERROR(IF(Assumptions!$B$13="Cost Price",AB605,AA605)*SUMIF(Assumptions!$A$6:$A$10,X605,Assumptions!$B$6:$B$10),0)</f>
        <v>24</v>
      </c>
      <c r="AH605" s="13">
        <f>IFERROR(IF(Assumptions!$B$13="Cost Price",AB605,AA605)*SUMIF(Assumptions!$A$6:$A$10,X605,Assumptions!$C$6:$C$10),0)</f>
        <v>15</v>
      </c>
      <c r="AI605" s="13">
        <f>IFERROR(IF(Assumptions!$B$13="Cost Price",AB605,AA605)*SUMIF(Assumptions!$A$6:$A$10,X605,Assumptions!$D$6:$D$10),0)</f>
        <v>30</v>
      </c>
      <c r="AJ605" s="13">
        <v>30</v>
      </c>
      <c r="AK605" s="13">
        <f t="shared" si="159"/>
        <v>99</v>
      </c>
      <c r="AL605" s="14">
        <v>0.33</v>
      </c>
      <c r="AM605" s="13">
        <f t="shared" si="160"/>
        <v>-99</v>
      </c>
      <c r="AN605" s="14">
        <f t="shared" si="161"/>
        <v>-0.33</v>
      </c>
      <c r="AO605" t="str">
        <f>IF(AN605&gt;=Assumptions!$B$3,"OK","Review")</f>
        <v>Review</v>
      </c>
    </row>
    <row r="606" spans="1:41">
      <c r="A606" s="9" t="s">
        <v>431</v>
      </c>
      <c r="B606" s="9" t="s">
        <v>39</v>
      </c>
      <c r="C606" s="9" t="s">
        <v>380</v>
      </c>
      <c r="D606" s="9" t="s">
        <v>446</v>
      </c>
      <c r="E606" s="9" t="s">
        <v>73</v>
      </c>
      <c r="F606" s="9" t="s">
        <v>90</v>
      </c>
      <c r="G606" s="9" t="s">
        <v>31</v>
      </c>
      <c r="H606" s="9" t="s">
        <v>378</v>
      </c>
      <c r="I606" s="9" t="s">
        <v>405</v>
      </c>
      <c r="J606" s="10">
        <v>1203.18</v>
      </c>
      <c r="K606" s="10">
        <v>0</v>
      </c>
      <c r="L606" s="10">
        <v>1203.18</v>
      </c>
      <c r="M606" s="11">
        <v>0.18</v>
      </c>
      <c r="N606" s="10">
        <v>395.82</v>
      </c>
      <c r="O606" s="10">
        <v>1599</v>
      </c>
      <c r="P606" s="11">
        <v>0</v>
      </c>
      <c r="Q606" s="10">
        <v>1599</v>
      </c>
      <c r="R606" s="10">
        <f t="shared" si="150"/>
        <v>-59.700000000000045</v>
      </c>
      <c r="S606" s="10">
        <v>1599</v>
      </c>
      <c r="T606" s="9" t="s">
        <v>91</v>
      </c>
      <c r="U606" s="10">
        <v>2199</v>
      </c>
      <c r="V606" s="10">
        <f t="shared" si="151"/>
        <v>1539.3</v>
      </c>
      <c r="W606" s="166">
        <v>902300</v>
      </c>
      <c r="X606" s="12" t="s">
        <v>30</v>
      </c>
      <c r="Y606" s="12">
        <f t="shared" si="152"/>
        <v>1599</v>
      </c>
      <c r="Z606" s="13">
        <f t="shared" si="153"/>
        <v>1599</v>
      </c>
      <c r="AA606" s="13">
        <f t="shared" si="154"/>
        <v>1355.0847457627119</v>
      </c>
      <c r="AB606" s="13">
        <f t="shared" si="155"/>
        <v>1203.18</v>
      </c>
      <c r="AC606" s="13">
        <f t="shared" si="156"/>
        <v>151.90474576271185</v>
      </c>
      <c r="AD606" s="14">
        <f t="shared" si="157"/>
        <v>0.11209981238273919</v>
      </c>
      <c r="AE606" s="14">
        <f t="shared" si="158"/>
        <v>0.12625271843174907</v>
      </c>
      <c r="AF606" s="13" t="str">
        <f>IF(AD606&gt;=Assumptions!$B$3,"OK","Review")</f>
        <v>Review</v>
      </c>
      <c r="AG606" s="13">
        <f>IFERROR(IF(Assumptions!$B$13="Cost Price",AB606,AA606)*SUMIF(Assumptions!$A$6:$A$10,X606,Assumptions!$B$6:$B$10),0)</f>
        <v>108.40677966101696</v>
      </c>
      <c r="AH606" s="13">
        <f>IFERROR(IF(Assumptions!$B$13="Cost Price",AB606,AA606)*SUMIF(Assumptions!$A$6:$A$10,X606,Assumptions!$C$6:$C$10),0)</f>
        <v>67.754237288135599</v>
      </c>
      <c r="AI606" s="13">
        <f>IFERROR(IF(Assumptions!$B$13="Cost Price",AB606,AA606)*SUMIF(Assumptions!$A$6:$A$10,X606,Assumptions!$D$6:$D$10),0)</f>
        <v>135.5084745762712</v>
      </c>
      <c r="AJ606" s="13">
        <v>135.5084745762712</v>
      </c>
      <c r="AK606" s="13">
        <f t="shared" si="159"/>
        <v>447.17796610169489</v>
      </c>
      <c r="AL606" s="14">
        <v>0.33</v>
      </c>
      <c r="AM606" s="13">
        <f t="shared" si="160"/>
        <v>-295.27322033898304</v>
      </c>
      <c r="AN606" s="14">
        <f t="shared" si="161"/>
        <v>-0.21790018761726077</v>
      </c>
      <c r="AO606" t="str">
        <f>IF(AN606&gt;=Assumptions!$B$3,"OK","Review")</f>
        <v>Review</v>
      </c>
    </row>
    <row r="607" spans="1:41">
      <c r="A607" s="9" t="s">
        <v>431</v>
      </c>
      <c r="B607" s="9" t="s">
        <v>40</v>
      </c>
      <c r="C607" s="9" t="s">
        <v>372</v>
      </c>
      <c r="D607" s="9" t="s">
        <v>447</v>
      </c>
      <c r="E607" s="9" t="s">
        <v>73</v>
      </c>
      <c r="F607" s="9" t="s">
        <v>74</v>
      </c>
      <c r="G607" s="9" t="s">
        <v>31</v>
      </c>
      <c r="H607" s="9" t="s">
        <v>374</v>
      </c>
      <c r="I607" s="9" t="s">
        <v>407</v>
      </c>
      <c r="J607" s="10">
        <v>300</v>
      </c>
      <c r="K607" s="10"/>
      <c r="L607" s="10">
        <v>300</v>
      </c>
      <c r="M607" s="11">
        <v>0</v>
      </c>
      <c r="N607" s="10">
        <v>0</v>
      </c>
      <c r="O607" s="10">
        <v>300</v>
      </c>
      <c r="P607" s="11">
        <v>0.5</v>
      </c>
      <c r="Q607" s="10">
        <v>600</v>
      </c>
      <c r="R607" s="10">
        <f t="shared" si="150"/>
        <v>-149.70000000000005</v>
      </c>
      <c r="S607" s="10">
        <v>300</v>
      </c>
      <c r="T607" s="9" t="s">
        <v>76</v>
      </c>
      <c r="U607" s="10">
        <v>2499</v>
      </c>
      <c r="V607" s="10">
        <f t="shared" si="151"/>
        <v>1749.3</v>
      </c>
      <c r="W607" s="166">
        <v>490110</v>
      </c>
      <c r="X607" s="12" t="s">
        <v>30</v>
      </c>
      <c r="Y607" s="12">
        <f t="shared" si="152"/>
        <v>300</v>
      </c>
      <c r="Z607" s="13">
        <f t="shared" si="153"/>
        <v>300</v>
      </c>
      <c r="AA607" s="13">
        <f t="shared" si="154"/>
        <v>300</v>
      </c>
      <c r="AB607" s="13">
        <f t="shared" si="155"/>
        <v>300</v>
      </c>
      <c r="AC607" s="13">
        <f t="shared" si="156"/>
        <v>0</v>
      </c>
      <c r="AD607" s="14">
        <f t="shared" si="157"/>
        <v>0</v>
      </c>
      <c r="AE607" s="14">
        <f t="shared" si="158"/>
        <v>0</v>
      </c>
      <c r="AF607" s="13" t="str">
        <f>IF(AD607&gt;=Assumptions!$B$3,"OK","Review")</f>
        <v>Review</v>
      </c>
      <c r="AG607" s="13">
        <f>IFERROR(IF(Assumptions!$B$13="Cost Price",AB607,AA607)*SUMIF(Assumptions!$A$6:$A$10,X607,Assumptions!$B$6:$B$10),0)</f>
        <v>24</v>
      </c>
      <c r="AH607" s="13">
        <f>IFERROR(IF(Assumptions!$B$13="Cost Price",AB607,AA607)*SUMIF(Assumptions!$A$6:$A$10,X607,Assumptions!$C$6:$C$10),0)</f>
        <v>15</v>
      </c>
      <c r="AI607" s="13">
        <f>IFERROR(IF(Assumptions!$B$13="Cost Price",AB607,AA607)*SUMIF(Assumptions!$A$6:$A$10,X607,Assumptions!$D$6:$D$10),0)</f>
        <v>30</v>
      </c>
      <c r="AJ607" s="13">
        <v>30</v>
      </c>
      <c r="AK607" s="13">
        <f t="shared" si="159"/>
        <v>99</v>
      </c>
      <c r="AL607" s="14">
        <v>0.33</v>
      </c>
      <c r="AM607" s="13">
        <f t="shared" si="160"/>
        <v>-99</v>
      </c>
      <c r="AN607" s="14">
        <f t="shared" si="161"/>
        <v>-0.33</v>
      </c>
      <c r="AO607" t="str">
        <f>IF(AN607&gt;=Assumptions!$B$3,"OK","Review")</f>
        <v>Review</v>
      </c>
    </row>
    <row r="608" spans="1:41">
      <c r="A608" s="9" t="s">
        <v>431</v>
      </c>
      <c r="B608" s="9" t="s">
        <v>40</v>
      </c>
      <c r="C608" s="9" t="s">
        <v>376</v>
      </c>
      <c r="D608" s="9" t="s">
        <v>448</v>
      </c>
      <c r="E608" s="9" t="s">
        <v>73</v>
      </c>
      <c r="F608" s="9" t="s">
        <v>74</v>
      </c>
      <c r="G608" s="9" t="s">
        <v>31</v>
      </c>
      <c r="H608" s="9" t="s">
        <v>378</v>
      </c>
      <c r="I608" s="9" t="s">
        <v>409</v>
      </c>
      <c r="J608" s="10">
        <v>300</v>
      </c>
      <c r="K608" s="10">
        <v>0</v>
      </c>
      <c r="L608" s="10">
        <v>300</v>
      </c>
      <c r="M608" s="11">
        <v>0</v>
      </c>
      <c r="N608" s="10">
        <v>0</v>
      </c>
      <c r="O608" s="10">
        <v>300</v>
      </c>
      <c r="P608" s="11">
        <v>0.5</v>
      </c>
      <c r="Q608" s="10">
        <v>600</v>
      </c>
      <c r="R608" s="10">
        <f t="shared" si="150"/>
        <v>-149.70000000000005</v>
      </c>
      <c r="S608" s="10">
        <v>300</v>
      </c>
      <c r="T608" s="9" t="s">
        <v>76</v>
      </c>
      <c r="U608" s="10">
        <v>2499</v>
      </c>
      <c r="V608" s="10">
        <f t="shared" si="151"/>
        <v>1749.3</v>
      </c>
      <c r="W608" s="166">
        <v>490110</v>
      </c>
      <c r="X608" s="12" t="s">
        <v>30</v>
      </c>
      <c r="Y608" s="12">
        <f t="shared" si="152"/>
        <v>300</v>
      </c>
      <c r="Z608" s="13">
        <f t="shared" si="153"/>
        <v>300</v>
      </c>
      <c r="AA608" s="13">
        <f t="shared" si="154"/>
        <v>300</v>
      </c>
      <c r="AB608" s="13">
        <f t="shared" si="155"/>
        <v>300</v>
      </c>
      <c r="AC608" s="13">
        <f t="shared" si="156"/>
        <v>0</v>
      </c>
      <c r="AD608" s="14">
        <f t="shared" si="157"/>
        <v>0</v>
      </c>
      <c r="AE608" s="14">
        <f t="shared" si="158"/>
        <v>0</v>
      </c>
      <c r="AF608" s="13" t="str">
        <f>IF(AD608&gt;=Assumptions!$B$3,"OK","Review")</f>
        <v>Review</v>
      </c>
      <c r="AG608" s="13">
        <f>IFERROR(IF(Assumptions!$B$13="Cost Price",AB608,AA608)*SUMIF(Assumptions!$A$6:$A$10,X608,Assumptions!$B$6:$B$10),0)</f>
        <v>24</v>
      </c>
      <c r="AH608" s="13">
        <f>IFERROR(IF(Assumptions!$B$13="Cost Price",AB608,AA608)*SUMIF(Assumptions!$A$6:$A$10,X608,Assumptions!$C$6:$C$10),0)</f>
        <v>15</v>
      </c>
      <c r="AI608" s="13">
        <f>IFERROR(IF(Assumptions!$B$13="Cost Price",AB608,AA608)*SUMIF(Assumptions!$A$6:$A$10,X608,Assumptions!$D$6:$D$10),0)</f>
        <v>30</v>
      </c>
      <c r="AJ608" s="13">
        <v>30</v>
      </c>
      <c r="AK608" s="13">
        <f t="shared" si="159"/>
        <v>99</v>
      </c>
      <c r="AL608" s="14">
        <v>0.33</v>
      </c>
      <c r="AM608" s="13">
        <f t="shared" si="160"/>
        <v>-99</v>
      </c>
      <c r="AN608" s="14">
        <f t="shared" si="161"/>
        <v>-0.33</v>
      </c>
      <c r="AO608" t="str">
        <f>IF(AN608&gt;=Assumptions!$B$3,"OK","Review")</f>
        <v>Review</v>
      </c>
    </row>
    <row r="609" spans="1:41">
      <c r="A609" s="9" t="s">
        <v>431</v>
      </c>
      <c r="B609" s="9" t="s">
        <v>40</v>
      </c>
      <c r="C609" s="9" t="s">
        <v>380</v>
      </c>
      <c r="D609" s="9" t="s">
        <v>449</v>
      </c>
      <c r="E609" s="9" t="s">
        <v>73</v>
      </c>
      <c r="F609" s="9" t="s">
        <v>90</v>
      </c>
      <c r="G609" s="9" t="s">
        <v>31</v>
      </c>
      <c r="H609" s="9" t="s">
        <v>378</v>
      </c>
      <c r="I609" s="9" t="s">
        <v>411</v>
      </c>
      <c r="J609" s="10">
        <v>1449.18</v>
      </c>
      <c r="K609" s="10">
        <v>0</v>
      </c>
      <c r="L609" s="10">
        <v>1449.18</v>
      </c>
      <c r="M609" s="11">
        <v>0.18</v>
      </c>
      <c r="N609" s="10">
        <v>449.82</v>
      </c>
      <c r="O609" s="10">
        <v>1899</v>
      </c>
      <c r="P609" s="11">
        <v>0</v>
      </c>
      <c r="Q609" s="10">
        <v>1899</v>
      </c>
      <c r="R609" s="10">
        <f t="shared" si="150"/>
        <v>-149.70000000000005</v>
      </c>
      <c r="S609" s="10">
        <v>1899</v>
      </c>
      <c r="T609" s="9" t="s">
        <v>91</v>
      </c>
      <c r="U609" s="10">
        <v>2499</v>
      </c>
      <c r="V609" s="10">
        <f t="shared" si="151"/>
        <v>1749.3</v>
      </c>
      <c r="W609" s="166">
        <v>902300</v>
      </c>
      <c r="X609" s="12" t="s">
        <v>30</v>
      </c>
      <c r="Y609" s="12">
        <f t="shared" si="152"/>
        <v>1899</v>
      </c>
      <c r="Z609" s="13">
        <f t="shared" si="153"/>
        <v>1899</v>
      </c>
      <c r="AA609" s="13">
        <f t="shared" si="154"/>
        <v>1609.3220338983051</v>
      </c>
      <c r="AB609" s="13">
        <f t="shared" si="155"/>
        <v>1449.18</v>
      </c>
      <c r="AC609" s="13">
        <f t="shared" si="156"/>
        <v>160.14203389830504</v>
      </c>
      <c r="AD609" s="14">
        <f t="shared" si="157"/>
        <v>9.9509004739336465E-2</v>
      </c>
      <c r="AE609" s="14">
        <f t="shared" si="158"/>
        <v>0.11050527463690159</v>
      </c>
      <c r="AF609" s="13" t="str">
        <f>IF(AD609&gt;=Assumptions!$B$3,"OK","Review")</f>
        <v>Review</v>
      </c>
      <c r="AG609" s="13">
        <f>IFERROR(IF(Assumptions!$B$13="Cost Price",AB609,AA609)*SUMIF(Assumptions!$A$6:$A$10,X609,Assumptions!$B$6:$B$10),0)</f>
        <v>128.74576271186442</v>
      </c>
      <c r="AH609" s="13">
        <f>IFERROR(IF(Assumptions!$B$13="Cost Price",AB609,AA609)*SUMIF(Assumptions!$A$6:$A$10,X609,Assumptions!$C$6:$C$10),0)</f>
        <v>80.466101694915267</v>
      </c>
      <c r="AI609" s="13">
        <f>IFERROR(IF(Assumptions!$B$13="Cost Price",AB609,AA609)*SUMIF(Assumptions!$A$6:$A$10,X609,Assumptions!$D$6:$D$10),0)</f>
        <v>160.93220338983053</v>
      </c>
      <c r="AJ609" s="13">
        <v>160.93220338983053</v>
      </c>
      <c r="AK609" s="13">
        <f t="shared" si="159"/>
        <v>531.07627118644075</v>
      </c>
      <c r="AL609" s="14">
        <v>0.33</v>
      </c>
      <c r="AM609" s="13">
        <f t="shared" si="160"/>
        <v>-370.93423728813571</v>
      </c>
      <c r="AN609" s="14">
        <f t="shared" si="161"/>
        <v>-0.23049099526066358</v>
      </c>
      <c r="AO609" t="str">
        <f>IF(AN609&gt;=Assumptions!$B$3,"OK","Review")</f>
        <v>Review</v>
      </c>
    </row>
    <row r="610" spans="1:41">
      <c r="A610" s="9" t="s">
        <v>431</v>
      </c>
      <c r="B610" s="9" t="s">
        <v>41</v>
      </c>
      <c r="C610" s="9" t="s">
        <v>372</v>
      </c>
      <c r="D610" s="9" t="s">
        <v>450</v>
      </c>
      <c r="E610" s="9" t="s">
        <v>73</v>
      </c>
      <c r="F610" s="9" t="s">
        <v>74</v>
      </c>
      <c r="G610" s="9" t="s">
        <v>31</v>
      </c>
      <c r="H610" s="9" t="s">
        <v>374</v>
      </c>
      <c r="I610" s="9" t="s">
        <v>413</v>
      </c>
      <c r="J610" s="10">
        <v>300</v>
      </c>
      <c r="K610" s="10"/>
      <c r="L610" s="10">
        <v>300</v>
      </c>
      <c r="M610" s="11">
        <v>0</v>
      </c>
      <c r="N610" s="10">
        <v>0</v>
      </c>
      <c r="O610" s="10">
        <v>300</v>
      </c>
      <c r="P610" s="11">
        <v>0.5</v>
      </c>
      <c r="Q610" s="10">
        <v>600</v>
      </c>
      <c r="R610" s="10">
        <f t="shared" si="150"/>
        <v>-209.70000000000005</v>
      </c>
      <c r="S610" s="10">
        <v>300</v>
      </c>
      <c r="T610" s="9" t="s">
        <v>76</v>
      </c>
      <c r="U610" s="10">
        <v>2699</v>
      </c>
      <c r="V610" s="10">
        <f t="shared" si="151"/>
        <v>1889.3</v>
      </c>
      <c r="W610" s="166">
        <v>490110</v>
      </c>
      <c r="X610" s="12" t="s">
        <v>30</v>
      </c>
      <c r="Y610" s="12">
        <f t="shared" si="152"/>
        <v>300</v>
      </c>
      <c r="Z610" s="13">
        <f t="shared" si="153"/>
        <v>300</v>
      </c>
      <c r="AA610" s="13">
        <f t="shared" si="154"/>
        <v>300</v>
      </c>
      <c r="AB610" s="13">
        <f t="shared" si="155"/>
        <v>300</v>
      </c>
      <c r="AC610" s="13">
        <f t="shared" si="156"/>
        <v>0</v>
      </c>
      <c r="AD610" s="14">
        <f t="shared" si="157"/>
        <v>0</v>
      </c>
      <c r="AE610" s="14">
        <f t="shared" si="158"/>
        <v>0</v>
      </c>
      <c r="AF610" s="13" t="str">
        <f>IF(AD610&gt;=Assumptions!$B$3,"OK","Review")</f>
        <v>Review</v>
      </c>
      <c r="AG610" s="13">
        <f>IFERROR(IF(Assumptions!$B$13="Cost Price",AB610,AA610)*SUMIF(Assumptions!$A$6:$A$10,X610,Assumptions!$B$6:$B$10),0)</f>
        <v>24</v>
      </c>
      <c r="AH610" s="13">
        <f>IFERROR(IF(Assumptions!$B$13="Cost Price",AB610,AA610)*SUMIF(Assumptions!$A$6:$A$10,X610,Assumptions!$C$6:$C$10),0)</f>
        <v>15</v>
      </c>
      <c r="AI610" s="13">
        <f>IFERROR(IF(Assumptions!$B$13="Cost Price",AB610,AA610)*SUMIF(Assumptions!$A$6:$A$10,X610,Assumptions!$D$6:$D$10),0)</f>
        <v>30</v>
      </c>
      <c r="AJ610" s="13">
        <v>30</v>
      </c>
      <c r="AK610" s="13">
        <f t="shared" si="159"/>
        <v>99</v>
      </c>
      <c r="AL610" s="14">
        <v>0.33</v>
      </c>
      <c r="AM610" s="13">
        <f t="shared" si="160"/>
        <v>-99</v>
      </c>
      <c r="AN610" s="14">
        <f t="shared" si="161"/>
        <v>-0.33</v>
      </c>
      <c r="AO610" t="str">
        <f>IF(AN610&gt;=Assumptions!$B$3,"OK","Review")</f>
        <v>Review</v>
      </c>
    </row>
    <row r="611" spans="1:41">
      <c r="A611" s="9" t="s">
        <v>431</v>
      </c>
      <c r="B611" s="9" t="s">
        <v>41</v>
      </c>
      <c r="C611" s="9" t="s">
        <v>376</v>
      </c>
      <c r="D611" s="9" t="s">
        <v>451</v>
      </c>
      <c r="E611" s="9" t="s">
        <v>73</v>
      </c>
      <c r="F611" s="9" t="s">
        <v>74</v>
      </c>
      <c r="G611" s="9" t="s">
        <v>31</v>
      </c>
      <c r="H611" s="9" t="s">
        <v>378</v>
      </c>
      <c r="I611" s="9" t="s">
        <v>415</v>
      </c>
      <c r="J611" s="10">
        <v>300</v>
      </c>
      <c r="K611" s="10">
        <v>0</v>
      </c>
      <c r="L611" s="10">
        <v>300</v>
      </c>
      <c r="M611" s="11">
        <v>0</v>
      </c>
      <c r="N611" s="10">
        <v>0</v>
      </c>
      <c r="O611" s="10">
        <v>300</v>
      </c>
      <c r="P611" s="11">
        <v>0.5</v>
      </c>
      <c r="Q611" s="10">
        <v>600</v>
      </c>
      <c r="R611" s="10">
        <f t="shared" si="150"/>
        <v>-209.70000000000005</v>
      </c>
      <c r="S611" s="10">
        <v>300</v>
      </c>
      <c r="T611" s="9" t="s">
        <v>76</v>
      </c>
      <c r="U611" s="10">
        <v>2699</v>
      </c>
      <c r="V611" s="10">
        <f t="shared" si="151"/>
        <v>1889.3</v>
      </c>
      <c r="W611" s="166">
        <v>490110</v>
      </c>
      <c r="X611" s="12" t="s">
        <v>30</v>
      </c>
      <c r="Y611" s="12">
        <f t="shared" si="152"/>
        <v>300</v>
      </c>
      <c r="Z611" s="13">
        <f t="shared" si="153"/>
        <v>300</v>
      </c>
      <c r="AA611" s="13">
        <f t="shared" si="154"/>
        <v>300</v>
      </c>
      <c r="AB611" s="13">
        <f t="shared" si="155"/>
        <v>300</v>
      </c>
      <c r="AC611" s="13">
        <f t="shared" si="156"/>
        <v>0</v>
      </c>
      <c r="AD611" s="14">
        <f t="shared" si="157"/>
        <v>0</v>
      </c>
      <c r="AE611" s="14">
        <f t="shared" si="158"/>
        <v>0</v>
      </c>
      <c r="AF611" s="13" t="str">
        <f>IF(AD611&gt;=Assumptions!$B$3,"OK","Review")</f>
        <v>Review</v>
      </c>
      <c r="AG611" s="13">
        <f>IFERROR(IF(Assumptions!$B$13="Cost Price",AB611,AA611)*SUMIF(Assumptions!$A$6:$A$10,X611,Assumptions!$B$6:$B$10),0)</f>
        <v>24</v>
      </c>
      <c r="AH611" s="13">
        <f>IFERROR(IF(Assumptions!$B$13="Cost Price",AB611,AA611)*SUMIF(Assumptions!$A$6:$A$10,X611,Assumptions!$C$6:$C$10),0)</f>
        <v>15</v>
      </c>
      <c r="AI611" s="13">
        <f>IFERROR(IF(Assumptions!$B$13="Cost Price",AB611,AA611)*SUMIF(Assumptions!$A$6:$A$10,X611,Assumptions!$D$6:$D$10),0)</f>
        <v>30</v>
      </c>
      <c r="AJ611" s="13">
        <v>30</v>
      </c>
      <c r="AK611" s="13">
        <f t="shared" si="159"/>
        <v>99</v>
      </c>
      <c r="AL611" s="14">
        <v>0.33</v>
      </c>
      <c r="AM611" s="13">
        <f t="shared" si="160"/>
        <v>-99</v>
      </c>
      <c r="AN611" s="14">
        <f t="shared" si="161"/>
        <v>-0.33</v>
      </c>
      <c r="AO611" t="str">
        <f>IF(AN611&gt;=Assumptions!$B$3,"OK","Review")</f>
        <v>Review</v>
      </c>
    </row>
    <row r="612" spans="1:41">
      <c r="A612" s="9" t="s">
        <v>431</v>
      </c>
      <c r="B612" s="9" t="s">
        <v>41</v>
      </c>
      <c r="C612" s="9" t="s">
        <v>380</v>
      </c>
      <c r="D612" s="9" t="s">
        <v>452</v>
      </c>
      <c r="E612" s="9" t="s">
        <v>73</v>
      </c>
      <c r="F612" s="9" t="s">
        <v>90</v>
      </c>
      <c r="G612" s="9" t="s">
        <v>31</v>
      </c>
      <c r="H612" s="9" t="s">
        <v>378</v>
      </c>
      <c r="I612" s="9" t="s">
        <v>417</v>
      </c>
      <c r="J612" s="10">
        <v>1613.18</v>
      </c>
      <c r="K612" s="10">
        <v>0</v>
      </c>
      <c r="L612" s="10">
        <v>1613.18</v>
      </c>
      <c r="M612" s="11">
        <v>0.18</v>
      </c>
      <c r="N612" s="10">
        <v>485.82</v>
      </c>
      <c r="O612" s="10">
        <v>2099</v>
      </c>
      <c r="P612" s="11">
        <v>0</v>
      </c>
      <c r="Q612" s="10">
        <v>2099</v>
      </c>
      <c r="R612" s="10">
        <f t="shared" si="150"/>
        <v>-209.70000000000005</v>
      </c>
      <c r="S612" s="10">
        <v>2099</v>
      </c>
      <c r="T612" s="9" t="s">
        <v>91</v>
      </c>
      <c r="U612" s="10">
        <v>2699</v>
      </c>
      <c r="V612" s="10">
        <f t="shared" si="151"/>
        <v>1889.3</v>
      </c>
      <c r="W612" s="166">
        <v>902300</v>
      </c>
      <c r="X612" s="12" t="s">
        <v>30</v>
      </c>
      <c r="Y612" s="12">
        <f t="shared" si="152"/>
        <v>2099</v>
      </c>
      <c r="Z612" s="13">
        <f t="shared" si="153"/>
        <v>2099</v>
      </c>
      <c r="AA612" s="13">
        <f t="shared" si="154"/>
        <v>1778.8135593220341</v>
      </c>
      <c r="AB612" s="13">
        <f t="shared" si="155"/>
        <v>1613.18</v>
      </c>
      <c r="AC612" s="13">
        <f t="shared" si="156"/>
        <v>165.63355932203399</v>
      </c>
      <c r="AD612" s="14">
        <f t="shared" si="157"/>
        <v>9.3114626012386889E-2</v>
      </c>
      <c r="AE612" s="14">
        <f t="shared" si="158"/>
        <v>0.10267518771744875</v>
      </c>
      <c r="AF612" s="13" t="str">
        <f>IF(AD612&gt;=Assumptions!$B$3,"OK","Review")</f>
        <v>Review</v>
      </c>
      <c r="AG612" s="13">
        <f>IFERROR(IF(Assumptions!$B$13="Cost Price",AB612,AA612)*SUMIF(Assumptions!$A$6:$A$10,X612,Assumptions!$B$6:$B$10),0)</f>
        <v>142.30508474576274</v>
      </c>
      <c r="AH612" s="13">
        <f>IFERROR(IF(Assumptions!$B$13="Cost Price",AB612,AA612)*SUMIF(Assumptions!$A$6:$A$10,X612,Assumptions!$C$6:$C$10),0)</f>
        <v>88.940677966101703</v>
      </c>
      <c r="AI612" s="13">
        <f>IFERROR(IF(Assumptions!$B$13="Cost Price",AB612,AA612)*SUMIF(Assumptions!$A$6:$A$10,X612,Assumptions!$D$6:$D$10),0)</f>
        <v>177.88135593220341</v>
      </c>
      <c r="AJ612" s="13">
        <v>177.88135593220341</v>
      </c>
      <c r="AK612" s="13">
        <f t="shared" si="159"/>
        <v>587.00847457627128</v>
      </c>
      <c r="AL612" s="14">
        <v>0.33</v>
      </c>
      <c r="AM612" s="13">
        <f t="shared" si="160"/>
        <v>-421.37491525423729</v>
      </c>
      <c r="AN612" s="14">
        <f t="shared" si="161"/>
        <v>-0.23688537398761314</v>
      </c>
      <c r="AO612" t="str">
        <f>IF(AN612&gt;=Assumptions!$B$3,"OK","Review")</f>
        <v>Review</v>
      </c>
    </row>
    <row r="613" spans="1:41">
      <c r="A613" s="9" t="s">
        <v>431</v>
      </c>
      <c r="B613" s="9" t="s">
        <v>42</v>
      </c>
      <c r="C613" s="9" t="s">
        <v>372</v>
      </c>
      <c r="D613" s="9" t="s">
        <v>453</v>
      </c>
      <c r="E613" s="9" t="s">
        <v>73</v>
      </c>
      <c r="F613" s="9" t="s">
        <v>74</v>
      </c>
      <c r="G613" s="9" t="s">
        <v>31</v>
      </c>
      <c r="H613" s="9" t="s">
        <v>374</v>
      </c>
      <c r="I613" s="9" t="s">
        <v>419</v>
      </c>
      <c r="J613" s="10">
        <v>300</v>
      </c>
      <c r="K613" s="10"/>
      <c r="L613" s="10">
        <v>300</v>
      </c>
      <c r="M613" s="11">
        <v>0</v>
      </c>
      <c r="N613" s="10">
        <v>0</v>
      </c>
      <c r="O613" s="10">
        <v>300</v>
      </c>
      <c r="P613" s="11">
        <v>0.5</v>
      </c>
      <c r="Q613" s="10">
        <v>600</v>
      </c>
      <c r="R613" s="10">
        <f t="shared" si="150"/>
        <v>-209.70000000000005</v>
      </c>
      <c r="S613" s="10">
        <v>300</v>
      </c>
      <c r="T613" s="9" t="s">
        <v>76</v>
      </c>
      <c r="U613" s="10">
        <v>2699</v>
      </c>
      <c r="V613" s="10">
        <f t="shared" si="151"/>
        <v>1889.3</v>
      </c>
      <c r="W613" s="166">
        <v>490110</v>
      </c>
      <c r="X613" s="12" t="s">
        <v>30</v>
      </c>
      <c r="Y613" s="12">
        <f t="shared" si="152"/>
        <v>300</v>
      </c>
      <c r="Z613" s="13">
        <f t="shared" si="153"/>
        <v>300</v>
      </c>
      <c r="AA613" s="13">
        <f t="shared" si="154"/>
        <v>300</v>
      </c>
      <c r="AB613" s="13">
        <f t="shared" si="155"/>
        <v>300</v>
      </c>
      <c r="AC613" s="13">
        <f t="shared" si="156"/>
        <v>0</v>
      </c>
      <c r="AD613" s="14">
        <f t="shared" si="157"/>
        <v>0</v>
      </c>
      <c r="AE613" s="14">
        <f t="shared" si="158"/>
        <v>0</v>
      </c>
      <c r="AF613" s="13" t="str">
        <f>IF(AD613&gt;=Assumptions!$B$3,"OK","Review")</f>
        <v>Review</v>
      </c>
      <c r="AG613" s="13">
        <f>IFERROR(IF(Assumptions!$B$13="Cost Price",AB613,AA613)*SUMIF(Assumptions!$A$6:$A$10,X613,Assumptions!$B$6:$B$10),0)</f>
        <v>24</v>
      </c>
      <c r="AH613" s="13">
        <f>IFERROR(IF(Assumptions!$B$13="Cost Price",AB613,AA613)*SUMIF(Assumptions!$A$6:$A$10,X613,Assumptions!$C$6:$C$10),0)</f>
        <v>15</v>
      </c>
      <c r="AI613" s="13">
        <f>IFERROR(IF(Assumptions!$B$13="Cost Price",AB613,AA613)*SUMIF(Assumptions!$A$6:$A$10,X613,Assumptions!$D$6:$D$10),0)</f>
        <v>30</v>
      </c>
      <c r="AJ613" s="13">
        <v>30</v>
      </c>
      <c r="AK613" s="13">
        <f t="shared" si="159"/>
        <v>99</v>
      </c>
      <c r="AL613" s="14">
        <v>0.33</v>
      </c>
      <c r="AM613" s="13">
        <f t="shared" si="160"/>
        <v>-99</v>
      </c>
      <c r="AN613" s="14">
        <f t="shared" si="161"/>
        <v>-0.33</v>
      </c>
      <c r="AO613" t="str">
        <f>IF(AN613&gt;=Assumptions!$B$3,"OK","Review")</f>
        <v>Review</v>
      </c>
    </row>
    <row r="614" spans="1:41">
      <c r="A614" s="9" t="s">
        <v>431</v>
      </c>
      <c r="B614" s="9" t="s">
        <v>42</v>
      </c>
      <c r="C614" s="9" t="s">
        <v>376</v>
      </c>
      <c r="D614" s="9" t="s">
        <v>454</v>
      </c>
      <c r="E614" s="9" t="s">
        <v>73</v>
      </c>
      <c r="F614" s="9" t="s">
        <v>74</v>
      </c>
      <c r="G614" s="9" t="s">
        <v>31</v>
      </c>
      <c r="H614" s="9" t="s">
        <v>378</v>
      </c>
      <c r="I614" s="9" t="s">
        <v>421</v>
      </c>
      <c r="J614" s="10">
        <v>300</v>
      </c>
      <c r="K614" s="10">
        <v>0</v>
      </c>
      <c r="L614" s="10">
        <v>300</v>
      </c>
      <c r="M614" s="11">
        <v>0</v>
      </c>
      <c r="N614" s="10">
        <v>0</v>
      </c>
      <c r="O614" s="10">
        <v>300</v>
      </c>
      <c r="P614" s="11">
        <v>0.5</v>
      </c>
      <c r="Q614" s="10">
        <v>600</v>
      </c>
      <c r="R614" s="10">
        <f t="shared" si="150"/>
        <v>-209.70000000000005</v>
      </c>
      <c r="S614" s="10">
        <v>300</v>
      </c>
      <c r="T614" s="9" t="s">
        <v>76</v>
      </c>
      <c r="U614" s="10">
        <v>2699</v>
      </c>
      <c r="V614" s="10">
        <f t="shared" si="151"/>
        <v>1889.3</v>
      </c>
      <c r="W614" s="166">
        <v>490110</v>
      </c>
      <c r="X614" s="12" t="s">
        <v>30</v>
      </c>
      <c r="Y614" s="12">
        <f t="shared" si="152"/>
        <v>300</v>
      </c>
      <c r="Z614" s="13">
        <f t="shared" si="153"/>
        <v>300</v>
      </c>
      <c r="AA614" s="13">
        <f t="shared" si="154"/>
        <v>300</v>
      </c>
      <c r="AB614" s="13">
        <f t="shared" si="155"/>
        <v>300</v>
      </c>
      <c r="AC614" s="13">
        <f t="shared" si="156"/>
        <v>0</v>
      </c>
      <c r="AD614" s="14">
        <f t="shared" si="157"/>
        <v>0</v>
      </c>
      <c r="AE614" s="14">
        <f t="shared" si="158"/>
        <v>0</v>
      </c>
      <c r="AF614" s="13" t="str">
        <f>IF(AD614&gt;=Assumptions!$B$3,"OK","Review")</f>
        <v>Review</v>
      </c>
      <c r="AG614" s="13">
        <f>IFERROR(IF(Assumptions!$B$13="Cost Price",AB614,AA614)*SUMIF(Assumptions!$A$6:$A$10,X614,Assumptions!$B$6:$B$10),0)</f>
        <v>24</v>
      </c>
      <c r="AH614" s="13">
        <f>IFERROR(IF(Assumptions!$B$13="Cost Price",AB614,AA614)*SUMIF(Assumptions!$A$6:$A$10,X614,Assumptions!$C$6:$C$10),0)</f>
        <v>15</v>
      </c>
      <c r="AI614" s="13">
        <f>IFERROR(IF(Assumptions!$B$13="Cost Price",AB614,AA614)*SUMIF(Assumptions!$A$6:$A$10,X614,Assumptions!$D$6:$D$10),0)</f>
        <v>30</v>
      </c>
      <c r="AJ614" s="13">
        <v>30</v>
      </c>
      <c r="AK614" s="13">
        <f t="shared" si="159"/>
        <v>99</v>
      </c>
      <c r="AL614" s="14">
        <v>0.33</v>
      </c>
      <c r="AM614" s="13">
        <f t="shared" si="160"/>
        <v>-99</v>
      </c>
      <c r="AN614" s="14">
        <f t="shared" si="161"/>
        <v>-0.33</v>
      </c>
      <c r="AO614" t="str">
        <f>IF(AN614&gt;=Assumptions!$B$3,"OK","Review")</f>
        <v>Review</v>
      </c>
    </row>
    <row r="615" spans="1:41">
      <c r="A615" s="9" t="s">
        <v>431</v>
      </c>
      <c r="B615" s="9" t="s">
        <v>42</v>
      </c>
      <c r="C615" s="9" t="s">
        <v>380</v>
      </c>
      <c r="D615" s="9" t="s">
        <v>455</v>
      </c>
      <c r="E615" s="9" t="s">
        <v>73</v>
      </c>
      <c r="F615" s="9" t="s">
        <v>90</v>
      </c>
      <c r="G615" s="9" t="s">
        <v>31</v>
      </c>
      <c r="H615" s="9" t="s">
        <v>378</v>
      </c>
      <c r="I615" s="9" t="s">
        <v>423</v>
      </c>
      <c r="J615" s="10">
        <v>1613.18</v>
      </c>
      <c r="K615" s="10">
        <v>0</v>
      </c>
      <c r="L615" s="10">
        <v>1613.18</v>
      </c>
      <c r="M615" s="11">
        <v>0.18</v>
      </c>
      <c r="N615" s="10">
        <v>485.82</v>
      </c>
      <c r="O615" s="10">
        <v>2099</v>
      </c>
      <c r="P615" s="11">
        <v>0</v>
      </c>
      <c r="Q615" s="10">
        <v>2099</v>
      </c>
      <c r="R615" s="10">
        <f t="shared" si="150"/>
        <v>-209.70000000000005</v>
      </c>
      <c r="S615" s="10">
        <v>2099</v>
      </c>
      <c r="T615" s="9" t="s">
        <v>91</v>
      </c>
      <c r="U615" s="10">
        <v>2699</v>
      </c>
      <c r="V615" s="10">
        <f t="shared" si="151"/>
        <v>1889.3</v>
      </c>
      <c r="W615" s="166">
        <v>902300</v>
      </c>
      <c r="X615" s="12" t="s">
        <v>30</v>
      </c>
      <c r="Y615" s="12">
        <f t="shared" si="152"/>
        <v>2099</v>
      </c>
      <c r="Z615" s="13">
        <f t="shared" si="153"/>
        <v>2099</v>
      </c>
      <c r="AA615" s="13">
        <f t="shared" si="154"/>
        <v>1778.8135593220341</v>
      </c>
      <c r="AB615" s="13">
        <f t="shared" si="155"/>
        <v>1613.18</v>
      </c>
      <c r="AC615" s="13">
        <f t="shared" si="156"/>
        <v>165.63355932203399</v>
      </c>
      <c r="AD615" s="14">
        <f t="shared" si="157"/>
        <v>9.3114626012386889E-2</v>
      </c>
      <c r="AE615" s="14">
        <f t="shared" si="158"/>
        <v>0.10267518771744875</v>
      </c>
      <c r="AF615" s="13" t="str">
        <f>IF(AD615&gt;=Assumptions!$B$3,"OK","Review")</f>
        <v>Review</v>
      </c>
      <c r="AG615" s="13">
        <f>IFERROR(IF(Assumptions!$B$13="Cost Price",AB615,AA615)*SUMIF(Assumptions!$A$6:$A$10,X615,Assumptions!$B$6:$B$10),0)</f>
        <v>142.30508474576274</v>
      </c>
      <c r="AH615" s="13">
        <f>IFERROR(IF(Assumptions!$B$13="Cost Price",AB615,AA615)*SUMIF(Assumptions!$A$6:$A$10,X615,Assumptions!$C$6:$C$10),0)</f>
        <v>88.940677966101703</v>
      </c>
      <c r="AI615" s="13">
        <f>IFERROR(IF(Assumptions!$B$13="Cost Price",AB615,AA615)*SUMIF(Assumptions!$A$6:$A$10,X615,Assumptions!$D$6:$D$10),0)</f>
        <v>177.88135593220341</v>
      </c>
      <c r="AJ615" s="13">
        <v>177.88135593220341</v>
      </c>
      <c r="AK615" s="13">
        <f t="shared" si="159"/>
        <v>587.00847457627128</v>
      </c>
      <c r="AL615" s="14">
        <v>0.33</v>
      </c>
      <c r="AM615" s="13">
        <f t="shared" si="160"/>
        <v>-421.37491525423729</v>
      </c>
      <c r="AN615" s="14">
        <f t="shared" si="161"/>
        <v>-0.23688537398761314</v>
      </c>
      <c r="AO615" t="str">
        <f>IF(AN615&gt;=Assumptions!$B$3,"OK","Review")</f>
        <v>Review</v>
      </c>
    </row>
    <row r="616" spans="1:41">
      <c r="A616" s="9" t="s">
        <v>431</v>
      </c>
      <c r="B616" s="9" t="s">
        <v>48</v>
      </c>
      <c r="C616" s="9" t="s">
        <v>372</v>
      </c>
      <c r="D616" s="9" t="s">
        <v>456</v>
      </c>
      <c r="E616" s="9" t="s">
        <v>73</v>
      </c>
      <c r="F616" s="9" t="s">
        <v>74</v>
      </c>
      <c r="G616" s="9" t="s">
        <v>31</v>
      </c>
      <c r="H616" s="9" t="s">
        <v>374</v>
      </c>
      <c r="I616" s="9" t="s">
        <v>425</v>
      </c>
      <c r="J616" s="10">
        <v>300</v>
      </c>
      <c r="K616" s="10"/>
      <c r="L616" s="10">
        <v>300</v>
      </c>
      <c r="M616" s="11">
        <v>0</v>
      </c>
      <c r="N616" s="10">
        <v>0</v>
      </c>
      <c r="O616" s="10">
        <v>300</v>
      </c>
      <c r="P616" s="11">
        <v>0.5</v>
      </c>
      <c r="Q616" s="10">
        <v>600</v>
      </c>
      <c r="R616" s="10">
        <f t="shared" si="150"/>
        <v>-209.70000000000005</v>
      </c>
      <c r="S616" s="10">
        <v>300</v>
      </c>
      <c r="T616" s="9" t="s">
        <v>76</v>
      </c>
      <c r="U616" s="10">
        <v>2699</v>
      </c>
      <c r="V616" s="10">
        <f t="shared" si="151"/>
        <v>1889.3</v>
      </c>
      <c r="W616" s="166">
        <v>490110</v>
      </c>
      <c r="X616" s="12" t="s">
        <v>30</v>
      </c>
      <c r="Y616" s="12">
        <f t="shared" si="152"/>
        <v>300</v>
      </c>
      <c r="Z616" s="13">
        <f t="shared" si="153"/>
        <v>300</v>
      </c>
      <c r="AA616" s="13">
        <f t="shared" si="154"/>
        <v>300</v>
      </c>
      <c r="AB616" s="13">
        <f t="shared" si="155"/>
        <v>300</v>
      </c>
      <c r="AC616" s="13">
        <f t="shared" si="156"/>
        <v>0</v>
      </c>
      <c r="AD616" s="14">
        <f t="shared" si="157"/>
        <v>0</v>
      </c>
      <c r="AE616" s="14">
        <f t="shared" si="158"/>
        <v>0</v>
      </c>
      <c r="AF616" s="13" t="str">
        <f>IF(AD616&gt;=Assumptions!$B$3,"OK","Review")</f>
        <v>Review</v>
      </c>
      <c r="AG616" s="13">
        <f>IFERROR(IF(Assumptions!$B$13="Cost Price",AB616,AA616)*SUMIF(Assumptions!$A$6:$A$10,X616,Assumptions!$B$6:$B$10),0)</f>
        <v>24</v>
      </c>
      <c r="AH616" s="13">
        <f>IFERROR(IF(Assumptions!$B$13="Cost Price",AB616,AA616)*SUMIF(Assumptions!$A$6:$A$10,X616,Assumptions!$C$6:$C$10),0)</f>
        <v>15</v>
      </c>
      <c r="AI616" s="13">
        <f>IFERROR(IF(Assumptions!$B$13="Cost Price",AB616,AA616)*SUMIF(Assumptions!$A$6:$A$10,X616,Assumptions!$D$6:$D$10),0)</f>
        <v>30</v>
      </c>
      <c r="AJ616" s="13">
        <v>30</v>
      </c>
      <c r="AK616" s="13">
        <f t="shared" si="159"/>
        <v>99</v>
      </c>
      <c r="AL616" s="14">
        <v>0.33</v>
      </c>
      <c r="AM616" s="13">
        <f t="shared" si="160"/>
        <v>-99</v>
      </c>
      <c r="AN616" s="14">
        <f t="shared" si="161"/>
        <v>-0.33</v>
      </c>
      <c r="AO616" t="str">
        <f>IF(AN616&gt;=Assumptions!$B$3,"OK","Review")</f>
        <v>Review</v>
      </c>
    </row>
    <row r="617" spans="1:41">
      <c r="A617" s="9" t="s">
        <v>431</v>
      </c>
      <c r="B617" s="9" t="s">
        <v>48</v>
      </c>
      <c r="C617" s="9" t="s">
        <v>376</v>
      </c>
      <c r="D617" s="9" t="s">
        <v>457</v>
      </c>
      <c r="E617" s="9" t="s">
        <v>73</v>
      </c>
      <c r="F617" s="9" t="s">
        <v>74</v>
      </c>
      <c r="G617" s="9" t="s">
        <v>31</v>
      </c>
      <c r="H617" s="9" t="s">
        <v>378</v>
      </c>
      <c r="I617" s="9" t="s">
        <v>427</v>
      </c>
      <c r="J617" s="10">
        <v>300</v>
      </c>
      <c r="K617" s="10">
        <v>0</v>
      </c>
      <c r="L617" s="10">
        <v>300</v>
      </c>
      <c r="M617" s="11">
        <v>0</v>
      </c>
      <c r="N617" s="10">
        <v>0</v>
      </c>
      <c r="O617" s="10">
        <v>300</v>
      </c>
      <c r="P617" s="11">
        <v>0.5</v>
      </c>
      <c r="Q617" s="10">
        <v>600</v>
      </c>
      <c r="R617" s="10">
        <f t="shared" si="150"/>
        <v>-209.70000000000005</v>
      </c>
      <c r="S617" s="10">
        <v>300</v>
      </c>
      <c r="T617" s="9" t="s">
        <v>76</v>
      </c>
      <c r="U617" s="10">
        <v>2699</v>
      </c>
      <c r="V617" s="10">
        <f t="shared" si="151"/>
        <v>1889.3</v>
      </c>
      <c r="W617" s="166">
        <v>490110</v>
      </c>
      <c r="X617" s="12" t="s">
        <v>30</v>
      </c>
      <c r="Y617" s="12">
        <f t="shared" si="152"/>
        <v>300</v>
      </c>
      <c r="Z617" s="13">
        <f t="shared" si="153"/>
        <v>300</v>
      </c>
      <c r="AA617" s="13">
        <f t="shared" si="154"/>
        <v>300</v>
      </c>
      <c r="AB617" s="13">
        <f t="shared" si="155"/>
        <v>300</v>
      </c>
      <c r="AC617" s="13">
        <f t="shared" si="156"/>
        <v>0</v>
      </c>
      <c r="AD617" s="14">
        <f t="shared" si="157"/>
        <v>0</v>
      </c>
      <c r="AE617" s="14">
        <f t="shared" si="158"/>
        <v>0</v>
      </c>
      <c r="AF617" s="13" t="str">
        <f>IF(AD617&gt;=Assumptions!$B$3,"OK","Review")</f>
        <v>Review</v>
      </c>
      <c r="AG617" s="13">
        <f>IFERROR(IF(Assumptions!$B$13="Cost Price",AB617,AA617)*SUMIF(Assumptions!$A$6:$A$10,X617,Assumptions!$B$6:$B$10),0)</f>
        <v>24</v>
      </c>
      <c r="AH617" s="13">
        <f>IFERROR(IF(Assumptions!$B$13="Cost Price",AB617,AA617)*SUMIF(Assumptions!$A$6:$A$10,X617,Assumptions!$C$6:$C$10),0)</f>
        <v>15</v>
      </c>
      <c r="AI617" s="13">
        <f>IFERROR(IF(Assumptions!$B$13="Cost Price",AB617,AA617)*SUMIF(Assumptions!$A$6:$A$10,X617,Assumptions!$D$6:$D$10),0)</f>
        <v>30</v>
      </c>
      <c r="AJ617" s="13">
        <v>30</v>
      </c>
      <c r="AK617" s="13">
        <f t="shared" si="159"/>
        <v>99</v>
      </c>
      <c r="AL617" s="14">
        <v>0.33</v>
      </c>
      <c r="AM617" s="13">
        <f t="shared" si="160"/>
        <v>-99</v>
      </c>
      <c r="AN617" s="14">
        <f t="shared" si="161"/>
        <v>-0.33</v>
      </c>
      <c r="AO617" t="str">
        <f>IF(AN617&gt;=Assumptions!$B$3,"OK","Review")</f>
        <v>Review</v>
      </c>
    </row>
    <row r="618" spans="1:41">
      <c r="A618" s="9" t="s">
        <v>431</v>
      </c>
      <c r="B618" s="9" t="s">
        <v>48</v>
      </c>
      <c r="C618" s="9" t="s">
        <v>380</v>
      </c>
      <c r="D618" s="9" t="s">
        <v>428</v>
      </c>
      <c r="E618" s="9" t="s">
        <v>73</v>
      </c>
      <c r="F618" s="9" t="s">
        <v>90</v>
      </c>
      <c r="G618" s="9" t="s">
        <v>31</v>
      </c>
      <c r="H618" s="9" t="s">
        <v>378</v>
      </c>
      <c r="I618" s="9" t="s">
        <v>429</v>
      </c>
      <c r="J618" s="10">
        <v>1613.18</v>
      </c>
      <c r="K618" s="10">
        <v>0</v>
      </c>
      <c r="L618" s="10">
        <v>1613.18</v>
      </c>
      <c r="M618" s="11">
        <v>0.18</v>
      </c>
      <c r="N618" s="10">
        <v>485.82</v>
      </c>
      <c r="O618" s="10">
        <v>2099</v>
      </c>
      <c r="P618" s="11">
        <v>0</v>
      </c>
      <c r="Q618" s="10">
        <v>2099</v>
      </c>
      <c r="R618" s="10">
        <f t="shared" si="150"/>
        <v>-209.70000000000005</v>
      </c>
      <c r="S618" s="10">
        <v>2099</v>
      </c>
      <c r="T618" s="9" t="s">
        <v>91</v>
      </c>
      <c r="U618" s="10">
        <v>2699</v>
      </c>
      <c r="V618" s="10">
        <f t="shared" si="151"/>
        <v>1889.3</v>
      </c>
      <c r="W618" s="166">
        <v>902300</v>
      </c>
      <c r="X618" s="12" t="s">
        <v>30</v>
      </c>
      <c r="Y618" s="12">
        <f t="shared" si="152"/>
        <v>2099</v>
      </c>
      <c r="Z618" s="13">
        <f t="shared" si="153"/>
        <v>2099</v>
      </c>
      <c r="AA618" s="13">
        <f t="shared" si="154"/>
        <v>1778.8135593220341</v>
      </c>
      <c r="AB618" s="13">
        <f t="shared" si="155"/>
        <v>1613.18</v>
      </c>
      <c r="AC618" s="13">
        <f t="shared" si="156"/>
        <v>165.63355932203399</v>
      </c>
      <c r="AD618" s="14">
        <f t="shared" si="157"/>
        <v>9.3114626012386889E-2</v>
      </c>
      <c r="AE618" s="14">
        <f t="shared" si="158"/>
        <v>0.10267518771744875</v>
      </c>
      <c r="AF618" s="13" t="str">
        <f>IF(AD618&gt;=Assumptions!$B$3,"OK","Review")</f>
        <v>Review</v>
      </c>
      <c r="AG618" s="13">
        <f>IFERROR(IF(Assumptions!$B$13="Cost Price",AB618,AA618)*SUMIF(Assumptions!$A$6:$A$10,X618,Assumptions!$B$6:$B$10),0)</f>
        <v>142.30508474576274</v>
      </c>
      <c r="AH618" s="13">
        <f>IFERROR(IF(Assumptions!$B$13="Cost Price",AB618,AA618)*SUMIF(Assumptions!$A$6:$A$10,X618,Assumptions!$C$6:$C$10),0)</f>
        <v>88.940677966101703</v>
      </c>
      <c r="AI618" s="13">
        <f>IFERROR(IF(Assumptions!$B$13="Cost Price",AB618,AA618)*SUMIF(Assumptions!$A$6:$A$10,X618,Assumptions!$D$6:$D$10),0)</f>
        <v>177.88135593220341</v>
      </c>
      <c r="AJ618" s="13">
        <v>177.88135593220341</v>
      </c>
      <c r="AK618" s="13">
        <f t="shared" si="159"/>
        <v>587.00847457627128</v>
      </c>
      <c r="AL618" s="14">
        <v>0.33</v>
      </c>
      <c r="AM618" s="13">
        <f t="shared" si="160"/>
        <v>-421.37491525423729</v>
      </c>
      <c r="AN618" s="14">
        <f t="shared" si="161"/>
        <v>-0.23688537398761314</v>
      </c>
      <c r="AO618" t="str">
        <f>IF(AN618&gt;=Assumptions!$B$3,"OK","Review")</f>
        <v>Review</v>
      </c>
    </row>
    <row r="619" spans="1:41">
      <c r="A619" s="9" t="s">
        <v>431</v>
      </c>
      <c r="B619" s="9" t="s">
        <v>35</v>
      </c>
      <c r="C619" s="9" t="s">
        <v>372</v>
      </c>
      <c r="D619" s="9" t="s">
        <v>432</v>
      </c>
      <c r="E619" s="9" t="s">
        <v>430</v>
      </c>
      <c r="F619" s="9" t="s">
        <v>74</v>
      </c>
      <c r="G619" s="9" t="s">
        <v>31</v>
      </c>
      <c r="H619" s="9" t="s">
        <v>374</v>
      </c>
      <c r="I619" s="9" t="s">
        <v>375</v>
      </c>
      <c r="J619" s="10">
        <v>300</v>
      </c>
      <c r="K619" s="10"/>
      <c r="L619" s="10">
        <v>300</v>
      </c>
      <c r="M619" s="11">
        <v>0</v>
      </c>
      <c r="N619" s="10">
        <v>0</v>
      </c>
      <c r="O619" s="10">
        <v>300</v>
      </c>
      <c r="P619" s="11">
        <v>0.5</v>
      </c>
      <c r="Q619" s="10">
        <v>600</v>
      </c>
      <c r="R619" s="10">
        <f t="shared" si="150"/>
        <v>270.29999999999995</v>
      </c>
      <c r="S619" s="10">
        <v>300</v>
      </c>
      <c r="T619" s="9" t="s">
        <v>76</v>
      </c>
      <c r="U619" s="10">
        <v>1099</v>
      </c>
      <c r="V619" s="10">
        <f t="shared" si="151"/>
        <v>769.3</v>
      </c>
      <c r="W619" s="166">
        <v>490110</v>
      </c>
      <c r="X619" s="12" t="s">
        <v>30</v>
      </c>
      <c r="Y619" s="12">
        <f t="shared" si="152"/>
        <v>300</v>
      </c>
      <c r="Z619" s="13">
        <f t="shared" si="153"/>
        <v>300</v>
      </c>
      <c r="AA619" s="13">
        <f t="shared" si="154"/>
        <v>300</v>
      </c>
      <c r="AB619" s="13">
        <f t="shared" si="155"/>
        <v>300</v>
      </c>
      <c r="AC619" s="13">
        <f t="shared" si="156"/>
        <v>0</v>
      </c>
      <c r="AD619" s="14">
        <f t="shared" si="157"/>
        <v>0</v>
      </c>
      <c r="AE619" s="14">
        <f t="shared" si="158"/>
        <v>0</v>
      </c>
      <c r="AF619" s="13" t="str">
        <f>IF(AD619&gt;=Assumptions!$B$3,"OK","Review")</f>
        <v>Review</v>
      </c>
      <c r="AG619" s="13">
        <f>IFERROR(IF(Assumptions!$B$13="Cost Price",AB619,AA619)*SUMIF(Assumptions!$A$6:$A$10,X619,Assumptions!$B$6:$B$10),0)</f>
        <v>24</v>
      </c>
      <c r="AH619" s="13">
        <f>IFERROR(IF(Assumptions!$B$13="Cost Price",AB619,AA619)*SUMIF(Assumptions!$A$6:$A$10,X619,Assumptions!$C$6:$C$10),0)</f>
        <v>15</v>
      </c>
      <c r="AI619" s="13">
        <f>IFERROR(IF(Assumptions!$B$13="Cost Price",AB619,AA619)*SUMIF(Assumptions!$A$6:$A$10,X619,Assumptions!$D$6:$D$10),0)</f>
        <v>30</v>
      </c>
      <c r="AJ619" s="13">
        <v>30</v>
      </c>
      <c r="AK619" s="13">
        <f t="shared" si="159"/>
        <v>99</v>
      </c>
      <c r="AL619" s="14">
        <v>0.33</v>
      </c>
      <c r="AM619" s="13">
        <f t="shared" si="160"/>
        <v>-99</v>
      </c>
      <c r="AN619" s="14">
        <f t="shared" si="161"/>
        <v>-0.33</v>
      </c>
      <c r="AO619" t="str">
        <f>IF(AN619&gt;=Assumptions!$B$3,"OK","Review")</f>
        <v>Review</v>
      </c>
    </row>
    <row r="620" spans="1:41">
      <c r="A620" s="9" t="s">
        <v>431</v>
      </c>
      <c r="B620" s="9" t="s">
        <v>35</v>
      </c>
      <c r="C620" s="9" t="s">
        <v>376</v>
      </c>
      <c r="D620" s="9" t="s">
        <v>433</v>
      </c>
      <c r="E620" s="9" t="s">
        <v>430</v>
      </c>
      <c r="F620" s="9" t="s">
        <v>74</v>
      </c>
      <c r="G620" s="9" t="s">
        <v>31</v>
      </c>
      <c r="H620" s="9" t="s">
        <v>378</v>
      </c>
      <c r="I620" s="9" t="s">
        <v>379</v>
      </c>
      <c r="J620" s="10">
        <v>300</v>
      </c>
      <c r="K620" s="10">
        <v>0</v>
      </c>
      <c r="L620" s="10">
        <v>300</v>
      </c>
      <c r="M620" s="11">
        <v>0</v>
      </c>
      <c r="N620" s="10">
        <v>0</v>
      </c>
      <c r="O620" s="10">
        <v>300</v>
      </c>
      <c r="P620" s="11">
        <v>0.5</v>
      </c>
      <c r="Q620" s="10">
        <v>600</v>
      </c>
      <c r="R620" s="10">
        <f t="shared" si="150"/>
        <v>270.29999999999995</v>
      </c>
      <c r="S620" s="10">
        <v>300</v>
      </c>
      <c r="T620" s="9" t="s">
        <v>76</v>
      </c>
      <c r="U620" s="10">
        <v>1099</v>
      </c>
      <c r="V620" s="10">
        <f t="shared" si="151"/>
        <v>769.3</v>
      </c>
      <c r="W620" s="166">
        <v>490110</v>
      </c>
      <c r="X620" s="12" t="s">
        <v>30</v>
      </c>
      <c r="Y620" s="12">
        <f t="shared" si="152"/>
        <v>300</v>
      </c>
      <c r="Z620" s="13">
        <f t="shared" si="153"/>
        <v>300</v>
      </c>
      <c r="AA620" s="13">
        <f t="shared" si="154"/>
        <v>300</v>
      </c>
      <c r="AB620" s="13">
        <f t="shared" si="155"/>
        <v>300</v>
      </c>
      <c r="AC620" s="13">
        <f t="shared" si="156"/>
        <v>0</v>
      </c>
      <c r="AD620" s="14">
        <f t="shared" si="157"/>
        <v>0</v>
      </c>
      <c r="AE620" s="14">
        <f t="shared" si="158"/>
        <v>0</v>
      </c>
      <c r="AF620" s="13" t="str">
        <f>IF(AD620&gt;=Assumptions!$B$3,"OK","Review")</f>
        <v>Review</v>
      </c>
      <c r="AG620" s="13">
        <f>IFERROR(IF(Assumptions!$B$13="Cost Price",AB620,AA620)*SUMIF(Assumptions!$A$6:$A$10,X620,Assumptions!$B$6:$B$10),0)</f>
        <v>24</v>
      </c>
      <c r="AH620" s="13">
        <f>IFERROR(IF(Assumptions!$B$13="Cost Price",AB620,AA620)*SUMIF(Assumptions!$A$6:$A$10,X620,Assumptions!$C$6:$C$10),0)</f>
        <v>15</v>
      </c>
      <c r="AI620" s="13">
        <f>IFERROR(IF(Assumptions!$B$13="Cost Price",AB620,AA620)*SUMIF(Assumptions!$A$6:$A$10,X620,Assumptions!$D$6:$D$10),0)</f>
        <v>30</v>
      </c>
      <c r="AJ620" s="13">
        <v>30</v>
      </c>
      <c r="AK620" s="13">
        <f t="shared" si="159"/>
        <v>99</v>
      </c>
      <c r="AL620" s="14">
        <v>0.33</v>
      </c>
      <c r="AM620" s="13">
        <f t="shared" si="160"/>
        <v>-99</v>
      </c>
      <c r="AN620" s="14">
        <f t="shared" si="161"/>
        <v>-0.33</v>
      </c>
      <c r="AO620" t="str">
        <f>IF(AN620&gt;=Assumptions!$B$3,"OK","Review")</f>
        <v>Review</v>
      </c>
    </row>
    <row r="621" spans="1:41">
      <c r="A621" s="9" t="s">
        <v>431</v>
      </c>
      <c r="B621" s="9" t="s">
        <v>35</v>
      </c>
      <c r="C621" s="9" t="s">
        <v>380</v>
      </c>
      <c r="D621" s="9" t="s">
        <v>434</v>
      </c>
      <c r="E621" s="9" t="s">
        <v>430</v>
      </c>
      <c r="F621" s="9" t="s">
        <v>90</v>
      </c>
      <c r="G621" s="9" t="s">
        <v>31</v>
      </c>
      <c r="H621" s="9" t="s">
        <v>378</v>
      </c>
      <c r="I621" s="9" t="s">
        <v>382</v>
      </c>
      <c r="J621" s="10">
        <v>301.18</v>
      </c>
      <c r="K621" s="10">
        <v>0</v>
      </c>
      <c r="L621" s="10">
        <v>301.18</v>
      </c>
      <c r="M621" s="11">
        <v>0.18</v>
      </c>
      <c r="N621" s="10">
        <v>197.82</v>
      </c>
      <c r="O621" s="10">
        <v>499</v>
      </c>
      <c r="P621" s="11">
        <v>0</v>
      </c>
      <c r="Q621" s="10">
        <v>499</v>
      </c>
      <c r="R621" s="10">
        <f t="shared" si="150"/>
        <v>270.29999999999995</v>
      </c>
      <c r="S621" s="10">
        <v>499</v>
      </c>
      <c r="T621" s="9" t="s">
        <v>91</v>
      </c>
      <c r="U621" s="10">
        <v>1099</v>
      </c>
      <c r="V621" s="10">
        <f t="shared" si="151"/>
        <v>769.3</v>
      </c>
      <c r="W621" s="166">
        <v>902300</v>
      </c>
      <c r="X621" s="12" t="s">
        <v>30</v>
      </c>
      <c r="Y621" s="12">
        <f t="shared" si="152"/>
        <v>499</v>
      </c>
      <c r="Z621" s="13">
        <f t="shared" si="153"/>
        <v>499</v>
      </c>
      <c r="AA621" s="13">
        <f t="shared" si="154"/>
        <v>422.88135593220341</v>
      </c>
      <c r="AB621" s="13">
        <f t="shared" si="155"/>
        <v>301.18</v>
      </c>
      <c r="AC621" s="13">
        <f t="shared" si="156"/>
        <v>121.7013559322034</v>
      </c>
      <c r="AD621" s="14">
        <f t="shared" si="157"/>
        <v>0.28779078156312626</v>
      </c>
      <c r="AE621" s="14">
        <f t="shared" si="158"/>
        <v>0.40408179803507338</v>
      </c>
      <c r="AF621" s="13" t="str">
        <f>IF(AD621&gt;=Assumptions!$B$3,"OK","Review")</f>
        <v>Review</v>
      </c>
      <c r="AG621" s="13">
        <f>IFERROR(IF(Assumptions!$B$13="Cost Price",AB621,AA621)*SUMIF(Assumptions!$A$6:$A$10,X621,Assumptions!$B$6:$B$10),0)</f>
        <v>33.83050847457627</v>
      </c>
      <c r="AH621" s="13">
        <f>IFERROR(IF(Assumptions!$B$13="Cost Price",AB621,AA621)*SUMIF(Assumptions!$A$6:$A$10,X621,Assumptions!$C$6:$C$10),0)</f>
        <v>21.144067796610173</v>
      </c>
      <c r="AI621" s="13">
        <f>IFERROR(IF(Assumptions!$B$13="Cost Price",AB621,AA621)*SUMIF(Assumptions!$A$6:$A$10,X621,Assumptions!$D$6:$D$10),0)</f>
        <v>42.288135593220346</v>
      </c>
      <c r="AJ621" s="13">
        <v>42.288135593220346</v>
      </c>
      <c r="AK621" s="13">
        <f t="shared" si="159"/>
        <v>139.55084745762713</v>
      </c>
      <c r="AL621" s="14">
        <v>0.33</v>
      </c>
      <c r="AM621" s="13">
        <f t="shared" si="160"/>
        <v>-17.84949152542373</v>
      </c>
      <c r="AN621" s="14">
        <f t="shared" si="161"/>
        <v>-4.2209218436873745E-2</v>
      </c>
      <c r="AO621" t="str">
        <f>IF(AN621&gt;=Assumptions!$B$3,"OK","Review")</f>
        <v>Review</v>
      </c>
    </row>
    <row r="622" spans="1:41">
      <c r="A622" s="9" t="s">
        <v>431</v>
      </c>
      <c r="B622" s="9" t="s">
        <v>36</v>
      </c>
      <c r="C622" s="9" t="s">
        <v>372</v>
      </c>
      <c r="D622" s="9" t="s">
        <v>435</v>
      </c>
      <c r="E622" s="9" t="s">
        <v>430</v>
      </c>
      <c r="F622" s="9" t="s">
        <v>74</v>
      </c>
      <c r="G622" s="9" t="s">
        <v>31</v>
      </c>
      <c r="H622" s="9" t="s">
        <v>374</v>
      </c>
      <c r="I622" s="9" t="s">
        <v>384</v>
      </c>
      <c r="J622" s="10">
        <v>300</v>
      </c>
      <c r="K622" s="10"/>
      <c r="L622" s="10">
        <v>300</v>
      </c>
      <c r="M622" s="11">
        <v>0</v>
      </c>
      <c r="N622" s="10">
        <v>0</v>
      </c>
      <c r="O622" s="10">
        <v>300</v>
      </c>
      <c r="P622" s="11">
        <v>0.5</v>
      </c>
      <c r="Q622" s="10">
        <v>600</v>
      </c>
      <c r="R622" s="10">
        <f t="shared" si="150"/>
        <v>270.29999999999995</v>
      </c>
      <c r="S622" s="10">
        <v>300</v>
      </c>
      <c r="T622" s="9" t="s">
        <v>76</v>
      </c>
      <c r="U622" s="10">
        <v>1099</v>
      </c>
      <c r="V622" s="10">
        <f t="shared" si="151"/>
        <v>769.3</v>
      </c>
      <c r="W622" s="166">
        <v>490110</v>
      </c>
      <c r="X622" s="12" t="s">
        <v>30</v>
      </c>
      <c r="Y622" s="12">
        <f t="shared" si="152"/>
        <v>300</v>
      </c>
      <c r="Z622" s="13">
        <f t="shared" si="153"/>
        <v>300</v>
      </c>
      <c r="AA622" s="13">
        <f t="shared" si="154"/>
        <v>300</v>
      </c>
      <c r="AB622" s="13">
        <f t="shared" si="155"/>
        <v>300</v>
      </c>
      <c r="AC622" s="13">
        <f t="shared" si="156"/>
        <v>0</v>
      </c>
      <c r="AD622" s="14">
        <f t="shared" si="157"/>
        <v>0</v>
      </c>
      <c r="AE622" s="14">
        <f t="shared" si="158"/>
        <v>0</v>
      </c>
      <c r="AF622" s="13" t="str">
        <f>IF(AD622&gt;=Assumptions!$B$3,"OK","Review")</f>
        <v>Review</v>
      </c>
      <c r="AG622" s="13">
        <f>IFERROR(IF(Assumptions!$B$13="Cost Price",AB622,AA622)*SUMIF(Assumptions!$A$6:$A$10,X622,Assumptions!$B$6:$B$10),0)</f>
        <v>24</v>
      </c>
      <c r="AH622" s="13">
        <f>IFERROR(IF(Assumptions!$B$13="Cost Price",AB622,AA622)*SUMIF(Assumptions!$A$6:$A$10,X622,Assumptions!$C$6:$C$10),0)</f>
        <v>15</v>
      </c>
      <c r="AI622" s="13">
        <f>IFERROR(IF(Assumptions!$B$13="Cost Price",AB622,AA622)*SUMIF(Assumptions!$A$6:$A$10,X622,Assumptions!$D$6:$D$10),0)</f>
        <v>30</v>
      </c>
      <c r="AJ622" s="13">
        <v>30</v>
      </c>
      <c r="AK622" s="13">
        <f t="shared" si="159"/>
        <v>99</v>
      </c>
      <c r="AL622" s="14">
        <v>0.33</v>
      </c>
      <c r="AM622" s="13">
        <f t="shared" si="160"/>
        <v>-99</v>
      </c>
      <c r="AN622" s="14">
        <f t="shared" si="161"/>
        <v>-0.33</v>
      </c>
      <c r="AO622" t="str">
        <f>IF(AN622&gt;=Assumptions!$B$3,"OK","Review")</f>
        <v>Review</v>
      </c>
    </row>
    <row r="623" spans="1:41">
      <c r="A623" s="9" t="s">
        <v>431</v>
      </c>
      <c r="B623" s="9" t="s">
        <v>36</v>
      </c>
      <c r="C623" s="9" t="s">
        <v>376</v>
      </c>
      <c r="D623" s="9" t="s">
        <v>436</v>
      </c>
      <c r="E623" s="9" t="s">
        <v>430</v>
      </c>
      <c r="F623" s="9" t="s">
        <v>74</v>
      </c>
      <c r="G623" s="9" t="s">
        <v>31</v>
      </c>
      <c r="H623" s="9" t="s">
        <v>378</v>
      </c>
      <c r="I623" s="9" t="s">
        <v>386</v>
      </c>
      <c r="J623" s="10">
        <v>300</v>
      </c>
      <c r="K623" s="10">
        <v>0</v>
      </c>
      <c r="L623" s="10">
        <v>300</v>
      </c>
      <c r="M623" s="11">
        <v>0</v>
      </c>
      <c r="N623" s="10">
        <v>0</v>
      </c>
      <c r="O623" s="10">
        <v>300</v>
      </c>
      <c r="P623" s="11">
        <v>0.5</v>
      </c>
      <c r="Q623" s="10">
        <v>600</v>
      </c>
      <c r="R623" s="10">
        <f t="shared" si="150"/>
        <v>270.29999999999995</v>
      </c>
      <c r="S623" s="10">
        <v>300</v>
      </c>
      <c r="T623" s="9" t="s">
        <v>76</v>
      </c>
      <c r="U623" s="10">
        <v>1099</v>
      </c>
      <c r="V623" s="10">
        <f t="shared" si="151"/>
        <v>769.3</v>
      </c>
      <c r="W623" s="166">
        <v>490110</v>
      </c>
      <c r="X623" s="12" t="s">
        <v>30</v>
      </c>
      <c r="Y623" s="12">
        <f t="shared" si="152"/>
        <v>300</v>
      </c>
      <c r="Z623" s="13">
        <f t="shared" si="153"/>
        <v>300</v>
      </c>
      <c r="AA623" s="13">
        <f t="shared" si="154"/>
        <v>300</v>
      </c>
      <c r="AB623" s="13">
        <f t="shared" si="155"/>
        <v>300</v>
      </c>
      <c r="AC623" s="13">
        <f t="shared" si="156"/>
        <v>0</v>
      </c>
      <c r="AD623" s="14">
        <f t="shared" si="157"/>
        <v>0</v>
      </c>
      <c r="AE623" s="14">
        <f t="shared" si="158"/>
        <v>0</v>
      </c>
      <c r="AF623" s="13" t="str">
        <f>IF(AD623&gt;=Assumptions!$B$3,"OK","Review")</f>
        <v>Review</v>
      </c>
      <c r="AG623" s="13">
        <f>IFERROR(IF(Assumptions!$B$13="Cost Price",AB623,AA623)*SUMIF(Assumptions!$A$6:$A$10,X623,Assumptions!$B$6:$B$10),0)</f>
        <v>24</v>
      </c>
      <c r="AH623" s="13">
        <f>IFERROR(IF(Assumptions!$B$13="Cost Price",AB623,AA623)*SUMIF(Assumptions!$A$6:$A$10,X623,Assumptions!$C$6:$C$10),0)</f>
        <v>15</v>
      </c>
      <c r="AI623" s="13">
        <f>IFERROR(IF(Assumptions!$B$13="Cost Price",AB623,AA623)*SUMIF(Assumptions!$A$6:$A$10,X623,Assumptions!$D$6:$D$10),0)</f>
        <v>30</v>
      </c>
      <c r="AJ623" s="13">
        <v>30</v>
      </c>
      <c r="AK623" s="13">
        <f t="shared" si="159"/>
        <v>99</v>
      </c>
      <c r="AL623" s="14">
        <v>0.33</v>
      </c>
      <c r="AM623" s="13">
        <f t="shared" si="160"/>
        <v>-99</v>
      </c>
      <c r="AN623" s="14">
        <f t="shared" si="161"/>
        <v>-0.33</v>
      </c>
      <c r="AO623" t="str">
        <f>IF(AN623&gt;=Assumptions!$B$3,"OK","Review")</f>
        <v>Review</v>
      </c>
    </row>
    <row r="624" spans="1:41">
      <c r="A624" s="9" t="s">
        <v>431</v>
      </c>
      <c r="B624" s="9" t="s">
        <v>36</v>
      </c>
      <c r="C624" s="9" t="s">
        <v>380</v>
      </c>
      <c r="D624" s="9" t="s">
        <v>437</v>
      </c>
      <c r="E624" s="9" t="s">
        <v>430</v>
      </c>
      <c r="F624" s="9" t="s">
        <v>90</v>
      </c>
      <c r="G624" s="9" t="s">
        <v>31</v>
      </c>
      <c r="H624" s="9" t="s">
        <v>378</v>
      </c>
      <c r="I624" s="9" t="s">
        <v>382</v>
      </c>
      <c r="J624" s="10">
        <v>301.18</v>
      </c>
      <c r="K624" s="10">
        <v>0</v>
      </c>
      <c r="L624" s="10">
        <v>301.18</v>
      </c>
      <c r="M624" s="11">
        <v>0.18</v>
      </c>
      <c r="N624" s="10">
        <v>197.82</v>
      </c>
      <c r="O624" s="10">
        <v>499</v>
      </c>
      <c r="P624" s="11">
        <v>0</v>
      </c>
      <c r="Q624" s="10">
        <v>499</v>
      </c>
      <c r="R624" s="10">
        <f t="shared" si="150"/>
        <v>270.29999999999995</v>
      </c>
      <c r="S624" s="10">
        <v>499</v>
      </c>
      <c r="T624" s="9" t="s">
        <v>91</v>
      </c>
      <c r="U624" s="10">
        <v>1099</v>
      </c>
      <c r="V624" s="10">
        <f t="shared" si="151"/>
        <v>769.3</v>
      </c>
      <c r="W624" s="166">
        <v>902300</v>
      </c>
      <c r="X624" s="12" t="s">
        <v>30</v>
      </c>
      <c r="Y624" s="12">
        <f t="shared" si="152"/>
        <v>499</v>
      </c>
      <c r="Z624" s="13">
        <f t="shared" si="153"/>
        <v>499</v>
      </c>
      <c r="AA624" s="13">
        <f t="shared" si="154"/>
        <v>422.88135593220341</v>
      </c>
      <c r="AB624" s="13">
        <f t="shared" si="155"/>
        <v>301.18</v>
      </c>
      <c r="AC624" s="13">
        <f t="shared" si="156"/>
        <v>121.7013559322034</v>
      </c>
      <c r="AD624" s="14">
        <f t="shared" si="157"/>
        <v>0.28779078156312626</v>
      </c>
      <c r="AE624" s="14">
        <f t="shared" si="158"/>
        <v>0.40408179803507338</v>
      </c>
      <c r="AF624" s="13" t="str">
        <f>IF(AD624&gt;=Assumptions!$B$3,"OK","Review")</f>
        <v>Review</v>
      </c>
      <c r="AG624" s="13">
        <f>IFERROR(IF(Assumptions!$B$13="Cost Price",AB624,AA624)*SUMIF(Assumptions!$A$6:$A$10,X624,Assumptions!$B$6:$B$10),0)</f>
        <v>33.83050847457627</v>
      </c>
      <c r="AH624" s="13">
        <f>IFERROR(IF(Assumptions!$B$13="Cost Price",AB624,AA624)*SUMIF(Assumptions!$A$6:$A$10,X624,Assumptions!$C$6:$C$10),0)</f>
        <v>21.144067796610173</v>
      </c>
      <c r="AI624" s="13">
        <f>IFERROR(IF(Assumptions!$B$13="Cost Price",AB624,AA624)*SUMIF(Assumptions!$A$6:$A$10,X624,Assumptions!$D$6:$D$10),0)</f>
        <v>42.288135593220346</v>
      </c>
      <c r="AJ624" s="13">
        <v>42.288135593220346</v>
      </c>
      <c r="AK624" s="13">
        <f t="shared" si="159"/>
        <v>139.55084745762713</v>
      </c>
      <c r="AL624" s="14">
        <v>0.33</v>
      </c>
      <c r="AM624" s="13">
        <f t="shared" si="160"/>
        <v>-17.84949152542373</v>
      </c>
      <c r="AN624" s="14">
        <f t="shared" si="161"/>
        <v>-4.2209218436873745E-2</v>
      </c>
      <c r="AO624" t="str">
        <f>IF(AN624&gt;=Assumptions!$B$3,"OK","Review")</f>
        <v>Review</v>
      </c>
    </row>
    <row r="625" spans="1:41">
      <c r="A625" s="9" t="s">
        <v>431</v>
      </c>
      <c r="B625" s="9" t="s">
        <v>37</v>
      </c>
      <c r="C625" s="9" t="s">
        <v>372</v>
      </c>
      <c r="D625" s="9" t="s">
        <v>438</v>
      </c>
      <c r="E625" s="9" t="s">
        <v>430</v>
      </c>
      <c r="F625" s="9" t="s">
        <v>74</v>
      </c>
      <c r="G625" s="9" t="s">
        <v>31</v>
      </c>
      <c r="H625" s="9" t="s">
        <v>374</v>
      </c>
      <c r="I625" s="9" t="s">
        <v>389</v>
      </c>
      <c r="J625" s="10">
        <v>300</v>
      </c>
      <c r="K625" s="10"/>
      <c r="L625" s="10">
        <v>300</v>
      </c>
      <c r="M625" s="11">
        <v>0</v>
      </c>
      <c r="N625" s="10">
        <v>0</v>
      </c>
      <c r="O625" s="10">
        <v>300</v>
      </c>
      <c r="P625" s="11">
        <v>0.5</v>
      </c>
      <c r="Q625" s="10">
        <v>600</v>
      </c>
      <c r="R625" s="10">
        <f t="shared" si="150"/>
        <v>270.29999999999995</v>
      </c>
      <c r="S625" s="10">
        <v>300</v>
      </c>
      <c r="T625" s="9" t="s">
        <v>76</v>
      </c>
      <c r="U625" s="10">
        <v>1099</v>
      </c>
      <c r="V625" s="10">
        <f t="shared" si="151"/>
        <v>769.3</v>
      </c>
      <c r="W625" s="166">
        <v>490110</v>
      </c>
      <c r="X625" s="12" t="s">
        <v>30</v>
      </c>
      <c r="Y625" s="12">
        <f t="shared" si="152"/>
        <v>300</v>
      </c>
      <c r="Z625" s="13">
        <f t="shared" si="153"/>
        <v>300</v>
      </c>
      <c r="AA625" s="13">
        <f t="shared" si="154"/>
        <v>300</v>
      </c>
      <c r="AB625" s="13">
        <f t="shared" si="155"/>
        <v>300</v>
      </c>
      <c r="AC625" s="13">
        <f t="shared" si="156"/>
        <v>0</v>
      </c>
      <c r="AD625" s="14">
        <f t="shared" si="157"/>
        <v>0</v>
      </c>
      <c r="AE625" s="14">
        <f t="shared" si="158"/>
        <v>0</v>
      </c>
      <c r="AF625" s="13" t="str">
        <f>IF(AD625&gt;=Assumptions!$B$3,"OK","Review")</f>
        <v>Review</v>
      </c>
      <c r="AG625" s="13">
        <f>IFERROR(IF(Assumptions!$B$13="Cost Price",AB625,AA625)*SUMIF(Assumptions!$A$6:$A$10,X625,Assumptions!$B$6:$B$10),0)</f>
        <v>24</v>
      </c>
      <c r="AH625" s="13">
        <f>IFERROR(IF(Assumptions!$B$13="Cost Price",AB625,AA625)*SUMIF(Assumptions!$A$6:$A$10,X625,Assumptions!$C$6:$C$10),0)</f>
        <v>15</v>
      </c>
      <c r="AI625" s="13">
        <f>IFERROR(IF(Assumptions!$B$13="Cost Price",AB625,AA625)*SUMIF(Assumptions!$A$6:$A$10,X625,Assumptions!$D$6:$D$10),0)</f>
        <v>30</v>
      </c>
      <c r="AJ625" s="13">
        <v>30</v>
      </c>
      <c r="AK625" s="13">
        <f t="shared" si="159"/>
        <v>99</v>
      </c>
      <c r="AL625" s="14">
        <v>0.33</v>
      </c>
      <c r="AM625" s="13">
        <f t="shared" si="160"/>
        <v>-99</v>
      </c>
      <c r="AN625" s="14">
        <f t="shared" si="161"/>
        <v>-0.33</v>
      </c>
      <c r="AO625" t="str">
        <f>IF(AN625&gt;=Assumptions!$B$3,"OK","Review")</f>
        <v>Review</v>
      </c>
    </row>
    <row r="626" spans="1:41">
      <c r="A626" s="9" t="s">
        <v>431</v>
      </c>
      <c r="B626" s="9" t="s">
        <v>37</v>
      </c>
      <c r="C626" s="9" t="s">
        <v>376</v>
      </c>
      <c r="D626" s="9" t="s">
        <v>439</v>
      </c>
      <c r="E626" s="9" t="s">
        <v>430</v>
      </c>
      <c r="F626" s="9" t="s">
        <v>74</v>
      </c>
      <c r="G626" s="9" t="s">
        <v>31</v>
      </c>
      <c r="H626" s="9" t="s">
        <v>378</v>
      </c>
      <c r="I626" s="9" t="s">
        <v>391</v>
      </c>
      <c r="J626" s="10">
        <v>300</v>
      </c>
      <c r="K626" s="10">
        <v>0</v>
      </c>
      <c r="L626" s="10">
        <v>300</v>
      </c>
      <c r="M626" s="11">
        <v>0</v>
      </c>
      <c r="N626" s="10">
        <v>0</v>
      </c>
      <c r="O626" s="10">
        <v>300</v>
      </c>
      <c r="P626" s="11">
        <v>0.5</v>
      </c>
      <c r="Q626" s="10">
        <v>600</v>
      </c>
      <c r="R626" s="10">
        <f t="shared" si="150"/>
        <v>270.29999999999995</v>
      </c>
      <c r="S626" s="10">
        <v>300</v>
      </c>
      <c r="T626" s="9" t="s">
        <v>76</v>
      </c>
      <c r="U626" s="10">
        <v>1099</v>
      </c>
      <c r="V626" s="10">
        <f t="shared" si="151"/>
        <v>769.3</v>
      </c>
      <c r="W626" s="166">
        <v>490110</v>
      </c>
      <c r="X626" s="12" t="s">
        <v>30</v>
      </c>
      <c r="Y626" s="12">
        <f t="shared" si="152"/>
        <v>300</v>
      </c>
      <c r="Z626" s="13">
        <f t="shared" si="153"/>
        <v>300</v>
      </c>
      <c r="AA626" s="13">
        <f t="shared" si="154"/>
        <v>300</v>
      </c>
      <c r="AB626" s="13">
        <f t="shared" si="155"/>
        <v>300</v>
      </c>
      <c r="AC626" s="13">
        <f t="shared" si="156"/>
        <v>0</v>
      </c>
      <c r="AD626" s="14">
        <f t="shared" si="157"/>
        <v>0</v>
      </c>
      <c r="AE626" s="14">
        <f t="shared" si="158"/>
        <v>0</v>
      </c>
      <c r="AF626" s="13" t="str">
        <f>IF(AD626&gt;=Assumptions!$B$3,"OK","Review")</f>
        <v>Review</v>
      </c>
      <c r="AG626" s="13">
        <f>IFERROR(IF(Assumptions!$B$13="Cost Price",AB626,AA626)*SUMIF(Assumptions!$A$6:$A$10,X626,Assumptions!$B$6:$B$10),0)</f>
        <v>24</v>
      </c>
      <c r="AH626" s="13">
        <f>IFERROR(IF(Assumptions!$B$13="Cost Price",AB626,AA626)*SUMIF(Assumptions!$A$6:$A$10,X626,Assumptions!$C$6:$C$10),0)</f>
        <v>15</v>
      </c>
      <c r="AI626" s="13">
        <f>IFERROR(IF(Assumptions!$B$13="Cost Price",AB626,AA626)*SUMIF(Assumptions!$A$6:$A$10,X626,Assumptions!$D$6:$D$10),0)</f>
        <v>30</v>
      </c>
      <c r="AJ626" s="13">
        <v>30</v>
      </c>
      <c r="AK626" s="13">
        <f t="shared" si="159"/>
        <v>99</v>
      </c>
      <c r="AL626" s="14">
        <v>0.33</v>
      </c>
      <c r="AM626" s="13">
        <f t="shared" si="160"/>
        <v>-99</v>
      </c>
      <c r="AN626" s="14">
        <f t="shared" si="161"/>
        <v>-0.33</v>
      </c>
      <c r="AO626" t="str">
        <f>IF(AN626&gt;=Assumptions!$B$3,"OK","Review")</f>
        <v>Review</v>
      </c>
    </row>
    <row r="627" spans="1:41">
      <c r="A627" s="9" t="s">
        <v>431</v>
      </c>
      <c r="B627" s="9" t="s">
        <v>37</v>
      </c>
      <c r="C627" s="9" t="s">
        <v>380</v>
      </c>
      <c r="D627" s="9" t="s">
        <v>440</v>
      </c>
      <c r="E627" s="9" t="s">
        <v>430</v>
      </c>
      <c r="F627" s="9" t="s">
        <v>90</v>
      </c>
      <c r="G627" s="9" t="s">
        <v>31</v>
      </c>
      <c r="H627" s="9" t="s">
        <v>378</v>
      </c>
      <c r="I627" s="9" t="s">
        <v>393</v>
      </c>
      <c r="J627" s="10">
        <v>301.18</v>
      </c>
      <c r="K627" s="10">
        <v>0</v>
      </c>
      <c r="L627" s="10">
        <v>301.18</v>
      </c>
      <c r="M627" s="11">
        <v>0.18</v>
      </c>
      <c r="N627" s="10">
        <v>197.82</v>
      </c>
      <c r="O627" s="10">
        <v>499</v>
      </c>
      <c r="P627" s="11">
        <v>0</v>
      </c>
      <c r="Q627" s="10">
        <v>499</v>
      </c>
      <c r="R627" s="10">
        <f t="shared" ref="R627:R690" si="162">V627-SUMIFS(Q:Q,A:A,A627,B:B,B627,G:G,G627,E:E,E627,T:T,"Fixed Price ( Base Price with GST)")</f>
        <v>270.29999999999995</v>
      </c>
      <c r="S627" s="10">
        <v>499</v>
      </c>
      <c r="T627" s="9" t="s">
        <v>91</v>
      </c>
      <c r="U627" s="10">
        <v>1099</v>
      </c>
      <c r="V627" s="10">
        <f t="shared" si="151"/>
        <v>769.3</v>
      </c>
      <c r="W627" s="166">
        <v>902300</v>
      </c>
      <c r="X627" s="12" t="s">
        <v>30</v>
      </c>
      <c r="Y627" s="12">
        <f t="shared" si="152"/>
        <v>499</v>
      </c>
      <c r="Z627" s="13">
        <f t="shared" si="153"/>
        <v>499</v>
      </c>
      <c r="AA627" s="13">
        <f t="shared" si="154"/>
        <v>422.88135593220341</v>
      </c>
      <c r="AB627" s="13">
        <f t="shared" si="155"/>
        <v>301.18</v>
      </c>
      <c r="AC627" s="13">
        <f t="shared" si="156"/>
        <v>121.7013559322034</v>
      </c>
      <c r="AD627" s="14">
        <f t="shared" si="157"/>
        <v>0.28779078156312626</v>
      </c>
      <c r="AE627" s="14">
        <f t="shared" si="158"/>
        <v>0.40408179803507338</v>
      </c>
      <c r="AF627" s="13" t="str">
        <f>IF(AD627&gt;=Assumptions!$B$3,"OK","Review")</f>
        <v>Review</v>
      </c>
      <c r="AG627" s="13">
        <f>IFERROR(IF(Assumptions!$B$13="Cost Price",AB627,AA627)*SUMIF(Assumptions!$A$6:$A$10,X627,Assumptions!$B$6:$B$10),0)</f>
        <v>33.83050847457627</v>
      </c>
      <c r="AH627" s="13">
        <f>IFERROR(IF(Assumptions!$B$13="Cost Price",AB627,AA627)*SUMIF(Assumptions!$A$6:$A$10,X627,Assumptions!$C$6:$C$10),0)</f>
        <v>21.144067796610173</v>
      </c>
      <c r="AI627" s="13">
        <f>IFERROR(IF(Assumptions!$B$13="Cost Price",AB627,AA627)*SUMIF(Assumptions!$A$6:$A$10,X627,Assumptions!$D$6:$D$10),0)</f>
        <v>42.288135593220346</v>
      </c>
      <c r="AJ627" s="13">
        <v>42.288135593220346</v>
      </c>
      <c r="AK627" s="13">
        <f t="shared" si="159"/>
        <v>139.55084745762713</v>
      </c>
      <c r="AL627" s="14">
        <v>0.33</v>
      </c>
      <c r="AM627" s="13">
        <f t="shared" si="160"/>
        <v>-17.84949152542373</v>
      </c>
      <c r="AN627" s="14">
        <f t="shared" si="161"/>
        <v>-4.2209218436873745E-2</v>
      </c>
      <c r="AO627" t="str">
        <f>IF(AN627&gt;=Assumptions!$B$3,"OK","Review")</f>
        <v>Review</v>
      </c>
    </row>
    <row r="628" spans="1:41">
      <c r="A628" s="9" t="s">
        <v>431</v>
      </c>
      <c r="B628" s="9" t="s">
        <v>38</v>
      </c>
      <c r="C628" s="9" t="s">
        <v>372</v>
      </c>
      <c r="D628" s="9" t="s">
        <v>441</v>
      </c>
      <c r="E628" s="9" t="s">
        <v>430</v>
      </c>
      <c r="F628" s="9" t="s">
        <v>74</v>
      </c>
      <c r="G628" s="9" t="s">
        <v>31</v>
      </c>
      <c r="H628" s="9" t="s">
        <v>374</v>
      </c>
      <c r="I628" s="9" t="s">
        <v>395</v>
      </c>
      <c r="J628" s="10">
        <v>300</v>
      </c>
      <c r="K628" s="10"/>
      <c r="L628" s="10">
        <v>300</v>
      </c>
      <c r="M628" s="11">
        <v>0</v>
      </c>
      <c r="N628" s="10">
        <v>0</v>
      </c>
      <c r="O628" s="10">
        <v>300</v>
      </c>
      <c r="P628" s="11">
        <v>0.5</v>
      </c>
      <c r="Q628" s="10">
        <v>600</v>
      </c>
      <c r="R628" s="10">
        <f t="shared" si="162"/>
        <v>270.29999999999995</v>
      </c>
      <c r="S628" s="10">
        <v>300</v>
      </c>
      <c r="T628" s="9" t="s">
        <v>76</v>
      </c>
      <c r="U628" s="10">
        <v>1099</v>
      </c>
      <c r="V628" s="10">
        <f t="shared" si="151"/>
        <v>769.3</v>
      </c>
      <c r="W628" s="166">
        <v>490110</v>
      </c>
      <c r="X628" s="12" t="s">
        <v>30</v>
      </c>
      <c r="Y628" s="12">
        <f t="shared" si="152"/>
        <v>300</v>
      </c>
      <c r="Z628" s="13">
        <f t="shared" si="153"/>
        <v>300</v>
      </c>
      <c r="AA628" s="13">
        <f t="shared" si="154"/>
        <v>300</v>
      </c>
      <c r="AB628" s="13">
        <f t="shared" si="155"/>
        <v>300</v>
      </c>
      <c r="AC628" s="13">
        <f t="shared" si="156"/>
        <v>0</v>
      </c>
      <c r="AD628" s="14">
        <f t="shared" si="157"/>
        <v>0</v>
      </c>
      <c r="AE628" s="14">
        <f t="shared" si="158"/>
        <v>0</v>
      </c>
      <c r="AF628" s="13" t="str">
        <f>IF(AD628&gt;=Assumptions!$B$3,"OK","Review")</f>
        <v>Review</v>
      </c>
      <c r="AG628" s="13">
        <f>IFERROR(IF(Assumptions!$B$13="Cost Price",AB628,AA628)*SUMIF(Assumptions!$A$6:$A$10,X628,Assumptions!$B$6:$B$10),0)</f>
        <v>24</v>
      </c>
      <c r="AH628" s="13">
        <f>IFERROR(IF(Assumptions!$B$13="Cost Price",AB628,AA628)*SUMIF(Assumptions!$A$6:$A$10,X628,Assumptions!$C$6:$C$10),0)</f>
        <v>15</v>
      </c>
      <c r="AI628" s="13">
        <f>IFERROR(IF(Assumptions!$B$13="Cost Price",AB628,AA628)*SUMIF(Assumptions!$A$6:$A$10,X628,Assumptions!$D$6:$D$10),0)</f>
        <v>30</v>
      </c>
      <c r="AJ628" s="13">
        <v>30</v>
      </c>
      <c r="AK628" s="13">
        <f t="shared" si="159"/>
        <v>99</v>
      </c>
      <c r="AL628" s="14">
        <v>0.33</v>
      </c>
      <c r="AM628" s="13">
        <f t="shared" si="160"/>
        <v>-99</v>
      </c>
      <c r="AN628" s="14">
        <f t="shared" si="161"/>
        <v>-0.33</v>
      </c>
      <c r="AO628" t="str">
        <f>IF(AN628&gt;=Assumptions!$B$3,"OK","Review")</f>
        <v>Review</v>
      </c>
    </row>
    <row r="629" spans="1:41">
      <c r="A629" s="9" t="s">
        <v>431</v>
      </c>
      <c r="B629" s="9" t="s">
        <v>38</v>
      </c>
      <c r="C629" s="9" t="s">
        <v>376</v>
      </c>
      <c r="D629" s="9" t="s">
        <v>442</v>
      </c>
      <c r="E629" s="9" t="s">
        <v>430</v>
      </c>
      <c r="F629" s="9" t="s">
        <v>74</v>
      </c>
      <c r="G629" s="9" t="s">
        <v>31</v>
      </c>
      <c r="H629" s="9" t="s">
        <v>378</v>
      </c>
      <c r="I629" s="9" t="s">
        <v>397</v>
      </c>
      <c r="J629" s="10">
        <v>300</v>
      </c>
      <c r="K629" s="10">
        <v>0</v>
      </c>
      <c r="L629" s="10">
        <v>300</v>
      </c>
      <c r="M629" s="11">
        <v>0</v>
      </c>
      <c r="N629" s="10">
        <v>0</v>
      </c>
      <c r="O629" s="10">
        <v>300</v>
      </c>
      <c r="P629" s="11">
        <v>0.5</v>
      </c>
      <c r="Q629" s="10">
        <v>600</v>
      </c>
      <c r="R629" s="10">
        <f t="shared" si="162"/>
        <v>270.29999999999995</v>
      </c>
      <c r="S629" s="10">
        <v>300</v>
      </c>
      <c r="T629" s="9" t="s">
        <v>76</v>
      </c>
      <c r="U629" s="10">
        <v>1099</v>
      </c>
      <c r="V629" s="10">
        <f t="shared" si="151"/>
        <v>769.3</v>
      </c>
      <c r="W629" s="166">
        <v>490110</v>
      </c>
      <c r="X629" s="12" t="s">
        <v>30</v>
      </c>
      <c r="Y629" s="12">
        <f t="shared" si="152"/>
        <v>300</v>
      </c>
      <c r="Z629" s="13">
        <f t="shared" si="153"/>
        <v>300</v>
      </c>
      <c r="AA629" s="13">
        <f t="shared" si="154"/>
        <v>300</v>
      </c>
      <c r="AB629" s="13">
        <f t="shared" si="155"/>
        <v>300</v>
      </c>
      <c r="AC629" s="13">
        <f t="shared" si="156"/>
        <v>0</v>
      </c>
      <c r="AD629" s="14">
        <f t="shared" si="157"/>
        <v>0</v>
      </c>
      <c r="AE629" s="14">
        <f t="shared" si="158"/>
        <v>0</v>
      </c>
      <c r="AF629" s="13" t="str">
        <f>IF(AD629&gt;=Assumptions!$B$3,"OK","Review")</f>
        <v>Review</v>
      </c>
      <c r="AG629" s="13">
        <f>IFERROR(IF(Assumptions!$B$13="Cost Price",AB629,AA629)*SUMIF(Assumptions!$A$6:$A$10,X629,Assumptions!$B$6:$B$10),0)</f>
        <v>24</v>
      </c>
      <c r="AH629" s="13">
        <f>IFERROR(IF(Assumptions!$B$13="Cost Price",AB629,AA629)*SUMIF(Assumptions!$A$6:$A$10,X629,Assumptions!$C$6:$C$10),0)</f>
        <v>15</v>
      </c>
      <c r="AI629" s="13">
        <f>IFERROR(IF(Assumptions!$B$13="Cost Price",AB629,AA629)*SUMIF(Assumptions!$A$6:$A$10,X629,Assumptions!$D$6:$D$10),0)</f>
        <v>30</v>
      </c>
      <c r="AJ629" s="13">
        <v>30</v>
      </c>
      <c r="AK629" s="13">
        <f t="shared" si="159"/>
        <v>99</v>
      </c>
      <c r="AL629" s="14">
        <v>0.33</v>
      </c>
      <c r="AM629" s="13">
        <f t="shared" si="160"/>
        <v>-99</v>
      </c>
      <c r="AN629" s="14">
        <f t="shared" si="161"/>
        <v>-0.33</v>
      </c>
      <c r="AO629" t="str">
        <f>IF(AN629&gt;=Assumptions!$B$3,"OK","Review")</f>
        <v>Review</v>
      </c>
    </row>
    <row r="630" spans="1:41">
      <c r="A630" s="9" t="s">
        <v>431</v>
      </c>
      <c r="B630" s="9" t="s">
        <v>38</v>
      </c>
      <c r="C630" s="9" t="s">
        <v>380</v>
      </c>
      <c r="D630" s="9" t="s">
        <v>443</v>
      </c>
      <c r="E630" s="9" t="s">
        <v>430</v>
      </c>
      <c r="F630" s="9" t="s">
        <v>90</v>
      </c>
      <c r="G630" s="9" t="s">
        <v>31</v>
      </c>
      <c r="H630" s="9" t="s">
        <v>378</v>
      </c>
      <c r="I630" s="9" t="s">
        <v>399</v>
      </c>
      <c r="J630" s="10">
        <v>301.18</v>
      </c>
      <c r="K630" s="10">
        <v>0</v>
      </c>
      <c r="L630" s="10">
        <v>301.18</v>
      </c>
      <c r="M630" s="11">
        <v>0.18</v>
      </c>
      <c r="N630" s="10">
        <v>197.82</v>
      </c>
      <c r="O630" s="10">
        <v>499</v>
      </c>
      <c r="P630" s="11">
        <v>0</v>
      </c>
      <c r="Q630" s="10">
        <v>499</v>
      </c>
      <c r="R630" s="10">
        <f t="shared" si="162"/>
        <v>270.29999999999995</v>
      </c>
      <c r="S630" s="10">
        <v>499</v>
      </c>
      <c r="T630" s="9" t="s">
        <v>91</v>
      </c>
      <c r="U630" s="10">
        <v>1099</v>
      </c>
      <c r="V630" s="10">
        <f t="shared" si="151"/>
        <v>769.3</v>
      </c>
      <c r="W630" s="166">
        <v>902300</v>
      </c>
      <c r="X630" s="12" t="s">
        <v>30</v>
      </c>
      <c r="Y630" s="12">
        <f t="shared" si="152"/>
        <v>499</v>
      </c>
      <c r="Z630" s="13">
        <f t="shared" si="153"/>
        <v>499</v>
      </c>
      <c r="AA630" s="13">
        <f t="shared" si="154"/>
        <v>422.88135593220341</v>
      </c>
      <c r="AB630" s="13">
        <f t="shared" si="155"/>
        <v>301.18</v>
      </c>
      <c r="AC630" s="13">
        <f t="shared" si="156"/>
        <v>121.7013559322034</v>
      </c>
      <c r="AD630" s="14">
        <f t="shared" si="157"/>
        <v>0.28779078156312626</v>
      </c>
      <c r="AE630" s="14">
        <f t="shared" si="158"/>
        <v>0.40408179803507338</v>
      </c>
      <c r="AF630" s="13" t="str">
        <f>IF(AD630&gt;=Assumptions!$B$3,"OK","Review")</f>
        <v>Review</v>
      </c>
      <c r="AG630" s="13">
        <f>IFERROR(IF(Assumptions!$B$13="Cost Price",AB630,AA630)*SUMIF(Assumptions!$A$6:$A$10,X630,Assumptions!$B$6:$B$10),0)</f>
        <v>33.83050847457627</v>
      </c>
      <c r="AH630" s="13">
        <f>IFERROR(IF(Assumptions!$B$13="Cost Price",AB630,AA630)*SUMIF(Assumptions!$A$6:$A$10,X630,Assumptions!$C$6:$C$10),0)</f>
        <v>21.144067796610173</v>
      </c>
      <c r="AI630" s="13">
        <f>IFERROR(IF(Assumptions!$B$13="Cost Price",AB630,AA630)*SUMIF(Assumptions!$A$6:$A$10,X630,Assumptions!$D$6:$D$10),0)</f>
        <v>42.288135593220346</v>
      </c>
      <c r="AJ630" s="13">
        <v>42.288135593220346</v>
      </c>
      <c r="AK630" s="13">
        <f t="shared" si="159"/>
        <v>139.55084745762713</v>
      </c>
      <c r="AL630" s="14">
        <v>0.33</v>
      </c>
      <c r="AM630" s="13">
        <f t="shared" si="160"/>
        <v>-17.84949152542373</v>
      </c>
      <c r="AN630" s="14">
        <f t="shared" si="161"/>
        <v>-4.2209218436873745E-2</v>
      </c>
      <c r="AO630" t="str">
        <f>IF(AN630&gt;=Assumptions!$B$3,"OK","Review")</f>
        <v>Review</v>
      </c>
    </row>
    <row r="631" spans="1:41">
      <c r="A631" s="9" t="s">
        <v>431</v>
      </c>
      <c r="B631" s="9" t="s">
        <v>39</v>
      </c>
      <c r="C631" s="9" t="s">
        <v>372</v>
      </c>
      <c r="D631" s="9" t="s">
        <v>444</v>
      </c>
      <c r="E631" s="9" t="s">
        <v>430</v>
      </c>
      <c r="F631" s="9" t="s">
        <v>74</v>
      </c>
      <c r="G631" s="9" t="s">
        <v>31</v>
      </c>
      <c r="H631" s="9" t="s">
        <v>374</v>
      </c>
      <c r="I631" s="9" t="s">
        <v>401</v>
      </c>
      <c r="J631" s="10">
        <v>300</v>
      </c>
      <c r="K631" s="10"/>
      <c r="L631" s="10">
        <v>300</v>
      </c>
      <c r="M631" s="11">
        <v>0</v>
      </c>
      <c r="N631" s="10">
        <v>0</v>
      </c>
      <c r="O631" s="10">
        <v>300</v>
      </c>
      <c r="P631" s="11">
        <v>0.5</v>
      </c>
      <c r="Q631" s="10">
        <v>600</v>
      </c>
      <c r="R631" s="10">
        <f t="shared" si="162"/>
        <v>270.29999999999995</v>
      </c>
      <c r="S631" s="10">
        <v>300</v>
      </c>
      <c r="T631" s="9" t="s">
        <v>76</v>
      </c>
      <c r="U631" s="10">
        <v>1099</v>
      </c>
      <c r="V631" s="10">
        <f t="shared" si="151"/>
        <v>769.3</v>
      </c>
      <c r="W631" s="166">
        <v>490110</v>
      </c>
      <c r="X631" s="12" t="s">
        <v>30</v>
      </c>
      <c r="Y631" s="12">
        <f t="shared" si="152"/>
        <v>300</v>
      </c>
      <c r="Z631" s="13">
        <f t="shared" si="153"/>
        <v>300</v>
      </c>
      <c r="AA631" s="13">
        <f t="shared" si="154"/>
        <v>300</v>
      </c>
      <c r="AB631" s="13">
        <f t="shared" si="155"/>
        <v>300</v>
      </c>
      <c r="AC631" s="13">
        <f t="shared" si="156"/>
        <v>0</v>
      </c>
      <c r="AD631" s="14">
        <f t="shared" si="157"/>
        <v>0</v>
      </c>
      <c r="AE631" s="14">
        <f t="shared" si="158"/>
        <v>0</v>
      </c>
      <c r="AF631" s="13" t="str">
        <f>IF(AD631&gt;=Assumptions!$B$3,"OK","Review")</f>
        <v>Review</v>
      </c>
      <c r="AG631" s="13">
        <f>IFERROR(IF(Assumptions!$B$13="Cost Price",AB631,AA631)*SUMIF(Assumptions!$A$6:$A$10,X631,Assumptions!$B$6:$B$10),0)</f>
        <v>24</v>
      </c>
      <c r="AH631" s="13">
        <f>IFERROR(IF(Assumptions!$B$13="Cost Price",AB631,AA631)*SUMIF(Assumptions!$A$6:$A$10,X631,Assumptions!$C$6:$C$10),0)</f>
        <v>15</v>
      </c>
      <c r="AI631" s="13">
        <f>IFERROR(IF(Assumptions!$B$13="Cost Price",AB631,AA631)*SUMIF(Assumptions!$A$6:$A$10,X631,Assumptions!$D$6:$D$10),0)</f>
        <v>30</v>
      </c>
      <c r="AJ631" s="13">
        <v>30</v>
      </c>
      <c r="AK631" s="13">
        <f t="shared" si="159"/>
        <v>99</v>
      </c>
      <c r="AL631" s="14">
        <v>0.33</v>
      </c>
      <c r="AM631" s="13">
        <f t="shared" si="160"/>
        <v>-99</v>
      </c>
      <c r="AN631" s="14">
        <f t="shared" si="161"/>
        <v>-0.33</v>
      </c>
      <c r="AO631" t="str">
        <f>IF(AN631&gt;=Assumptions!$B$3,"OK","Review")</f>
        <v>Review</v>
      </c>
    </row>
    <row r="632" spans="1:41">
      <c r="A632" s="9" t="s">
        <v>431</v>
      </c>
      <c r="B632" s="9" t="s">
        <v>39</v>
      </c>
      <c r="C632" s="9" t="s">
        <v>376</v>
      </c>
      <c r="D632" s="9" t="s">
        <v>445</v>
      </c>
      <c r="E632" s="9" t="s">
        <v>430</v>
      </c>
      <c r="F632" s="9" t="s">
        <v>74</v>
      </c>
      <c r="G632" s="9" t="s">
        <v>31</v>
      </c>
      <c r="H632" s="9" t="s">
        <v>378</v>
      </c>
      <c r="I632" s="9" t="s">
        <v>403</v>
      </c>
      <c r="J632" s="10">
        <v>300</v>
      </c>
      <c r="K632" s="10">
        <v>0</v>
      </c>
      <c r="L632" s="10">
        <v>300</v>
      </c>
      <c r="M632" s="11">
        <v>0</v>
      </c>
      <c r="N632" s="10">
        <v>0</v>
      </c>
      <c r="O632" s="10">
        <v>300</v>
      </c>
      <c r="P632" s="11">
        <v>0.5</v>
      </c>
      <c r="Q632" s="10">
        <v>600</v>
      </c>
      <c r="R632" s="10">
        <f t="shared" si="162"/>
        <v>270.29999999999995</v>
      </c>
      <c r="S632" s="10">
        <v>300</v>
      </c>
      <c r="T632" s="9" t="s">
        <v>76</v>
      </c>
      <c r="U632" s="10">
        <v>1099</v>
      </c>
      <c r="V632" s="10">
        <f t="shared" si="151"/>
        <v>769.3</v>
      </c>
      <c r="W632" s="166">
        <v>490110</v>
      </c>
      <c r="X632" s="12" t="s">
        <v>30</v>
      </c>
      <c r="Y632" s="12">
        <f t="shared" si="152"/>
        <v>300</v>
      </c>
      <c r="Z632" s="13">
        <f t="shared" si="153"/>
        <v>300</v>
      </c>
      <c r="AA632" s="13">
        <f t="shared" si="154"/>
        <v>300</v>
      </c>
      <c r="AB632" s="13">
        <f t="shared" si="155"/>
        <v>300</v>
      </c>
      <c r="AC632" s="13">
        <f t="shared" si="156"/>
        <v>0</v>
      </c>
      <c r="AD632" s="14">
        <f t="shared" si="157"/>
        <v>0</v>
      </c>
      <c r="AE632" s="14">
        <f t="shared" si="158"/>
        <v>0</v>
      </c>
      <c r="AF632" s="13" t="str">
        <f>IF(AD632&gt;=Assumptions!$B$3,"OK","Review")</f>
        <v>Review</v>
      </c>
      <c r="AG632" s="13">
        <f>IFERROR(IF(Assumptions!$B$13="Cost Price",AB632,AA632)*SUMIF(Assumptions!$A$6:$A$10,X632,Assumptions!$B$6:$B$10),0)</f>
        <v>24</v>
      </c>
      <c r="AH632" s="13">
        <f>IFERROR(IF(Assumptions!$B$13="Cost Price",AB632,AA632)*SUMIF(Assumptions!$A$6:$A$10,X632,Assumptions!$C$6:$C$10),0)</f>
        <v>15</v>
      </c>
      <c r="AI632" s="13">
        <f>IFERROR(IF(Assumptions!$B$13="Cost Price",AB632,AA632)*SUMIF(Assumptions!$A$6:$A$10,X632,Assumptions!$D$6:$D$10),0)</f>
        <v>30</v>
      </c>
      <c r="AJ632" s="13">
        <v>30</v>
      </c>
      <c r="AK632" s="13">
        <f t="shared" si="159"/>
        <v>99</v>
      </c>
      <c r="AL632" s="14">
        <v>0.33</v>
      </c>
      <c r="AM632" s="13">
        <f t="shared" si="160"/>
        <v>-99</v>
      </c>
      <c r="AN632" s="14">
        <f t="shared" si="161"/>
        <v>-0.33</v>
      </c>
      <c r="AO632" t="str">
        <f>IF(AN632&gt;=Assumptions!$B$3,"OK","Review")</f>
        <v>Review</v>
      </c>
    </row>
    <row r="633" spans="1:41">
      <c r="A633" s="9" t="s">
        <v>431</v>
      </c>
      <c r="B633" s="9" t="s">
        <v>39</v>
      </c>
      <c r="C633" s="9" t="s">
        <v>380</v>
      </c>
      <c r="D633" s="9" t="s">
        <v>446</v>
      </c>
      <c r="E633" s="9" t="s">
        <v>430</v>
      </c>
      <c r="F633" s="9" t="s">
        <v>90</v>
      </c>
      <c r="G633" s="9" t="s">
        <v>31</v>
      </c>
      <c r="H633" s="9" t="s">
        <v>378</v>
      </c>
      <c r="I633" s="9" t="s">
        <v>405</v>
      </c>
      <c r="J633" s="10">
        <v>301.18</v>
      </c>
      <c r="K633" s="10">
        <v>0</v>
      </c>
      <c r="L633" s="10">
        <v>301.18</v>
      </c>
      <c r="M633" s="11">
        <v>0.18</v>
      </c>
      <c r="N633" s="10">
        <v>197.82</v>
      </c>
      <c r="O633" s="10">
        <v>499</v>
      </c>
      <c r="P633" s="11">
        <v>0</v>
      </c>
      <c r="Q633" s="10">
        <v>499</v>
      </c>
      <c r="R633" s="10">
        <f t="shared" si="162"/>
        <v>270.29999999999995</v>
      </c>
      <c r="S633" s="10">
        <v>499</v>
      </c>
      <c r="T633" s="9" t="s">
        <v>91</v>
      </c>
      <c r="U633" s="10">
        <v>1099</v>
      </c>
      <c r="V633" s="10">
        <f t="shared" si="151"/>
        <v>769.3</v>
      </c>
      <c r="W633" s="166">
        <v>902300</v>
      </c>
      <c r="X633" s="12" t="s">
        <v>30</v>
      </c>
      <c r="Y633" s="12">
        <f t="shared" si="152"/>
        <v>499</v>
      </c>
      <c r="Z633" s="13">
        <f t="shared" si="153"/>
        <v>499</v>
      </c>
      <c r="AA633" s="13">
        <f t="shared" si="154"/>
        <v>422.88135593220341</v>
      </c>
      <c r="AB633" s="13">
        <f t="shared" si="155"/>
        <v>301.18</v>
      </c>
      <c r="AC633" s="13">
        <f t="shared" si="156"/>
        <v>121.7013559322034</v>
      </c>
      <c r="AD633" s="14">
        <f t="shared" si="157"/>
        <v>0.28779078156312626</v>
      </c>
      <c r="AE633" s="14">
        <f t="shared" si="158"/>
        <v>0.40408179803507338</v>
      </c>
      <c r="AF633" s="13" t="str">
        <f>IF(AD633&gt;=Assumptions!$B$3,"OK","Review")</f>
        <v>Review</v>
      </c>
      <c r="AG633" s="13">
        <f>IFERROR(IF(Assumptions!$B$13="Cost Price",AB633,AA633)*SUMIF(Assumptions!$A$6:$A$10,X633,Assumptions!$B$6:$B$10),0)</f>
        <v>33.83050847457627</v>
      </c>
      <c r="AH633" s="13">
        <f>IFERROR(IF(Assumptions!$B$13="Cost Price",AB633,AA633)*SUMIF(Assumptions!$A$6:$A$10,X633,Assumptions!$C$6:$C$10),0)</f>
        <v>21.144067796610173</v>
      </c>
      <c r="AI633" s="13">
        <f>IFERROR(IF(Assumptions!$B$13="Cost Price",AB633,AA633)*SUMIF(Assumptions!$A$6:$A$10,X633,Assumptions!$D$6:$D$10),0)</f>
        <v>42.288135593220346</v>
      </c>
      <c r="AJ633" s="13">
        <v>42.288135593220346</v>
      </c>
      <c r="AK633" s="13">
        <f t="shared" si="159"/>
        <v>139.55084745762713</v>
      </c>
      <c r="AL633" s="14">
        <v>0.33</v>
      </c>
      <c r="AM633" s="13">
        <f t="shared" si="160"/>
        <v>-17.84949152542373</v>
      </c>
      <c r="AN633" s="14">
        <f t="shared" si="161"/>
        <v>-4.2209218436873745E-2</v>
      </c>
      <c r="AO633" t="str">
        <f>IF(AN633&gt;=Assumptions!$B$3,"OK","Review")</f>
        <v>Review</v>
      </c>
    </row>
    <row r="634" spans="1:41">
      <c r="A634" s="9" t="s">
        <v>431</v>
      </c>
      <c r="B634" s="9" t="s">
        <v>40</v>
      </c>
      <c r="C634" s="9" t="s">
        <v>372</v>
      </c>
      <c r="D634" s="9" t="s">
        <v>447</v>
      </c>
      <c r="E634" s="9" t="s">
        <v>430</v>
      </c>
      <c r="F634" s="9" t="s">
        <v>74</v>
      </c>
      <c r="G634" s="9" t="s">
        <v>31</v>
      </c>
      <c r="H634" s="9" t="s">
        <v>374</v>
      </c>
      <c r="I634" s="9" t="s">
        <v>407</v>
      </c>
      <c r="J634" s="10">
        <v>300</v>
      </c>
      <c r="K634" s="10"/>
      <c r="L634" s="10">
        <v>300</v>
      </c>
      <c r="M634" s="11">
        <v>0</v>
      </c>
      <c r="N634" s="10">
        <v>0</v>
      </c>
      <c r="O634" s="10">
        <v>300</v>
      </c>
      <c r="P634" s="11">
        <v>0.5</v>
      </c>
      <c r="Q634" s="10">
        <v>600</v>
      </c>
      <c r="R634" s="10">
        <f t="shared" si="162"/>
        <v>240.29999999999995</v>
      </c>
      <c r="S634" s="10">
        <v>300</v>
      </c>
      <c r="T634" s="9" t="s">
        <v>76</v>
      </c>
      <c r="U634" s="10">
        <v>1199</v>
      </c>
      <c r="V634" s="10">
        <f t="shared" si="151"/>
        <v>839.3</v>
      </c>
      <c r="W634" s="166">
        <v>490110</v>
      </c>
      <c r="X634" s="12" t="s">
        <v>30</v>
      </c>
      <c r="Y634" s="12">
        <f t="shared" si="152"/>
        <v>300</v>
      </c>
      <c r="Z634" s="13">
        <f t="shared" si="153"/>
        <v>300</v>
      </c>
      <c r="AA634" s="13">
        <f t="shared" si="154"/>
        <v>300</v>
      </c>
      <c r="AB634" s="13">
        <f t="shared" si="155"/>
        <v>300</v>
      </c>
      <c r="AC634" s="13">
        <f t="shared" si="156"/>
        <v>0</v>
      </c>
      <c r="AD634" s="14">
        <f t="shared" si="157"/>
        <v>0</v>
      </c>
      <c r="AE634" s="14">
        <f t="shared" si="158"/>
        <v>0</v>
      </c>
      <c r="AF634" s="13" t="str">
        <f>IF(AD634&gt;=Assumptions!$B$3,"OK","Review")</f>
        <v>Review</v>
      </c>
      <c r="AG634" s="13">
        <f>IFERROR(IF(Assumptions!$B$13="Cost Price",AB634,AA634)*SUMIF(Assumptions!$A$6:$A$10,X634,Assumptions!$B$6:$B$10),0)</f>
        <v>24</v>
      </c>
      <c r="AH634" s="13">
        <f>IFERROR(IF(Assumptions!$B$13="Cost Price",AB634,AA634)*SUMIF(Assumptions!$A$6:$A$10,X634,Assumptions!$C$6:$C$10),0)</f>
        <v>15</v>
      </c>
      <c r="AI634" s="13">
        <f>IFERROR(IF(Assumptions!$B$13="Cost Price",AB634,AA634)*SUMIF(Assumptions!$A$6:$A$10,X634,Assumptions!$D$6:$D$10),0)</f>
        <v>30</v>
      </c>
      <c r="AJ634" s="13">
        <v>30</v>
      </c>
      <c r="AK634" s="13">
        <f t="shared" si="159"/>
        <v>99</v>
      </c>
      <c r="AL634" s="14">
        <v>0.33</v>
      </c>
      <c r="AM634" s="13">
        <f t="shared" si="160"/>
        <v>-99</v>
      </c>
      <c r="AN634" s="14">
        <f t="shared" si="161"/>
        <v>-0.33</v>
      </c>
      <c r="AO634" t="str">
        <f>IF(AN634&gt;=Assumptions!$B$3,"OK","Review")</f>
        <v>Review</v>
      </c>
    </row>
    <row r="635" spans="1:41">
      <c r="A635" s="9" t="s">
        <v>431</v>
      </c>
      <c r="B635" s="9" t="s">
        <v>40</v>
      </c>
      <c r="C635" s="9" t="s">
        <v>376</v>
      </c>
      <c r="D635" s="9" t="s">
        <v>448</v>
      </c>
      <c r="E635" s="9" t="s">
        <v>430</v>
      </c>
      <c r="F635" s="9" t="s">
        <v>74</v>
      </c>
      <c r="G635" s="9" t="s">
        <v>31</v>
      </c>
      <c r="H635" s="9" t="s">
        <v>378</v>
      </c>
      <c r="I635" s="9" t="s">
        <v>409</v>
      </c>
      <c r="J635" s="10">
        <v>300</v>
      </c>
      <c r="K635" s="10">
        <v>0</v>
      </c>
      <c r="L635" s="10">
        <v>300</v>
      </c>
      <c r="M635" s="11">
        <v>0</v>
      </c>
      <c r="N635" s="10">
        <v>0</v>
      </c>
      <c r="O635" s="10">
        <v>300</v>
      </c>
      <c r="P635" s="11">
        <v>0.5</v>
      </c>
      <c r="Q635" s="10">
        <v>600</v>
      </c>
      <c r="R635" s="10">
        <f t="shared" si="162"/>
        <v>240.29999999999995</v>
      </c>
      <c r="S635" s="10">
        <v>300</v>
      </c>
      <c r="T635" s="9" t="s">
        <v>76</v>
      </c>
      <c r="U635" s="10">
        <v>1199</v>
      </c>
      <c r="V635" s="10">
        <f t="shared" si="151"/>
        <v>839.3</v>
      </c>
      <c r="W635" s="166">
        <v>490110</v>
      </c>
      <c r="X635" s="12" t="s">
        <v>30</v>
      </c>
      <c r="Y635" s="12">
        <f t="shared" si="152"/>
        <v>300</v>
      </c>
      <c r="Z635" s="13">
        <f t="shared" si="153"/>
        <v>300</v>
      </c>
      <c r="AA635" s="13">
        <f t="shared" si="154"/>
        <v>300</v>
      </c>
      <c r="AB635" s="13">
        <f t="shared" si="155"/>
        <v>300</v>
      </c>
      <c r="AC635" s="13">
        <f t="shared" si="156"/>
        <v>0</v>
      </c>
      <c r="AD635" s="14">
        <f t="shared" si="157"/>
        <v>0</v>
      </c>
      <c r="AE635" s="14">
        <f t="shared" si="158"/>
        <v>0</v>
      </c>
      <c r="AF635" s="13" t="str">
        <f>IF(AD635&gt;=Assumptions!$B$3,"OK","Review")</f>
        <v>Review</v>
      </c>
      <c r="AG635" s="13">
        <f>IFERROR(IF(Assumptions!$B$13="Cost Price",AB635,AA635)*SUMIF(Assumptions!$A$6:$A$10,X635,Assumptions!$B$6:$B$10),0)</f>
        <v>24</v>
      </c>
      <c r="AH635" s="13">
        <f>IFERROR(IF(Assumptions!$B$13="Cost Price",AB635,AA635)*SUMIF(Assumptions!$A$6:$A$10,X635,Assumptions!$C$6:$C$10),0)</f>
        <v>15</v>
      </c>
      <c r="AI635" s="13">
        <f>IFERROR(IF(Assumptions!$B$13="Cost Price",AB635,AA635)*SUMIF(Assumptions!$A$6:$A$10,X635,Assumptions!$D$6:$D$10),0)</f>
        <v>30</v>
      </c>
      <c r="AJ635" s="13">
        <v>30</v>
      </c>
      <c r="AK635" s="13">
        <f t="shared" si="159"/>
        <v>99</v>
      </c>
      <c r="AL635" s="14">
        <v>0.33</v>
      </c>
      <c r="AM635" s="13">
        <f t="shared" si="160"/>
        <v>-99</v>
      </c>
      <c r="AN635" s="14">
        <f t="shared" si="161"/>
        <v>-0.33</v>
      </c>
      <c r="AO635" t="str">
        <f>IF(AN635&gt;=Assumptions!$B$3,"OK","Review")</f>
        <v>Review</v>
      </c>
    </row>
    <row r="636" spans="1:41">
      <c r="A636" s="9" t="s">
        <v>431</v>
      </c>
      <c r="B636" s="9" t="s">
        <v>40</v>
      </c>
      <c r="C636" s="9" t="s">
        <v>380</v>
      </c>
      <c r="D636" s="9" t="s">
        <v>449</v>
      </c>
      <c r="E636" s="9" t="s">
        <v>430</v>
      </c>
      <c r="F636" s="9" t="s">
        <v>90</v>
      </c>
      <c r="G636" s="9" t="s">
        <v>31</v>
      </c>
      <c r="H636" s="9" t="s">
        <v>378</v>
      </c>
      <c r="I636" s="9" t="s">
        <v>411</v>
      </c>
      <c r="J636" s="10">
        <v>383.18</v>
      </c>
      <c r="K636" s="10">
        <v>0</v>
      </c>
      <c r="L636" s="10">
        <v>383.18</v>
      </c>
      <c r="M636" s="11">
        <v>0.18</v>
      </c>
      <c r="N636" s="10">
        <v>215.82</v>
      </c>
      <c r="O636" s="10">
        <v>599</v>
      </c>
      <c r="P636" s="11">
        <v>0</v>
      </c>
      <c r="Q636" s="10">
        <v>599</v>
      </c>
      <c r="R636" s="10">
        <f t="shared" si="162"/>
        <v>240.29999999999995</v>
      </c>
      <c r="S636" s="10">
        <v>599</v>
      </c>
      <c r="T636" s="9" t="s">
        <v>91</v>
      </c>
      <c r="U636" s="10">
        <v>1199</v>
      </c>
      <c r="V636" s="10">
        <f t="shared" si="151"/>
        <v>839.3</v>
      </c>
      <c r="W636" s="166">
        <v>902300</v>
      </c>
      <c r="X636" s="12" t="s">
        <v>30</v>
      </c>
      <c r="Y636" s="12">
        <f t="shared" si="152"/>
        <v>599</v>
      </c>
      <c r="Z636" s="13">
        <f t="shared" si="153"/>
        <v>599</v>
      </c>
      <c r="AA636" s="13">
        <f t="shared" si="154"/>
        <v>507.62711864406782</v>
      </c>
      <c r="AB636" s="13">
        <f t="shared" si="155"/>
        <v>383.18</v>
      </c>
      <c r="AC636" s="13">
        <f t="shared" si="156"/>
        <v>124.44711864406781</v>
      </c>
      <c r="AD636" s="14">
        <f t="shared" si="157"/>
        <v>0.24515459098497497</v>
      </c>
      <c r="AE636" s="14">
        <f t="shared" si="158"/>
        <v>0.32477456715921449</v>
      </c>
      <c r="AF636" s="13" t="str">
        <f>IF(AD636&gt;=Assumptions!$B$3,"OK","Review")</f>
        <v>Review</v>
      </c>
      <c r="AG636" s="13">
        <f>IFERROR(IF(Assumptions!$B$13="Cost Price",AB636,AA636)*SUMIF(Assumptions!$A$6:$A$10,X636,Assumptions!$B$6:$B$10),0)</f>
        <v>40.610169491525426</v>
      </c>
      <c r="AH636" s="13">
        <f>IFERROR(IF(Assumptions!$B$13="Cost Price",AB636,AA636)*SUMIF(Assumptions!$A$6:$A$10,X636,Assumptions!$C$6:$C$10),0)</f>
        <v>25.381355932203391</v>
      </c>
      <c r="AI636" s="13">
        <f>IFERROR(IF(Assumptions!$B$13="Cost Price",AB636,AA636)*SUMIF(Assumptions!$A$6:$A$10,X636,Assumptions!$D$6:$D$10),0)</f>
        <v>50.762711864406782</v>
      </c>
      <c r="AJ636" s="13">
        <v>50.762711864406782</v>
      </c>
      <c r="AK636" s="13">
        <f t="shared" si="159"/>
        <v>167.5169491525424</v>
      </c>
      <c r="AL636" s="14">
        <v>0.33</v>
      </c>
      <c r="AM636" s="13">
        <f t="shared" si="160"/>
        <v>-43.069830508474581</v>
      </c>
      <c r="AN636" s="14">
        <f t="shared" si="161"/>
        <v>-8.4845409015025047E-2</v>
      </c>
      <c r="AO636" t="str">
        <f>IF(AN636&gt;=Assumptions!$B$3,"OK","Review")</f>
        <v>Review</v>
      </c>
    </row>
    <row r="637" spans="1:41">
      <c r="A637" s="9" t="s">
        <v>431</v>
      </c>
      <c r="B637" s="9" t="s">
        <v>41</v>
      </c>
      <c r="C637" s="9" t="s">
        <v>372</v>
      </c>
      <c r="D637" s="9" t="s">
        <v>450</v>
      </c>
      <c r="E637" s="9" t="s">
        <v>430</v>
      </c>
      <c r="F637" s="9" t="s">
        <v>74</v>
      </c>
      <c r="G637" s="9" t="s">
        <v>31</v>
      </c>
      <c r="H637" s="9" t="s">
        <v>374</v>
      </c>
      <c r="I637" s="9" t="s">
        <v>413</v>
      </c>
      <c r="J637" s="10">
        <v>300</v>
      </c>
      <c r="K637" s="10"/>
      <c r="L637" s="10">
        <v>300</v>
      </c>
      <c r="M637" s="11">
        <v>0</v>
      </c>
      <c r="N637" s="10">
        <v>0</v>
      </c>
      <c r="O637" s="10">
        <v>300</v>
      </c>
      <c r="P637" s="11">
        <v>0.5</v>
      </c>
      <c r="Q637" s="10">
        <v>600</v>
      </c>
      <c r="R637" s="10">
        <f t="shared" si="162"/>
        <v>240.29999999999995</v>
      </c>
      <c r="S637" s="10">
        <v>300</v>
      </c>
      <c r="T637" s="9" t="s">
        <v>76</v>
      </c>
      <c r="U637" s="10">
        <v>1199</v>
      </c>
      <c r="V637" s="10">
        <f t="shared" si="151"/>
        <v>839.3</v>
      </c>
      <c r="W637" s="166">
        <v>490110</v>
      </c>
      <c r="X637" s="12" t="s">
        <v>30</v>
      </c>
      <c r="Y637" s="12">
        <f t="shared" si="152"/>
        <v>300</v>
      </c>
      <c r="Z637" s="13">
        <f t="shared" si="153"/>
        <v>300</v>
      </c>
      <c r="AA637" s="13">
        <f t="shared" si="154"/>
        <v>300</v>
      </c>
      <c r="AB637" s="13">
        <f t="shared" si="155"/>
        <v>300</v>
      </c>
      <c r="AC637" s="13">
        <f t="shared" si="156"/>
        <v>0</v>
      </c>
      <c r="AD637" s="14">
        <f t="shared" si="157"/>
        <v>0</v>
      </c>
      <c r="AE637" s="14">
        <f t="shared" si="158"/>
        <v>0</v>
      </c>
      <c r="AF637" s="13" t="str">
        <f>IF(AD637&gt;=Assumptions!$B$3,"OK","Review")</f>
        <v>Review</v>
      </c>
      <c r="AG637" s="13">
        <f>IFERROR(IF(Assumptions!$B$13="Cost Price",AB637,AA637)*SUMIF(Assumptions!$A$6:$A$10,X637,Assumptions!$B$6:$B$10),0)</f>
        <v>24</v>
      </c>
      <c r="AH637" s="13">
        <f>IFERROR(IF(Assumptions!$B$13="Cost Price",AB637,AA637)*SUMIF(Assumptions!$A$6:$A$10,X637,Assumptions!$C$6:$C$10),0)</f>
        <v>15</v>
      </c>
      <c r="AI637" s="13">
        <f>IFERROR(IF(Assumptions!$B$13="Cost Price",AB637,AA637)*SUMIF(Assumptions!$A$6:$A$10,X637,Assumptions!$D$6:$D$10),0)</f>
        <v>30</v>
      </c>
      <c r="AJ637" s="13">
        <v>30</v>
      </c>
      <c r="AK637" s="13">
        <f t="shared" si="159"/>
        <v>99</v>
      </c>
      <c r="AL637" s="14">
        <v>0.33</v>
      </c>
      <c r="AM637" s="13">
        <f t="shared" si="160"/>
        <v>-99</v>
      </c>
      <c r="AN637" s="14">
        <f t="shared" si="161"/>
        <v>-0.33</v>
      </c>
      <c r="AO637" t="str">
        <f>IF(AN637&gt;=Assumptions!$B$3,"OK","Review")</f>
        <v>Review</v>
      </c>
    </row>
    <row r="638" spans="1:41">
      <c r="A638" s="9" t="s">
        <v>431</v>
      </c>
      <c r="B638" s="9" t="s">
        <v>41</v>
      </c>
      <c r="C638" s="9" t="s">
        <v>376</v>
      </c>
      <c r="D638" s="9" t="s">
        <v>451</v>
      </c>
      <c r="E638" s="9" t="s">
        <v>430</v>
      </c>
      <c r="F638" s="9" t="s">
        <v>74</v>
      </c>
      <c r="G638" s="9" t="s">
        <v>31</v>
      </c>
      <c r="H638" s="9" t="s">
        <v>378</v>
      </c>
      <c r="I638" s="9" t="s">
        <v>415</v>
      </c>
      <c r="J638" s="10">
        <v>300</v>
      </c>
      <c r="K638" s="10">
        <v>0</v>
      </c>
      <c r="L638" s="10">
        <v>300</v>
      </c>
      <c r="M638" s="11">
        <v>0</v>
      </c>
      <c r="N638" s="10">
        <v>0</v>
      </c>
      <c r="O638" s="10">
        <v>300</v>
      </c>
      <c r="P638" s="11">
        <v>0.5</v>
      </c>
      <c r="Q638" s="10">
        <v>600</v>
      </c>
      <c r="R638" s="10">
        <f t="shared" si="162"/>
        <v>240.29999999999995</v>
      </c>
      <c r="S638" s="10">
        <v>300</v>
      </c>
      <c r="T638" s="9" t="s">
        <v>76</v>
      </c>
      <c r="U638" s="10">
        <v>1199</v>
      </c>
      <c r="V638" s="10">
        <f t="shared" si="151"/>
        <v>839.3</v>
      </c>
      <c r="W638" s="166">
        <v>490110</v>
      </c>
      <c r="X638" s="12" t="s">
        <v>30</v>
      </c>
      <c r="Y638" s="12">
        <f t="shared" si="152"/>
        <v>300</v>
      </c>
      <c r="Z638" s="13">
        <f t="shared" si="153"/>
        <v>300</v>
      </c>
      <c r="AA638" s="13">
        <f t="shared" si="154"/>
        <v>300</v>
      </c>
      <c r="AB638" s="13">
        <f t="shared" si="155"/>
        <v>300</v>
      </c>
      <c r="AC638" s="13">
        <f t="shared" si="156"/>
        <v>0</v>
      </c>
      <c r="AD638" s="14">
        <f t="shared" si="157"/>
        <v>0</v>
      </c>
      <c r="AE638" s="14">
        <f t="shared" si="158"/>
        <v>0</v>
      </c>
      <c r="AF638" s="13" t="str">
        <f>IF(AD638&gt;=Assumptions!$B$3,"OK","Review")</f>
        <v>Review</v>
      </c>
      <c r="AG638" s="13">
        <f>IFERROR(IF(Assumptions!$B$13="Cost Price",AB638,AA638)*SUMIF(Assumptions!$A$6:$A$10,X638,Assumptions!$B$6:$B$10),0)</f>
        <v>24</v>
      </c>
      <c r="AH638" s="13">
        <f>IFERROR(IF(Assumptions!$B$13="Cost Price",AB638,AA638)*SUMIF(Assumptions!$A$6:$A$10,X638,Assumptions!$C$6:$C$10),0)</f>
        <v>15</v>
      </c>
      <c r="AI638" s="13">
        <f>IFERROR(IF(Assumptions!$B$13="Cost Price",AB638,AA638)*SUMIF(Assumptions!$A$6:$A$10,X638,Assumptions!$D$6:$D$10),0)</f>
        <v>30</v>
      </c>
      <c r="AJ638" s="13">
        <v>30</v>
      </c>
      <c r="AK638" s="13">
        <f t="shared" si="159"/>
        <v>99</v>
      </c>
      <c r="AL638" s="14">
        <v>0.33</v>
      </c>
      <c r="AM638" s="13">
        <f t="shared" si="160"/>
        <v>-99</v>
      </c>
      <c r="AN638" s="14">
        <f t="shared" si="161"/>
        <v>-0.33</v>
      </c>
      <c r="AO638" t="str">
        <f>IF(AN638&gt;=Assumptions!$B$3,"OK","Review")</f>
        <v>Review</v>
      </c>
    </row>
    <row r="639" spans="1:41">
      <c r="A639" s="9" t="s">
        <v>431</v>
      </c>
      <c r="B639" s="9" t="s">
        <v>41</v>
      </c>
      <c r="C639" s="9" t="s">
        <v>380</v>
      </c>
      <c r="D639" s="9" t="s">
        <v>452</v>
      </c>
      <c r="E639" s="9" t="s">
        <v>430</v>
      </c>
      <c r="F639" s="9" t="s">
        <v>90</v>
      </c>
      <c r="G639" s="9" t="s">
        <v>31</v>
      </c>
      <c r="H639" s="9" t="s">
        <v>378</v>
      </c>
      <c r="I639" s="9" t="s">
        <v>417</v>
      </c>
      <c r="J639" s="10">
        <v>383.18</v>
      </c>
      <c r="K639" s="10">
        <v>0</v>
      </c>
      <c r="L639" s="10">
        <v>383.18</v>
      </c>
      <c r="M639" s="11">
        <v>0.18</v>
      </c>
      <c r="N639" s="10">
        <v>215.82</v>
      </c>
      <c r="O639" s="10">
        <v>599</v>
      </c>
      <c r="P639" s="11">
        <v>0</v>
      </c>
      <c r="Q639" s="10">
        <v>599</v>
      </c>
      <c r="R639" s="10">
        <f t="shared" si="162"/>
        <v>240.29999999999995</v>
      </c>
      <c r="S639" s="10">
        <v>599</v>
      </c>
      <c r="T639" s="9" t="s">
        <v>91</v>
      </c>
      <c r="U639" s="10">
        <v>1199</v>
      </c>
      <c r="V639" s="10">
        <f t="shared" si="151"/>
        <v>839.3</v>
      </c>
      <c r="W639" s="166">
        <v>902300</v>
      </c>
      <c r="X639" s="12" t="s">
        <v>30</v>
      </c>
      <c r="Y639" s="12">
        <f t="shared" si="152"/>
        <v>599</v>
      </c>
      <c r="Z639" s="13">
        <f t="shared" si="153"/>
        <v>599</v>
      </c>
      <c r="AA639" s="13">
        <f t="shared" si="154"/>
        <v>507.62711864406782</v>
      </c>
      <c r="AB639" s="13">
        <f t="shared" si="155"/>
        <v>383.18</v>
      </c>
      <c r="AC639" s="13">
        <f t="shared" si="156"/>
        <v>124.44711864406781</v>
      </c>
      <c r="AD639" s="14">
        <f t="shared" si="157"/>
        <v>0.24515459098497497</v>
      </c>
      <c r="AE639" s="14">
        <f t="shared" si="158"/>
        <v>0.32477456715921449</v>
      </c>
      <c r="AF639" s="13" t="str">
        <f>IF(AD639&gt;=Assumptions!$B$3,"OK","Review")</f>
        <v>Review</v>
      </c>
      <c r="AG639" s="13">
        <f>IFERROR(IF(Assumptions!$B$13="Cost Price",AB639,AA639)*SUMIF(Assumptions!$A$6:$A$10,X639,Assumptions!$B$6:$B$10),0)</f>
        <v>40.610169491525426</v>
      </c>
      <c r="AH639" s="13">
        <f>IFERROR(IF(Assumptions!$B$13="Cost Price",AB639,AA639)*SUMIF(Assumptions!$A$6:$A$10,X639,Assumptions!$C$6:$C$10),0)</f>
        <v>25.381355932203391</v>
      </c>
      <c r="AI639" s="13">
        <f>IFERROR(IF(Assumptions!$B$13="Cost Price",AB639,AA639)*SUMIF(Assumptions!$A$6:$A$10,X639,Assumptions!$D$6:$D$10),0)</f>
        <v>50.762711864406782</v>
      </c>
      <c r="AJ639" s="13">
        <v>50.762711864406782</v>
      </c>
      <c r="AK639" s="13">
        <f t="shared" si="159"/>
        <v>167.5169491525424</v>
      </c>
      <c r="AL639" s="14">
        <v>0.33</v>
      </c>
      <c r="AM639" s="13">
        <f t="shared" si="160"/>
        <v>-43.069830508474581</v>
      </c>
      <c r="AN639" s="14">
        <f t="shared" si="161"/>
        <v>-8.4845409015025047E-2</v>
      </c>
      <c r="AO639" t="str">
        <f>IF(AN639&gt;=Assumptions!$B$3,"OK","Review")</f>
        <v>Review</v>
      </c>
    </row>
    <row r="640" spans="1:41">
      <c r="A640" s="9" t="s">
        <v>431</v>
      </c>
      <c r="B640" s="9" t="s">
        <v>42</v>
      </c>
      <c r="C640" s="9" t="s">
        <v>372</v>
      </c>
      <c r="D640" s="9" t="s">
        <v>453</v>
      </c>
      <c r="E640" s="9" t="s">
        <v>430</v>
      </c>
      <c r="F640" s="9" t="s">
        <v>74</v>
      </c>
      <c r="G640" s="9" t="s">
        <v>31</v>
      </c>
      <c r="H640" s="9" t="s">
        <v>374</v>
      </c>
      <c r="I640" s="9" t="s">
        <v>419</v>
      </c>
      <c r="J640" s="10">
        <v>300</v>
      </c>
      <c r="K640" s="10"/>
      <c r="L640" s="10">
        <v>300</v>
      </c>
      <c r="M640" s="11">
        <v>0</v>
      </c>
      <c r="N640" s="10">
        <v>0</v>
      </c>
      <c r="O640" s="10">
        <v>300</v>
      </c>
      <c r="P640" s="11">
        <v>0.5</v>
      </c>
      <c r="Q640" s="10">
        <v>600</v>
      </c>
      <c r="R640" s="10">
        <f t="shared" si="162"/>
        <v>210.29999999999995</v>
      </c>
      <c r="S640" s="10">
        <v>300</v>
      </c>
      <c r="T640" s="9" t="s">
        <v>76</v>
      </c>
      <c r="U640" s="10">
        <v>1299</v>
      </c>
      <c r="V640" s="10">
        <f t="shared" si="151"/>
        <v>909.3</v>
      </c>
      <c r="W640" s="166">
        <v>490110</v>
      </c>
      <c r="X640" s="12" t="s">
        <v>30</v>
      </c>
      <c r="Y640" s="12">
        <f t="shared" si="152"/>
        <v>300</v>
      </c>
      <c r="Z640" s="13">
        <f t="shared" si="153"/>
        <v>300</v>
      </c>
      <c r="AA640" s="13">
        <f t="shared" si="154"/>
        <v>300</v>
      </c>
      <c r="AB640" s="13">
        <f t="shared" si="155"/>
        <v>300</v>
      </c>
      <c r="AC640" s="13">
        <f t="shared" si="156"/>
        <v>0</v>
      </c>
      <c r="AD640" s="14">
        <f t="shared" si="157"/>
        <v>0</v>
      </c>
      <c r="AE640" s="14">
        <f t="shared" si="158"/>
        <v>0</v>
      </c>
      <c r="AF640" s="13" t="str">
        <f>IF(AD640&gt;=Assumptions!$B$3,"OK","Review")</f>
        <v>Review</v>
      </c>
      <c r="AG640" s="13">
        <f>IFERROR(IF(Assumptions!$B$13="Cost Price",AB640,AA640)*SUMIF(Assumptions!$A$6:$A$10,X640,Assumptions!$B$6:$B$10),0)</f>
        <v>24</v>
      </c>
      <c r="AH640" s="13">
        <f>IFERROR(IF(Assumptions!$B$13="Cost Price",AB640,AA640)*SUMIF(Assumptions!$A$6:$A$10,X640,Assumptions!$C$6:$C$10),0)</f>
        <v>15</v>
      </c>
      <c r="AI640" s="13">
        <f>IFERROR(IF(Assumptions!$B$13="Cost Price",AB640,AA640)*SUMIF(Assumptions!$A$6:$A$10,X640,Assumptions!$D$6:$D$10),0)</f>
        <v>30</v>
      </c>
      <c r="AJ640" s="13">
        <v>30</v>
      </c>
      <c r="AK640" s="13">
        <f t="shared" si="159"/>
        <v>99</v>
      </c>
      <c r="AL640" s="14">
        <v>0.33</v>
      </c>
      <c r="AM640" s="13">
        <f t="shared" si="160"/>
        <v>-99</v>
      </c>
      <c r="AN640" s="14">
        <f t="shared" si="161"/>
        <v>-0.33</v>
      </c>
      <c r="AO640" t="str">
        <f>IF(AN640&gt;=Assumptions!$B$3,"OK","Review")</f>
        <v>Review</v>
      </c>
    </row>
    <row r="641" spans="1:41">
      <c r="A641" s="9" t="s">
        <v>431</v>
      </c>
      <c r="B641" s="9" t="s">
        <v>42</v>
      </c>
      <c r="C641" s="9" t="s">
        <v>376</v>
      </c>
      <c r="D641" s="9" t="s">
        <v>454</v>
      </c>
      <c r="E641" s="9" t="s">
        <v>430</v>
      </c>
      <c r="F641" s="9" t="s">
        <v>74</v>
      </c>
      <c r="G641" s="9" t="s">
        <v>31</v>
      </c>
      <c r="H641" s="9" t="s">
        <v>378</v>
      </c>
      <c r="I641" s="9" t="s">
        <v>421</v>
      </c>
      <c r="J641" s="10">
        <v>300</v>
      </c>
      <c r="K641" s="10">
        <v>0</v>
      </c>
      <c r="L641" s="10">
        <v>300</v>
      </c>
      <c r="M641" s="11">
        <v>0</v>
      </c>
      <c r="N641" s="10">
        <v>0</v>
      </c>
      <c r="O641" s="10">
        <v>300</v>
      </c>
      <c r="P641" s="11">
        <v>0.5</v>
      </c>
      <c r="Q641" s="10">
        <v>600</v>
      </c>
      <c r="R641" s="10">
        <f t="shared" si="162"/>
        <v>210.29999999999995</v>
      </c>
      <c r="S641" s="10">
        <v>300</v>
      </c>
      <c r="T641" s="9" t="s">
        <v>76</v>
      </c>
      <c r="U641" s="10">
        <v>1299</v>
      </c>
      <c r="V641" s="10">
        <f t="shared" si="151"/>
        <v>909.3</v>
      </c>
      <c r="W641" s="166">
        <v>490110</v>
      </c>
      <c r="X641" s="12" t="s">
        <v>30</v>
      </c>
      <c r="Y641" s="12">
        <f t="shared" si="152"/>
        <v>300</v>
      </c>
      <c r="Z641" s="13">
        <f t="shared" si="153"/>
        <v>300</v>
      </c>
      <c r="AA641" s="13">
        <f t="shared" si="154"/>
        <v>300</v>
      </c>
      <c r="AB641" s="13">
        <f t="shared" si="155"/>
        <v>300</v>
      </c>
      <c r="AC641" s="13">
        <f t="shared" si="156"/>
        <v>0</v>
      </c>
      <c r="AD641" s="14">
        <f t="shared" si="157"/>
        <v>0</v>
      </c>
      <c r="AE641" s="14">
        <f t="shared" si="158"/>
        <v>0</v>
      </c>
      <c r="AF641" s="13" t="str">
        <f>IF(AD641&gt;=Assumptions!$B$3,"OK","Review")</f>
        <v>Review</v>
      </c>
      <c r="AG641" s="13">
        <f>IFERROR(IF(Assumptions!$B$13="Cost Price",AB641,AA641)*SUMIF(Assumptions!$A$6:$A$10,X641,Assumptions!$B$6:$B$10),0)</f>
        <v>24</v>
      </c>
      <c r="AH641" s="13">
        <f>IFERROR(IF(Assumptions!$B$13="Cost Price",AB641,AA641)*SUMIF(Assumptions!$A$6:$A$10,X641,Assumptions!$C$6:$C$10),0)</f>
        <v>15</v>
      </c>
      <c r="AI641" s="13">
        <f>IFERROR(IF(Assumptions!$B$13="Cost Price",AB641,AA641)*SUMIF(Assumptions!$A$6:$A$10,X641,Assumptions!$D$6:$D$10),0)</f>
        <v>30</v>
      </c>
      <c r="AJ641" s="13">
        <v>30</v>
      </c>
      <c r="AK641" s="13">
        <f t="shared" si="159"/>
        <v>99</v>
      </c>
      <c r="AL641" s="14">
        <v>0.33</v>
      </c>
      <c r="AM641" s="13">
        <f t="shared" si="160"/>
        <v>-99</v>
      </c>
      <c r="AN641" s="14">
        <f t="shared" si="161"/>
        <v>-0.33</v>
      </c>
      <c r="AO641" t="str">
        <f>IF(AN641&gt;=Assumptions!$B$3,"OK","Review")</f>
        <v>Review</v>
      </c>
    </row>
    <row r="642" spans="1:41">
      <c r="A642" s="9" t="s">
        <v>431</v>
      </c>
      <c r="B642" s="9" t="s">
        <v>42</v>
      </c>
      <c r="C642" s="9" t="s">
        <v>380</v>
      </c>
      <c r="D642" s="9" t="s">
        <v>455</v>
      </c>
      <c r="E642" s="9" t="s">
        <v>430</v>
      </c>
      <c r="F642" s="9" t="s">
        <v>90</v>
      </c>
      <c r="G642" s="9" t="s">
        <v>31</v>
      </c>
      <c r="H642" s="9" t="s">
        <v>378</v>
      </c>
      <c r="I642" s="9" t="s">
        <v>423</v>
      </c>
      <c r="J642" s="10">
        <v>465.18</v>
      </c>
      <c r="K642" s="10">
        <v>0</v>
      </c>
      <c r="L642" s="10">
        <v>465.18</v>
      </c>
      <c r="M642" s="11">
        <v>0.18</v>
      </c>
      <c r="N642" s="10">
        <v>233.82</v>
      </c>
      <c r="O642" s="10">
        <v>699</v>
      </c>
      <c r="P642" s="11">
        <v>0</v>
      </c>
      <c r="Q642" s="10">
        <v>699</v>
      </c>
      <c r="R642" s="10">
        <f t="shared" si="162"/>
        <v>210.29999999999995</v>
      </c>
      <c r="S642" s="10">
        <v>699</v>
      </c>
      <c r="T642" s="9" t="s">
        <v>91</v>
      </c>
      <c r="U642" s="10">
        <v>1299</v>
      </c>
      <c r="V642" s="10">
        <f t="shared" ref="V642:V705" si="163">IFERROR(U642*(1-30%),0)</f>
        <v>909.3</v>
      </c>
      <c r="W642" s="166">
        <v>902300</v>
      </c>
      <c r="X642" s="12" t="s">
        <v>30</v>
      </c>
      <c r="Y642" s="12">
        <f t="shared" si="152"/>
        <v>699</v>
      </c>
      <c r="Z642" s="13">
        <f t="shared" ref="Z642:Z645" si="164">IF(ISNUMBER(S642),S642,0)</f>
        <v>699</v>
      </c>
      <c r="AA642" s="13">
        <f t="shared" si="154"/>
        <v>592.37288135593224</v>
      </c>
      <c r="AB642" s="13">
        <f t="shared" ref="AB642:AB645" si="165">IF(ISNUMBER(J642),J642,0)</f>
        <v>465.18</v>
      </c>
      <c r="AC642" s="13">
        <f t="shared" ref="AC642:AC645" si="166">AA642-AB642</f>
        <v>127.19288135593223</v>
      </c>
      <c r="AD642" s="14">
        <f t="shared" si="157"/>
        <v>0.21471759656652364</v>
      </c>
      <c r="AE642" s="14">
        <f t="shared" si="158"/>
        <v>0.27342723538400671</v>
      </c>
      <c r="AF642" s="13" t="str">
        <f>IF(AD642&gt;=Assumptions!$B$3,"OK","Review")</f>
        <v>Review</v>
      </c>
      <c r="AG642" s="13">
        <f>IFERROR(IF(Assumptions!$B$13="Cost Price",AB642,AA642)*SUMIF(Assumptions!$A$6:$A$10,X642,Assumptions!$B$6:$B$10),0)</f>
        <v>47.389830508474581</v>
      </c>
      <c r="AH642" s="13">
        <f>IFERROR(IF(Assumptions!$B$13="Cost Price",AB642,AA642)*SUMIF(Assumptions!$A$6:$A$10,X642,Assumptions!$C$6:$C$10),0)</f>
        <v>29.618644067796613</v>
      </c>
      <c r="AI642" s="13">
        <f>IFERROR(IF(Assumptions!$B$13="Cost Price",AB642,AA642)*SUMIF(Assumptions!$A$6:$A$10,X642,Assumptions!$D$6:$D$10),0)</f>
        <v>59.237288135593225</v>
      </c>
      <c r="AJ642" s="13">
        <v>59.237288135593225</v>
      </c>
      <c r="AK642" s="13">
        <f t="shared" ref="AK642:AK705" si="167">SUM(AG642:AJ642)</f>
        <v>195.48305084745763</v>
      </c>
      <c r="AL642" s="14">
        <v>0.33</v>
      </c>
      <c r="AM642" s="13">
        <f t="shared" ref="AM642:AM645" si="168">AC642-AK642</f>
        <v>-68.290169491525404</v>
      </c>
      <c r="AN642" s="14">
        <f t="shared" ref="AN642:AN705" si="169">IFERROR(AM642/AA642,0)</f>
        <v>-0.11528240343347636</v>
      </c>
      <c r="AO642" t="str">
        <f>IF(AN642&gt;=Assumptions!$B$3,"OK","Review")</f>
        <v>Review</v>
      </c>
    </row>
    <row r="643" spans="1:41">
      <c r="A643" s="9" t="s">
        <v>431</v>
      </c>
      <c r="B643" s="9" t="s">
        <v>48</v>
      </c>
      <c r="C643" s="9" t="s">
        <v>372</v>
      </c>
      <c r="D643" s="9" t="s">
        <v>456</v>
      </c>
      <c r="E643" s="9" t="s">
        <v>430</v>
      </c>
      <c r="F643" s="9" t="s">
        <v>74</v>
      </c>
      <c r="G643" s="9" t="s">
        <v>31</v>
      </c>
      <c r="H643" s="9" t="s">
        <v>374</v>
      </c>
      <c r="I643" s="9" t="s">
        <v>425</v>
      </c>
      <c r="J643" s="10">
        <v>300</v>
      </c>
      <c r="K643" s="10"/>
      <c r="L643" s="10">
        <v>300</v>
      </c>
      <c r="M643" s="11">
        <v>0</v>
      </c>
      <c r="N643" s="10">
        <v>0</v>
      </c>
      <c r="O643" s="10">
        <v>300</v>
      </c>
      <c r="P643" s="11">
        <v>0.5</v>
      </c>
      <c r="Q643" s="10">
        <v>600</v>
      </c>
      <c r="R643" s="10">
        <f t="shared" si="162"/>
        <v>210.29999999999995</v>
      </c>
      <c r="S643" s="10">
        <v>300</v>
      </c>
      <c r="T643" s="9" t="s">
        <v>76</v>
      </c>
      <c r="U643" s="10">
        <v>1299</v>
      </c>
      <c r="V643" s="10">
        <f t="shared" si="163"/>
        <v>909.3</v>
      </c>
      <c r="W643" s="166">
        <v>490110</v>
      </c>
      <c r="X643" s="12" t="s">
        <v>30</v>
      </c>
      <c r="Y643" s="12">
        <f t="shared" si="152"/>
        <v>300</v>
      </c>
      <c r="Z643" s="13">
        <f t="shared" si="164"/>
        <v>300</v>
      </c>
      <c r="AA643" s="13">
        <f t="shared" si="154"/>
        <v>300</v>
      </c>
      <c r="AB643" s="13">
        <f t="shared" si="165"/>
        <v>300</v>
      </c>
      <c r="AC643" s="13">
        <f t="shared" si="166"/>
        <v>0</v>
      </c>
      <c r="AD643" s="14">
        <f t="shared" si="157"/>
        <v>0</v>
      </c>
      <c r="AE643" s="14">
        <f t="shared" si="158"/>
        <v>0</v>
      </c>
      <c r="AF643" s="13" t="str">
        <f>IF(AD643&gt;=Assumptions!$B$3,"OK","Review")</f>
        <v>Review</v>
      </c>
      <c r="AG643" s="13">
        <f>IFERROR(IF(Assumptions!$B$13="Cost Price",AB643,AA643)*SUMIF(Assumptions!$A$6:$A$10,X643,Assumptions!$B$6:$B$10),0)</f>
        <v>24</v>
      </c>
      <c r="AH643" s="13">
        <f>IFERROR(IF(Assumptions!$B$13="Cost Price",AB643,AA643)*SUMIF(Assumptions!$A$6:$A$10,X643,Assumptions!$C$6:$C$10),0)</f>
        <v>15</v>
      </c>
      <c r="AI643" s="13">
        <f>IFERROR(IF(Assumptions!$B$13="Cost Price",AB643,AA643)*SUMIF(Assumptions!$A$6:$A$10,X643,Assumptions!$D$6:$D$10),0)</f>
        <v>30</v>
      </c>
      <c r="AJ643" s="13">
        <v>30</v>
      </c>
      <c r="AK643" s="13">
        <f t="shared" si="167"/>
        <v>99</v>
      </c>
      <c r="AL643" s="14">
        <v>0.33</v>
      </c>
      <c r="AM643" s="13">
        <f t="shared" si="168"/>
        <v>-99</v>
      </c>
      <c r="AN643" s="14">
        <f t="shared" si="169"/>
        <v>-0.33</v>
      </c>
      <c r="AO643" t="str">
        <f>IF(AN643&gt;=Assumptions!$B$3,"OK","Review")</f>
        <v>Review</v>
      </c>
    </row>
    <row r="644" spans="1:41">
      <c r="A644" s="9" t="s">
        <v>431</v>
      </c>
      <c r="B644" s="9" t="s">
        <v>48</v>
      </c>
      <c r="C644" s="9" t="s">
        <v>376</v>
      </c>
      <c r="D644" s="9" t="s">
        <v>457</v>
      </c>
      <c r="E644" s="9" t="s">
        <v>430</v>
      </c>
      <c r="F644" s="9" t="s">
        <v>74</v>
      </c>
      <c r="G644" s="9" t="s">
        <v>31</v>
      </c>
      <c r="H644" s="9" t="s">
        <v>378</v>
      </c>
      <c r="I644" s="9" t="s">
        <v>427</v>
      </c>
      <c r="J644" s="10">
        <v>300</v>
      </c>
      <c r="K644" s="10">
        <v>0</v>
      </c>
      <c r="L644" s="10">
        <v>300</v>
      </c>
      <c r="M644" s="11">
        <v>0</v>
      </c>
      <c r="N644" s="10">
        <v>0</v>
      </c>
      <c r="O644" s="10">
        <v>300</v>
      </c>
      <c r="P644" s="11">
        <v>0.5</v>
      </c>
      <c r="Q644" s="10">
        <v>600</v>
      </c>
      <c r="R644" s="10">
        <f t="shared" si="162"/>
        <v>210.29999999999995</v>
      </c>
      <c r="S644" s="10">
        <v>300</v>
      </c>
      <c r="T644" s="9" t="s">
        <v>76</v>
      </c>
      <c r="U644" s="10">
        <v>1299</v>
      </c>
      <c r="V644" s="10">
        <f t="shared" si="163"/>
        <v>909.3</v>
      </c>
      <c r="W644" s="166">
        <v>490110</v>
      </c>
      <c r="X644" s="12" t="s">
        <v>30</v>
      </c>
      <c r="Y644" s="12">
        <f t="shared" si="152"/>
        <v>300</v>
      </c>
      <c r="Z644" s="13">
        <f t="shared" si="164"/>
        <v>300</v>
      </c>
      <c r="AA644" s="13">
        <f t="shared" si="154"/>
        <v>300</v>
      </c>
      <c r="AB644" s="13">
        <f t="shared" si="165"/>
        <v>300</v>
      </c>
      <c r="AC644" s="13">
        <f t="shared" si="166"/>
        <v>0</v>
      </c>
      <c r="AD644" s="14">
        <f t="shared" si="157"/>
        <v>0</v>
      </c>
      <c r="AE644" s="14">
        <f t="shared" si="158"/>
        <v>0</v>
      </c>
      <c r="AF644" s="13" t="str">
        <f>IF(AD644&gt;=Assumptions!$B$3,"OK","Review")</f>
        <v>Review</v>
      </c>
      <c r="AG644" s="13">
        <f>IFERROR(IF(Assumptions!$B$13="Cost Price",AB644,AA644)*SUMIF(Assumptions!$A$6:$A$10,X644,Assumptions!$B$6:$B$10),0)</f>
        <v>24</v>
      </c>
      <c r="AH644" s="13">
        <f>IFERROR(IF(Assumptions!$B$13="Cost Price",AB644,AA644)*SUMIF(Assumptions!$A$6:$A$10,X644,Assumptions!$C$6:$C$10),0)</f>
        <v>15</v>
      </c>
      <c r="AI644" s="13">
        <f>IFERROR(IF(Assumptions!$B$13="Cost Price",AB644,AA644)*SUMIF(Assumptions!$A$6:$A$10,X644,Assumptions!$D$6:$D$10),0)</f>
        <v>30</v>
      </c>
      <c r="AJ644" s="13">
        <v>30</v>
      </c>
      <c r="AK644" s="13">
        <f t="shared" si="167"/>
        <v>99</v>
      </c>
      <c r="AL644" s="14">
        <v>0.33</v>
      </c>
      <c r="AM644" s="13">
        <f t="shared" si="168"/>
        <v>-99</v>
      </c>
      <c r="AN644" s="14">
        <f t="shared" si="169"/>
        <v>-0.33</v>
      </c>
      <c r="AO644" t="str">
        <f>IF(AN644&gt;=Assumptions!$B$3,"OK","Review")</f>
        <v>Review</v>
      </c>
    </row>
    <row r="645" spans="1:41">
      <c r="A645" s="9" t="s">
        <v>431</v>
      </c>
      <c r="B645" s="9" t="s">
        <v>48</v>
      </c>
      <c r="C645" s="9" t="s">
        <v>380</v>
      </c>
      <c r="D645" s="9" t="s">
        <v>428</v>
      </c>
      <c r="E645" s="9" t="s">
        <v>430</v>
      </c>
      <c r="F645" s="9" t="s">
        <v>90</v>
      </c>
      <c r="G645" s="9" t="s">
        <v>31</v>
      </c>
      <c r="H645" s="9" t="s">
        <v>378</v>
      </c>
      <c r="I645" s="9" t="s">
        <v>429</v>
      </c>
      <c r="J645" s="10">
        <v>465.18</v>
      </c>
      <c r="K645" s="10">
        <v>0</v>
      </c>
      <c r="L645" s="10">
        <v>465.18</v>
      </c>
      <c r="M645" s="11">
        <v>0.18</v>
      </c>
      <c r="N645" s="10">
        <v>233.82</v>
      </c>
      <c r="O645" s="10">
        <v>699</v>
      </c>
      <c r="P645" s="11">
        <v>0</v>
      </c>
      <c r="Q645" s="10">
        <v>699</v>
      </c>
      <c r="R645" s="10">
        <f t="shared" si="162"/>
        <v>210.29999999999995</v>
      </c>
      <c r="S645" s="10">
        <v>699</v>
      </c>
      <c r="T645" s="9" t="s">
        <v>91</v>
      </c>
      <c r="U645" s="10">
        <v>1299</v>
      </c>
      <c r="V645" s="10">
        <f t="shared" si="163"/>
        <v>909.3</v>
      </c>
      <c r="W645" s="166">
        <v>902300</v>
      </c>
      <c r="X645" s="12" t="s">
        <v>30</v>
      </c>
      <c r="Y645" s="12">
        <f t="shared" si="152"/>
        <v>699</v>
      </c>
      <c r="Z645" s="13">
        <f t="shared" si="164"/>
        <v>699</v>
      </c>
      <c r="AA645" s="13">
        <f t="shared" si="154"/>
        <v>592.37288135593224</v>
      </c>
      <c r="AB645" s="13">
        <f t="shared" si="165"/>
        <v>465.18</v>
      </c>
      <c r="AC645" s="13">
        <f t="shared" si="166"/>
        <v>127.19288135593223</v>
      </c>
      <c r="AD645" s="14">
        <f t="shared" si="157"/>
        <v>0.21471759656652364</v>
      </c>
      <c r="AE645" s="14">
        <f t="shared" si="158"/>
        <v>0.27342723538400671</v>
      </c>
      <c r="AF645" s="13" t="str">
        <f>IF(AD645&gt;=Assumptions!$B$3,"OK","Review")</f>
        <v>Review</v>
      </c>
      <c r="AG645" s="13">
        <f>IFERROR(IF(Assumptions!$B$13="Cost Price",AB645,AA645)*SUMIF(Assumptions!$A$6:$A$10,X645,Assumptions!$B$6:$B$10),0)</f>
        <v>47.389830508474581</v>
      </c>
      <c r="AH645" s="13">
        <f>IFERROR(IF(Assumptions!$B$13="Cost Price",AB645,AA645)*SUMIF(Assumptions!$A$6:$A$10,X645,Assumptions!$C$6:$C$10),0)</f>
        <v>29.618644067796613</v>
      </c>
      <c r="AI645" s="13">
        <f>IFERROR(IF(Assumptions!$B$13="Cost Price",AB645,AA645)*SUMIF(Assumptions!$A$6:$A$10,X645,Assumptions!$D$6:$D$10),0)</f>
        <v>59.237288135593225</v>
      </c>
      <c r="AJ645" s="13">
        <v>59.237288135593225</v>
      </c>
      <c r="AK645" s="13">
        <f t="shared" si="167"/>
        <v>195.48305084745763</v>
      </c>
      <c r="AL645" s="14">
        <v>0.33</v>
      </c>
      <c r="AM645" s="13">
        <f t="shared" si="168"/>
        <v>-68.290169491525404</v>
      </c>
      <c r="AN645" s="14">
        <f t="shared" si="169"/>
        <v>-0.11528240343347636</v>
      </c>
      <c r="AO645" t="str">
        <f>IF(AN645&gt;=Assumptions!$B$3,"OK","Review")</f>
        <v>Review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showGridLines="0" workbookViewId="0"/>
  </sheetViews>
  <sheetFormatPr baseColWidth="10" defaultColWidth="8.6640625" defaultRowHeight="15"/>
  <cols>
    <col min="1" max="1" width="34" customWidth="1"/>
    <col min="2" max="2" width="18" customWidth="1"/>
    <col min="3" max="3" width="22" customWidth="1"/>
    <col min="4" max="4" width="20" customWidth="1"/>
    <col min="5" max="6" width="22" customWidth="1"/>
  </cols>
  <sheetData>
    <row r="1" spans="1:6" ht="17.25" customHeight="1">
      <c r="A1" s="168" t="s">
        <v>458</v>
      </c>
      <c r="B1" s="168"/>
      <c r="C1" s="168"/>
      <c r="D1" s="168"/>
      <c r="E1" s="168"/>
      <c r="F1" s="168"/>
    </row>
    <row r="3" spans="1:6" ht="15" customHeight="1">
      <c r="A3" t="s">
        <v>7</v>
      </c>
      <c r="B3" s="15">
        <v>0.3</v>
      </c>
      <c r="C3" s="7"/>
      <c r="D3" s="7"/>
      <c r="E3" s="7"/>
      <c r="F3" s="7"/>
    </row>
    <row r="4" spans="1:6" ht="15" customHeight="1">
      <c r="A4" s="169" t="s">
        <v>459</v>
      </c>
      <c r="B4" s="169"/>
      <c r="C4" s="169"/>
      <c r="D4" s="169"/>
      <c r="E4" s="169"/>
      <c r="F4" s="169"/>
    </row>
    <row r="5" spans="1:6" ht="15" customHeight="1">
      <c r="A5" s="1" t="s">
        <v>10</v>
      </c>
      <c r="B5" s="16" t="s">
        <v>460</v>
      </c>
      <c r="C5" s="16" t="s">
        <v>461</v>
      </c>
      <c r="D5" s="16" t="s">
        <v>462</v>
      </c>
      <c r="E5" s="16" t="s">
        <v>463</v>
      </c>
      <c r="F5" s="16" t="s">
        <v>464</v>
      </c>
    </row>
    <row r="6" spans="1:6" ht="15" customHeight="1">
      <c r="A6" t="s">
        <v>25</v>
      </c>
      <c r="B6" s="15">
        <v>0.08</v>
      </c>
      <c r="C6" s="15">
        <v>0.05</v>
      </c>
      <c r="D6" s="15">
        <v>0.1</v>
      </c>
      <c r="E6" s="15">
        <v>0.1</v>
      </c>
      <c r="F6" s="7">
        <f>SUM(B6:E6)</f>
        <v>0.33</v>
      </c>
    </row>
    <row r="7" spans="1:6" ht="15" customHeight="1">
      <c r="A7" t="s">
        <v>26</v>
      </c>
      <c r="B7" s="15">
        <v>0.08</v>
      </c>
      <c r="C7" s="15">
        <v>0.05</v>
      </c>
      <c r="D7" s="15">
        <v>0.1</v>
      </c>
      <c r="E7" s="15">
        <v>0.1</v>
      </c>
      <c r="F7" s="7">
        <f>SUM(B7:E7)</f>
        <v>0.33</v>
      </c>
    </row>
    <row r="8" spans="1:6" ht="15" customHeight="1">
      <c r="A8" t="s">
        <v>27</v>
      </c>
      <c r="B8" s="15">
        <v>0.08</v>
      </c>
      <c r="C8" s="15">
        <v>0.05</v>
      </c>
      <c r="D8" s="15">
        <v>0.1</v>
      </c>
      <c r="E8" s="15">
        <v>0.1</v>
      </c>
      <c r="F8" s="7">
        <f>SUM(B8:E8)</f>
        <v>0.33</v>
      </c>
    </row>
    <row r="9" spans="1:6">
      <c r="A9" t="s">
        <v>29</v>
      </c>
      <c r="B9" s="7">
        <v>0.08</v>
      </c>
      <c r="C9" s="7">
        <v>0.05</v>
      </c>
      <c r="D9" s="7">
        <v>0.1</v>
      </c>
      <c r="E9" s="7">
        <v>0.1</v>
      </c>
      <c r="F9" s="7">
        <f>SUM(B9:E9)</f>
        <v>0.33</v>
      </c>
    </row>
    <row r="10" spans="1:6">
      <c r="A10" t="s">
        <v>30</v>
      </c>
      <c r="B10" s="7">
        <v>0.08</v>
      </c>
      <c r="C10" s="7">
        <v>0.05</v>
      </c>
      <c r="D10" s="7">
        <v>0.1</v>
      </c>
      <c r="E10" s="7">
        <v>0.1</v>
      </c>
      <c r="F10" s="7">
        <f>SUM(B10:E10)</f>
        <v>0.33</v>
      </c>
    </row>
    <row r="11" spans="1:6" ht="15" customHeight="1">
      <c r="B11" s="17"/>
    </row>
    <row r="13" spans="1:6" ht="15" customHeight="1">
      <c r="A13" t="s">
        <v>465</v>
      </c>
      <c r="B13" t="s">
        <v>466</v>
      </c>
    </row>
    <row r="15" spans="1:6" ht="15" customHeight="1">
      <c r="A15" t="s">
        <v>467</v>
      </c>
      <c r="B15" s="170" t="s">
        <v>468</v>
      </c>
      <c r="C15" s="170"/>
      <c r="D15" s="170"/>
      <c r="E15" s="170"/>
      <c r="F15" s="170"/>
    </row>
  </sheetData>
  <mergeCells count="3">
    <mergeCell ref="A1:F1"/>
    <mergeCell ref="A4:F4"/>
    <mergeCell ref="B15:F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62"/>
  <sheetViews>
    <sheetView showGridLines="0" workbookViewId="0"/>
  </sheetViews>
  <sheetFormatPr baseColWidth="10" defaultColWidth="8.6640625" defaultRowHeight="15"/>
  <cols>
    <col min="1" max="1" width="14.33203125" customWidth="1"/>
    <col min="2" max="2" width="8.1640625" customWidth="1"/>
    <col min="3" max="3" width="11" customWidth="1"/>
    <col min="4" max="4" width="31" customWidth="1"/>
    <col min="5" max="5" width="4.33203125" customWidth="1"/>
    <col min="6" max="6" width="12.5" customWidth="1"/>
    <col min="7" max="7" width="7.5" customWidth="1"/>
    <col min="8" max="8" width="5.33203125" customWidth="1"/>
    <col min="9" max="9" width="9.6640625" customWidth="1"/>
    <col min="10" max="10" width="5.1640625" customWidth="1"/>
    <col min="11" max="11" width="9.6640625" customWidth="1"/>
    <col min="12" max="12" width="8.83203125" customWidth="1"/>
    <col min="13" max="13" width="5.33203125" customWidth="1"/>
    <col min="14" max="14" width="7.6640625" customWidth="1"/>
    <col min="15" max="15" width="11.1640625" customWidth="1"/>
    <col min="16" max="16" width="5.83203125" customWidth="1"/>
    <col min="17" max="17" width="9.1640625" customWidth="1"/>
    <col min="18" max="18" width="9" customWidth="1"/>
    <col min="19" max="19" width="6.6640625" customWidth="1"/>
    <col min="20" max="20" width="23.1640625" customWidth="1"/>
    <col min="21" max="21" width="9.1640625" customWidth="1"/>
    <col min="22" max="22" width="7.6640625" customWidth="1"/>
  </cols>
  <sheetData>
    <row r="1" spans="1:22" ht="45.75" customHeight="1">
      <c r="A1" s="18" t="s">
        <v>49</v>
      </c>
      <c r="B1" s="18" t="s">
        <v>50</v>
      </c>
      <c r="C1" s="18" t="s">
        <v>51</v>
      </c>
      <c r="D1" s="19" t="s">
        <v>52</v>
      </c>
      <c r="E1" s="20" t="s">
        <v>53</v>
      </c>
      <c r="F1" s="18" t="s">
        <v>54</v>
      </c>
      <c r="G1" s="18" t="s">
        <v>55</v>
      </c>
      <c r="H1" s="18" t="s">
        <v>56</v>
      </c>
      <c r="I1" s="18" t="s">
        <v>57</v>
      </c>
      <c r="J1" s="21" t="s">
        <v>58</v>
      </c>
      <c r="K1" s="22" t="s">
        <v>59</v>
      </c>
      <c r="L1" s="23" t="s">
        <v>60</v>
      </c>
      <c r="M1" s="22" t="s">
        <v>61</v>
      </c>
      <c r="N1" s="24" t="s">
        <v>62</v>
      </c>
      <c r="O1" s="25" t="s">
        <v>63</v>
      </c>
      <c r="P1" s="26" t="s">
        <v>64</v>
      </c>
      <c r="Q1" s="27" t="s">
        <v>65</v>
      </c>
      <c r="R1" s="28" t="s">
        <v>66</v>
      </c>
      <c r="S1" s="29" t="s">
        <v>67</v>
      </c>
      <c r="T1" s="22" t="s">
        <v>68</v>
      </c>
      <c r="U1" s="30" t="s">
        <v>69</v>
      </c>
      <c r="V1" s="22" t="s">
        <v>469</v>
      </c>
    </row>
    <row r="2" spans="1:22" ht="15" customHeight="1">
      <c r="A2" s="31" t="s">
        <v>70</v>
      </c>
      <c r="B2" s="32" t="s">
        <v>35</v>
      </c>
      <c r="C2" s="32" t="s">
        <v>71</v>
      </c>
      <c r="D2" s="32" t="s">
        <v>72</v>
      </c>
      <c r="E2" s="33" t="s">
        <v>73</v>
      </c>
      <c r="F2" s="34" t="s">
        <v>74</v>
      </c>
      <c r="G2" s="35" t="s">
        <v>24</v>
      </c>
      <c r="H2" s="36" t="s">
        <v>75</v>
      </c>
      <c r="I2" s="35">
        <v>4000011860</v>
      </c>
      <c r="J2" s="35">
        <v>44.16</v>
      </c>
      <c r="K2" s="37"/>
      <c r="L2" s="35">
        <f t="shared" ref="L2:L33" si="0">J2+K2</f>
        <v>44.16</v>
      </c>
      <c r="M2" s="38">
        <v>0</v>
      </c>
      <c r="N2" s="39">
        <f t="shared" ref="N2:N33" si="1">M2*L2</f>
        <v>0</v>
      </c>
      <c r="O2" s="39">
        <f t="shared" ref="O2:O33" si="2">L2+N2</f>
        <v>44.16</v>
      </c>
      <c r="P2" s="40">
        <f t="shared" ref="P2:P10" si="3">IFERROR(O2/Q2,"")</f>
        <v>0.13933676206102294</v>
      </c>
      <c r="Q2" s="39">
        <f t="shared" ref="Q2:Q10" si="4">SUMIFS(O:O,T:T,T2,B:B,B2,A:A,A2,G:G,G2,E:E,E2)</f>
        <v>316.92999999999995</v>
      </c>
      <c r="R2" s="41">
        <f t="shared" ref="R2:R10" si="5">U2-SUMIFS(Q:Q,A:A,A2,B:B,B2,G:G,G2,E:E,E2,T:T,"Fixed Price ( Base Price with GST)")</f>
        <v>4125.5182000000004</v>
      </c>
      <c r="S2" s="39">
        <f t="shared" ref="S2:S10" si="6">P2*R2</f>
        <v>574.83634781181968</v>
      </c>
      <c r="T2" s="35" t="s">
        <v>76</v>
      </c>
      <c r="U2" s="42">
        <v>4499</v>
      </c>
      <c r="V2" s="43">
        <v>490110</v>
      </c>
    </row>
    <row r="3" spans="1:22" ht="15" customHeight="1">
      <c r="A3" s="44" t="s">
        <v>70</v>
      </c>
      <c r="B3" s="45" t="s">
        <v>35</v>
      </c>
      <c r="C3" s="45" t="s">
        <v>71</v>
      </c>
      <c r="D3" s="45" t="s">
        <v>77</v>
      </c>
      <c r="E3" s="46" t="s">
        <v>73</v>
      </c>
      <c r="F3" s="47" t="s">
        <v>74</v>
      </c>
      <c r="G3" s="48" t="s">
        <v>24</v>
      </c>
      <c r="H3" s="49" t="s">
        <v>75</v>
      </c>
      <c r="I3" s="48">
        <v>4000011852</v>
      </c>
      <c r="J3" s="48">
        <v>20.94</v>
      </c>
      <c r="K3" s="50"/>
      <c r="L3" s="48">
        <f t="shared" si="0"/>
        <v>20.94</v>
      </c>
      <c r="M3" s="51">
        <v>0</v>
      </c>
      <c r="N3" s="52">
        <f t="shared" si="1"/>
        <v>0</v>
      </c>
      <c r="O3" s="52">
        <f t="shared" si="2"/>
        <v>20.94</v>
      </c>
      <c r="P3" s="53">
        <f t="shared" si="3"/>
        <v>6.6071372227305733E-2</v>
      </c>
      <c r="Q3" s="52">
        <f t="shared" si="4"/>
        <v>316.92999999999995</v>
      </c>
      <c r="R3" s="54">
        <f t="shared" si="5"/>
        <v>4125.5182000000004</v>
      </c>
      <c r="S3" s="52">
        <f t="shared" si="6"/>
        <v>272.57864862272436</v>
      </c>
      <c r="T3" s="48" t="s">
        <v>76</v>
      </c>
      <c r="U3" s="55">
        <v>4499</v>
      </c>
      <c r="V3" s="56">
        <v>490110</v>
      </c>
    </row>
    <row r="4" spans="1:22" ht="15" customHeight="1">
      <c r="A4" s="44" t="s">
        <v>70</v>
      </c>
      <c r="B4" s="45" t="s">
        <v>35</v>
      </c>
      <c r="C4" s="45" t="s">
        <v>78</v>
      </c>
      <c r="D4" s="45" t="s">
        <v>79</v>
      </c>
      <c r="E4" s="46" t="s">
        <v>73</v>
      </c>
      <c r="F4" s="47" t="s">
        <v>74</v>
      </c>
      <c r="G4" s="48" t="s">
        <v>24</v>
      </c>
      <c r="H4" s="49" t="s">
        <v>75</v>
      </c>
      <c r="I4" s="48">
        <v>4000011794</v>
      </c>
      <c r="J4" s="48">
        <v>19.559999999999999</v>
      </c>
      <c r="K4" s="50"/>
      <c r="L4" s="48">
        <f t="shared" si="0"/>
        <v>19.559999999999999</v>
      </c>
      <c r="M4" s="51">
        <v>0</v>
      </c>
      <c r="N4" s="52">
        <f t="shared" si="1"/>
        <v>0</v>
      </c>
      <c r="O4" s="52">
        <f t="shared" si="2"/>
        <v>19.559999999999999</v>
      </c>
      <c r="P4" s="53">
        <f t="shared" si="3"/>
        <v>6.1717098412898755E-2</v>
      </c>
      <c r="Q4" s="52">
        <f t="shared" si="4"/>
        <v>316.92999999999995</v>
      </c>
      <c r="R4" s="54">
        <f t="shared" si="5"/>
        <v>4125.5182000000004</v>
      </c>
      <c r="S4" s="52">
        <f t="shared" si="6"/>
        <v>254.61501275360496</v>
      </c>
      <c r="T4" s="48" t="s">
        <v>76</v>
      </c>
      <c r="U4" s="55">
        <v>4499</v>
      </c>
      <c r="V4" s="56">
        <v>490110</v>
      </c>
    </row>
    <row r="5" spans="1:22" ht="15" customHeight="1">
      <c r="A5" s="44" t="s">
        <v>70</v>
      </c>
      <c r="B5" s="45" t="s">
        <v>35</v>
      </c>
      <c r="C5" s="45" t="s">
        <v>78</v>
      </c>
      <c r="D5" s="45" t="s">
        <v>80</v>
      </c>
      <c r="E5" s="46" t="s">
        <v>73</v>
      </c>
      <c r="F5" s="47" t="s">
        <v>81</v>
      </c>
      <c r="G5" s="48" t="s">
        <v>24</v>
      </c>
      <c r="H5" s="49" t="s">
        <v>75</v>
      </c>
      <c r="I5" s="48">
        <v>4000011783</v>
      </c>
      <c r="J5" s="48">
        <v>60.15</v>
      </c>
      <c r="K5" s="50"/>
      <c r="L5" s="48">
        <f t="shared" si="0"/>
        <v>60.15</v>
      </c>
      <c r="M5" s="51">
        <v>0</v>
      </c>
      <c r="N5" s="52">
        <f t="shared" si="1"/>
        <v>0</v>
      </c>
      <c r="O5" s="52">
        <f t="shared" si="2"/>
        <v>60.15</v>
      </c>
      <c r="P5" s="53">
        <f t="shared" si="3"/>
        <v>0.1897895434323037</v>
      </c>
      <c r="Q5" s="52">
        <f t="shared" si="4"/>
        <v>316.92999999999995</v>
      </c>
      <c r="R5" s="54">
        <f t="shared" si="5"/>
        <v>4125.5182000000004</v>
      </c>
      <c r="S5" s="52">
        <f t="shared" si="6"/>
        <v>782.98021559965946</v>
      </c>
      <c r="T5" s="48" t="s">
        <v>76</v>
      </c>
      <c r="U5" s="55">
        <v>4499</v>
      </c>
      <c r="V5" s="56">
        <v>490110</v>
      </c>
    </row>
    <row r="6" spans="1:22" ht="15" customHeight="1">
      <c r="A6" s="44" t="s">
        <v>70</v>
      </c>
      <c r="B6" s="45" t="s">
        <v>35</v>
      </c>
      <c r="C6" s="45" t="s">
        <v>78</v>
      </c>
      <c r="D6" s="45" t="s">
        <v>82</v>
      </c>
      <c r="E6" s="46" t="s">
        <v>73</v>
      </c>
      <c r="F6" s="47" t="s">
        <v>81</v>
      </c>
      <c r="G6" s="48" t="s">
        <v>24</v>
      </c>
      <c r="H6" s="49" t="s">
        <v>75</v>
      </c>
      <c r="I6" s="48">
        <v>4000011805</v>
      </c>
      <c r="J6" s="48">
        <v>20.94</v>
      </c>
      <c r="K6" s="50"/>
      <c r="L6" s="48">
        <f t="shared" si="0"/>
        <v>20.94</v>
      </c>
      <c r="M6" s="51">
        <v>0</v>
      </c>
      <c r="N6" s="52">
        <f t="shared" si="1"/>
        <v>0</v>
      </c>
      <c r="O6" s="52">
        <f t="shared" si="2"/>
        <v>20.94</v>
      </c>
      <c r="P6" s="53">
        <f t="shared" si="3"/>
        <v>6.6071372227305733E-2</v>
      </c>
      <c r="Q6" s="52">
        <f t="shared" si="4"/>
        <v>316.92999999999995</v>
      </c>
      <c r="R6" s="54">
        <f t="shared" si="5"/>
        <v>4125.5182000000004</v>
      </c>
      <c r="S6" s="52">
        <f t="shared" si="6"/>
        <v>272.57864862272436</v>
      </c>
      <c r="T6" s="48" t="s">
        <v>76</v>
      </c>
      <c r="U6" s="55">
        <v>4499</v>
      </c>
      <c r="V6" s="56">
        <v>490110</v>
      </c>
    </row>
    <row r="7" spans="1:22" ht="15" customHeight="1">
      <c r="A7" s="44" t="s">
        <v>70</v>
      </c>
      <c r="B7" s="45" t="s">
        <v>35</v>
      </c>
      <c r="C7" s="45" t="s">
        <v>71</v>
      </c>
      <c r="D7" s="45" t="s">
        <v>83</v>
      </c>
      <c r="E7" s="46" t="s">
        <v>73</v>
      </c>
      <c r="F7" s="47" t="s">
        <v>74</v>
      </c>
      <c r="G7" s="48" t="s">
        <v>24</v>
      </c>
      <c r="H7" s="57" t="s">
        <v>84</v>
      </c>
      <c r="I7" s="48">
        <v>4000011816</v>
      </c>
      <c r="J7" s="48">
        <v>46.25</v>
      </c>
      <c r="K7" s="50"/>
      <c r="L7" s="48">
        <f t="shared" si="0"/>
        <v>46.25</v>
      </c>
      <c r="M7" s="51">
        <v>0</v>
      </c>
      <c r="N7" s="52">
        <f t="shared" si="1"/>
        <v>0</v>
      </c>
      <c r="O7" s="52">
        <f t="shared" si="2"/>
        <v>46.25</v>
      </c>
      <c r="P7" s="53">
        <f t="shared" si="3"/>
        <v>0.14593127820023352</v>
      </c>
      <c r="Q7" s="52">
        <f t="shared" si="4"/>
        <v>316.92999999999995</v>
      </c>
      <c r="R7" s="54">
        <f t="shared" si="5"/>
        <v>4125.5182000000004</v>
      </c>
      <c r="S7" s="52">
        <f t="shared" si="6"/>
        <v>602.04214416432671</v>
      </c>
      <c r="T7" s="48" t="s">
        <v>76</v>
      </c>
      <c r="U7" s="55">
        <v>4499</v>
      </c>
      <c r="V7" s="56">
        <v>490110</v>
      </c>
    </row>
    <row r="8" spans="1:22" ht="15" customHeight="1">
      <c r="A8" s="44" t="s">
        <v>70</v>
      </c>
      <c r="B8" s="45" t="s">
        <v>35</v>
      </c>
      <c r="C8" s="45" t="s">
        <v>71</v>
      </c>
      <c r="D8" s="45" t="s">
        <v>85</v>
      </c>
      <c r="E8" s="46" t="s">
        <v>73</v>
      </c>
      <c r="F8" s="47" t="s">
        <v>74</v>
      </c>
      <c r="G8" s="48" t="s">
        <v>24</v>
      </c>
      <c r="H8" s="57" t="s">
        <v>84</v>
      </c>
      <c r="I8" s="48">
        <v>4000011747</v>
      </c>
      <c r="J8" s="48">
        <v>19.510000000000002</v>
      </c>
      <c r="K8" s="50"/>
      <c r="L8" s="48">
        <f t="shared" si="0"/>
        <v>19.510000000000002</v>
      </c>
      <c r="M8" s="51">
        <v>0</v>
      </c>
      <c r="N8" s="52">
        <f t="shared" si="1"/>
        <v>0</v>
      </c>
      <c r="O8" s="52">
        <f t="shared" si="2"/>
        <v>19.510000000000002</v>
      </c>
      <c r="P8" s="53">
        <f t="shared" si="3"/>
        <v>6.1559334868898509E-2</v>
      </c>
      <c r="Q8" s="52">
        <f t="shared" si="4"/>
        <v>316.92999999999995</v>
      </c>
      <c r="R8" s="54">
        <f t="shared" si="5"/>
        <v>4125.5182000000004</v>
      </c>
      <c r="S8" s="52">
        <f t="shared" si="6"/>
        <v>253.96415638153545</v>
      </c>
      <c r="T8" s="48" t="s">
        <v>76</v>
      </c>
      <c r="U8" s="55">
        <v>4499</v>
      </c>
      <c r="V8" s="56">
        <v>490110</v>
      </c>
    </row>
    <row r="9" spans="1:22" ht="15" customHeight="1">
      <c r="A9" s="44" t="s">
        <v>70</v>
      </c>
      <c r="B9" s="45" t="s">
        <v>35</v>
      </c>
      <c r="C9" s="45" t="s">
        <v>78</v>
      </c>
      <c r="D9" s="45" t="s">
        <v>86</v>
      </c>
      <c r="E9" s="46" t="s">
        <v>73</v>
      </c>
      <c r="F9" s="47" t="s">
        <v>81</v>
      </c>
      <c r="G9" s="48" t="s">
        <v>24</v>
      </c>
      <c r="H9" s="57" t="s">
        <v>84</v>
      </c>
      <c r="I9" s="48">
        <v>4000011758</v>
      </c>
      <c r="J9" s="48">
        <v>65.91</v>
      </c>
      <c r="K9" s="50"/>
      <c r="L9" s="48">
        <f t="shared" si="0"/>
        <v>65.91</v>
      </c>
      <c r="M9" s="51">
        <v>0</v>
      </c>
      <c r="N9" s="52">
        <f t="shared" si="1"/>
        <v>0</v>
      </c>
      <c r="O9" s="52">
        <f t="shared" si="2"/>
        <v>65.91</v>
      </c>
      <c r="P9" s="53">
        <f t="shared" si="3"/>
        <v>0.20796390370113277</v>
      </c>
      <c r="Q9" s="52">
        <f t="shared" si="4"/>
        <v>316.92999999999995</v>
      </c>
      <c r="R9" s="54">
        <f t="shared" si="5"/>
        <v>4125.5182000000004</v>
      </c>
      <c r="S9" s="52">
        <f t="shared" si="6"/>
        <v>857.9588696620707</v>
      </c>
      <c r="T9" s="48" t="s">
        <v>76</v>
      </c>
      <c r="U9" s="55">
        <v>4499</v>
      </c>
      <c r="V9" s="56">
        <v>490110</v>
      </c>
    </row>
    <row r="10" spans="1:22" ht="15" customHeight="1">
      <c r="A10" s="44" t="s">
        <v>70</v>
      </c>
      <c r="B10" s="45" t="s">
        <v>35</v>
      </c>
      <c r="C10" s="45" t="s">
        <v>78</v>
      </c>
      <c r="D10" s="45" t="s">
        <v>87</v>
      </c>
      <c r="E10" s="46" t="s">
        <v>73</v>
      </c>
      <c r="F10" s="47" t="s">
        <v>81</v>
      </c>
      <c r="G10" s="48" t="s">
        <v>24</v>
      </c>
      <c r="H10" s="57" t="s">
        <v>84</v>
      </c>
      <c r="I10" s="48">
        <v>4000011769</v>
      </c>
      <c r="J10" s="48">
        <v>19.510000000000002</v>
      </c>
      <c r="K10" s="50"/>
      <c r="L10" s="48">
        <f t="shared" si="0"/>
        <v>19.510000000000002</v>
      </c>
      <c r="M10" s="51">
        <v>0</v>
      </c>
      <c r="N10" s="52">
        <f t="shared" si="1"/>
        <v>0</v>
      </c>
      <c r="O10" s="52">
        <f t="shared" si="2"/>
        <v>19.510000000000002</v>
      </c>
      <c r="P10" s="53">
        <f t="shared" si="3"/>
        <v>6.1559334868898509E-2</v>
      </c>
      <c r="Q10" s="52">
        <f t="shared" si="4"/>
        <v>316.92999999999995</v>
      </c>
      <c r="R10" s="54">
        <f t="shared" si="5"/>
        <v>4125.5182000000004</v>
      </c>
      <c r="S10" s="52">
        <f t="shared" si="6"/>
        <v>253.96415638153545</v>
      </c>
      <c r="T10" s="48" t="s">
        <v>76</v>
      </c>
      <c r="U10" s="55">
        <v>4499</v>
      </c>
      <c r="V10" s="56">
        <v>490110</v>
      </c>
    </row>
    <row r="11" spans="1:22" ht="15" customHeight="1">
      <c r="A11" s="44" t="s">
        <v>70</v>
      </c>
      <c r="B11" s="45" t="s">
        <v>35</v>
      </c>
      <c r="C11" s="45" t="s">
        <v>88</v>
      </c>
      <c r="D11" s="45" t="s">
        <v>89</v>
      </c>
      <c r="E11" s="46" t="s">
        <v>73</v>
      </c>
      <c r="F11" s="58" t="s">
        <v>90</v>
      </c>
      <c r="G11" s="48" t="s">
        <v>24</v>
      </c>
      <c r="H11" s="59" t="s">
        <v>75</v>
      </c>
      <c r="I11" s="60">
        <v>7000000216</v>
      </c>
      <c r="J11" s="61">
        <v>210.51</v>
      </c>
      <c r="K11" s="60">
        <v>10</v>
      </c>
      <c r="L11" s="61">
        <f t="shared" si="0"/>
        <v>220.51</v>
      </c>
      <c r="M11" s="62">
        <v>0.18</v>
      </c>
      <c r="N11" s="61">
        <f t="shared" si="1"/>
        <v>39.691799999999994</v>
      </c>
      <c r="O11" s="61">
        <f t="shared" si="2"/>
        <v>260.20179999999999</v>
      </c>
      <c r="P11" s="63">
        <v>0</v>
      </c>
      <c r="Q11" s="61">
        <f>O11</f>
        <v>260.20179999999999</v>
      </c>
      <c r="R11" s="64">
        <f>Q11</f>
        <v>260.20179999999999</v>
      </c>
      <c r="S11" s="61">
        <f>Q11</f>
        <v>260.20179999999999</v>
      </c>
      <c r="T11" s="60" t="s">
        <v>91</v>
      </c>
      <c r="U11" s="55">
        <v>4499</v>
      </c>
      <c r="V11" s="56">
        <v>49119990</v>
      </c>
    </row>
    <row r="12" spans="1:22" ht="15" customHeight="1">
      <c r="A12" s="65" t="s">
        <v>70</v>
      </c>
      <c r="B12" s="66" t="s">
        <v>35</v>
      </c>
      <c r="C12" s="66" t="s">
        <v>92</v>
      </c>
      <c r="D12" s="66" t="s">
        <v>93</v>
      </c>
      <c r="E12" s="67" t="s">
        <v>73</v>
      </c>
      <c r="F12" s="68" t="s">
        <v>94</v>
      </c>
      <c r="G12" s="69" t="s">
        <v>24</v>
      </c>
      <c r="H12" s="70" t="s">
        <v>75</v>
      </c>
      <c r="I12" s="71">
        <v>8400007</v>
      </c>
      <c r="J12" s="72">
        <v>96</v>
      </c>
      <c r="K12" s="73"/>
      <c r="L12" s="72">
        <f t="shared" si="0"/>
        <v>96</v>
      </c>
      <c r="M12" s="74">
        <v>0.18</v>
      </c>
      <c r="N12" s="72">
        <f t="shared" si="1"/>
        <v>17.28</v>
      </c>
      <c r="O12" s="72">
        <f t="shared" si="2"/>
        <v>113.28</v>
      </c>
      <c r="P12" s="75">
        <v>0</v>
      </c>
      <c r="Q12" s="72">
        <f>O12</f>
        <v>113.28</v>
      </c>
      <c r="R12" s="76">
        <f>Q12</f>
        <v>113.28</v>
      </c>
      <c r="S12" s="72">
        <f>Q12</f>
        <v>113.28</v>
      </c>
      <c r="T12" s="71" t="s">
        <v>91</v>
      </c>
      <c r="U12" s="77">
        <v>4499</v>
      </c>
      <c r="V12" s="78">
        <v>999299</v>
      </c>
    </row>
    <row r="13" spans="1:22" ht="15" customHeight="1">
      <c r="A13" s="79" t="s">
        <v>70</v>
      </c>
      <c r="B13" s="45" t="s">
        <v>36</v>
      </c>
      <c r="C13" s="45" t="s">
        <v>71</v>
      </c>
      <c r="D13" s="45" t="s">
        <v>95</v>
      </c>
      <c r="E13" s="46" t="s">
        <v>73</v>
      </c>
      <c r="F13" s="47" t="s">
        <v>74</v>
      </c>
      <c r="G13" s="48" t="s">
        <v>24</v>
      </c>
      <c r="H13" s="49" t="s">
        <v>75</v>
      </c>
      <c r="I13" s="48">
        <v>4000011861</v>
      </c>
      <c r="J13" s="52">
        <v>40.090000000000003</v>
      </c>
      <c r="K13" s="50"/>
      <c r="L13" s="52">
        <f t="shared" si="0"/>
        <v>40.090000000000003</v>
      </c>
      <c r="M13" s="51">
        <v>0</v>
      </c>
      <c r="N13" s="52">
        <f t="shared" si="1"/>
        <v>0</v>
      </c>
      <c r="O13" s="52">
        <f t="shared" si="2"/>
        <v>40.090000000000003</v>
      </c>
      <c r="P13" s="53">
        <f t="shared" ref="P13:P21" si="7">IFERROR(O13/Q13,"")</f>
        <v>0.12098623853211012</v>
      </c>
      <c r="Q13" s="52">
        <f t="shared" ref="Q13:Q21" si="8">SUMIFS(O:O,T:T,T13,B:B,B13,A:A,A13,G:G,G13,E:E,E13)</f>
        <v>331.35999999999996</v>
      </c>
      <c r="R13" s="54">
        <f t="shared" ref="R13:R21" si="9">U13-SUMIFS(Q:Q,A:A,A13,B:B,B13,G:G,G13,E:E,E13,T:T,"Fixed Price ( Base Price with GST)")</f>
        <v>4117.9543999999996</v>
      </c>
      <c r="S13" s="52">
        <f t="shared" ref="S13:S21" si="10">P13*R13</f>
        <v>498.21581330275234</v>
      </c>
      <c r="T13" s="48" t="s">
        <v>76</v>
      </c>
      <c r="U13" s="42">
        <v>4499</v>
      </c>
      <c r="V13" s="80">
        <v>490110</v>
      </c>
    </row>
    <row r="14" spans="1:22" ht="15" customHeight="1">
      <c r="A14" s="79" t="s">
        <v>70</v>
      </c>
      <c r="B14" s="45" t="s">
        <v>36</v>
      </c>
      <c r="C14" s="45" t="s">
        <v>71</v>
      </c>
      <c r="D14" s="45" t="s">
        <v>96</v>
      </c>
      <c r="E14" s="46" t="s">
        <v>73</v>
      </c>
      <c r="F14" s="47" t="s">
        <v>74</v>
      </c>
      <c r="G14" s="48" t="s">
        <v>24</v>
      </c>
      <c r="H14" s="49" t="s">
        <v>75</v>
      </c>
      <c r="I14" s="48">
        <v>4000011872</v>
      </c>
      <c r="J14" s="52">
        <v>21.01</v>
      </c>
      <c r="K14" s="50"/>
      <c r="L14" s="52">
        <f t="shared" si="0"/>
        <v>21.01</v>
      </c>
      <c r="M14" s="51">
        <v>0</v>
      </c>
      <c r="N14" s="52">
        <f t="shared" si="1"/>
        <v>0</v>
      </c>
      <c r="O14" s="52">
        <f t="shared" si="2"/>
        <v>21.01</v>
      </c>
      <c r="P14" s="53">
        <f t="shared" si="7"/>
        <v>6.3405359729599237E-2</v>
      </c>
      <c r="Q14" s="52">
        <f t="shared" si="8"/>
        <v>331.35999999999996</v>
      </c>
      <c r="R14" s="54">
        <f t="shared" si="9"/>
        <v>4117.9543999999996</v>
      </c>
      <c r="S14" s="52">
        <f t="shared" si="10"/>
        <v>261.10038008208596</v>
      </c>
      <c r="T14" s="48" t="s">
        <v>76</v>
      </c>
      <c r="U14" s="55">
        <v>4499</v>
      </c>
      <c r="V14" s="80">
        <v>490110</v>
      </c>
    </row>
    <row r="15" spans="1:22" ht="15" customHeight="1">
      <c r="A15" s="79" t="s">
        <v>70</v>
      </c>
      <c r="B15" s="45" t="s">
        <v>36</v>
      </c>
      <c r="C15" s="45" t="s">
        <v>78</v>
      </c>
      <c r="D15" s="45" t="s">
        <v>97</v>
      </c>
      <c r="E15" s="46" t="s">
        <v>73</v>
      </c>
      <c r="F15" s="47" t="s">
        <v>74</v>
      </c>
      <c r="G15" s="48" t="s">
        <v>24</v>
      </c>
      <c r="H15" s="49" t="s">
        <v>75</v>
      </c>
      <c r="I15" s="48">
        <v>4000011837</v>
      </c>
      <c r="J15" s="52">
        <v>20.100000000000001</v>
      </c>
      <c r="K15" s="50"/>
      <c r="L15" s="52">
        <f t="shared" si="0"/>
        <v>20.100000000000001</v>
      </c>
      <c r="M15" s="51">
        <v>0</v>
      </c>
      <c r="N15" s="52">
        <f t="shared" si="1"/>
        <v>0</v>
      </c>
      <c r="O15" s="52">
        <f t="shared" si="2"/>
        <v>20.100000000000001</v>
      </c>
      <c r="P15" s="53">
        <f t="shared" si="7"/>
        <v>6.0659101883148249E-2</v>
      </c>
      <c r="Q15" s="52">
        <f t="shared" si="8"/>
        <v>331.35999999999996</v>
      </c>
      <c r="R15" s="54">
        <f t="shared" si="9"/>
        <v>4117.9543999999996</v>
      </c>
      <c r="S15" s="52">
        <f t="shared" si="10"/>
        <v>249.79141549975859</v>
      </c>
      <c r="T15" s="48" t="s">
        <v>76</v>
      </c>
      <c r="U15" s="55">
        <v>4499</v>
      </c>
      <c r="V15" s="80">
        <v>490110</v>
      </c>
    </row>
    <row r="16" spans="1:22" ht="15" customHeight="1">
      <c r="A16" s="79" t="s">
        <v>70</v>
      </c>
      <c r="B16" s="45" t="s">
        <v>36</v>
      </c>
      <c r="C16" s="45" t="s">
        <v>78</v>
      </c>
      <c r="D16" s="45" t="s">
        <v>98</v>
      </c>
      <c r="E16" s="46" t="s">
        <v>73</v>
      </c>
      <c r="F16" s="47" t="s">
        <v>81</v>
      </c>
      <c r="G16" s="48" t="s">
        <v>24</v>
      </c>
      <c r="H16" s="49" t="s">
        <v>75</v>
      </c>
      <c r="I16" s="48">
        <v>4000011826</v>
      </c>
      <c r="J16" s="52">
        <v>66.38</v>
      </c>
      <c r="K16" s="50"/>
      <c r="L16" s="52">
        <f t="shared" si="0"/>
        <v>66.38</v>
      </c>
      <c r="M16" s="51">
        <v>0</v>
      </c>
      <c r="N16" s="52">
        <f t="shared" si="1"/>
        <v>0</v>
      </c>
      <c r="O16" s="52">
        <f t="shared" si="2"/>
        <v>66.38</v>
      </c>
      <c r="P16" s="53">
        <f t="shared" si="7"/>
        <v>0.20032592950265574</v>
      </c>
      <c r="Q16" s="52">
        <f t="shared" si="8"/>
        <v>331.35999999999996</v>
      </c>
      <c r="R16" s="54">
        <f t="shared" si="9"/>
        <v>4117.9543999999996</v>
      </c>
      <c r="S16" s="52">
        <f t="shared" si="10"/>
        <v>824.93304282955091</v>
      </c>
      <c r="T16" s="48" t="s">
        <v>76</v>
      </c>
      <c r="U16" s="55">
        <v>4499</v>
      </c>
      <c r="V16" s="80">
        <v>490110</v>
      </c>
    </row>
    <row r="17" spans="1:22" ht="15" customHeight="1">
      <c r="A17" s="79" t="s">
        <v>70</v>
      </c>
      <c r="B17" s="45" t="s">
        <v>36</v>
      </c>
      <c r="C17" s="45" t="s">
        <v>78</v>
      </c>
      <c r="D17" s="45" t="s">
        <v>99</v>
      </c>
      <c r="E17" s="46" t="s">
        <v>73</v>
      </c>
      <c r="F17" s="47" t="s">
        <v>81</v>
      </c>
      <c r="G17" s="48" t="s">
        <v>24</v>
      </c>
      <c r="H17" s="49" t="s">
        <v>75</v>
      </c>
      <c r="I17" s="48">
        <v>4000011846</v>
      </c>
      <c r="J17" s="52">
        <v>25.48</v>
      </c>
      <c r="K17" s="50"/>
      <c r="L17" s="52">
        <f t="shared" si="0"/>
        <v>25.48</v>
      </c>
      <c r="M17" s="51">
        <v>0</v>
      </c>
      <c r="N17" s="52">
        <f t="shared" si="1"/>
        <v>0</v>
      </c>
      <c r="O17" s="52">
        <f t="shared" si="2"/>
        <v>25.48</v>
      </c>
      <c r="P17" s="53">
        <f t="shared" si="7"/>
        <v>7.6895219700627723E-2</v>
      </c>
      <c r="Q17" s="52">
        <f t="shared" si="8"/>
        <v>331.35999999999996</v>
      </c>
      <c r="R17" s="54">
        <f t="shared" si="9"/>
        <v>4117.9543999999996</v>
      </c>
      <c r="S17" s="52">
        <f t="shared" si="10"/>
        <v>316.65100830516661</v>
      </c>
      <c r="T17" s="48" t="s">
        <v>76</v>
      </c>
      <c r="U17" s="55">
        <v>4499</v>
      </c>
      <c r="V17" s="80">
        <v>490110</v>
      </c>
    </row>
    <row r="18" spans="1:22" ht="15" customHeight="1">
      <c r="A18" s="79" t="s">
        <v>70</v>
      </c>
      <c r="B18" s="45" t="s">
        <v>36</v>
      </c>
      <c r="C18" s="45" t="s">
        <v>71</v>
      </c>
      <c r="D18" s="45" t="s">
        <v>100</v>
      </c>
      <c r="E18" s="46" t="s">
        <v>73</v>
      </c>
      <c r="F18" s="47" t="s">
        <v>74</v>
      </c>
      <c r="G18" s="48" t="s">
        <v>24</v>
      </c>
      <c r="H18" s="57" t="s">
        <v>84</v>
      </c>
      <c r="I18" s="48">
        <v>4000011847</v>
      </c>
      <c r="J18" s="52">
        <v>50.5</v>
      </c>
      <c r="K18" s="50"/>
      <c r="L18" s="52">
        <f t="shared" si="0"/>
        <v>50.5</v>
      </c>
      <c r="M18" s="51">
        <v>0</v>
      </c>
      <c r="N18" s="52">
        <f t="shared" si="1"/>
        <v>0</v>
      </c>
      <c r="O18" s="52">
        <f t="shared" si="2"/>
        <v>50.5</v>
      </c>
      <c r="P18" s="53">
        <f t="shared" si="7"/>
        <v>0.15240222114920329</v>
      </c>
      <c r="Q18" s="52">
        <f t="shared" si="8"/>
        <v>331.35999999999996</v>
      </c>
      <c r="R18" s="54">
        <f t="shared" si="9"/>
        <v>4117.9543999999996</v>
      </c>
      <c r="S18" s="52">
        <f t="shared" si="10"/>
        <v>627.58539715113466</v>
      </c>
      <c r="T18" s="48" t="s">
        <v>76</v>
      </c>
      <c r="U18" s="55">
        <v>4499</v>
      </c>
      <c r="V18" s="80">
        <v>490110</v>
      </c>
    </row>
    <row r="19" spans="1:22" ht="15" customHeight="1">
      <c r="A19" s="79" t="s">
        <v>70</v>
      </c>
      <c r="B19" s="45" t="s">
        <v>36</v>
      </c>
      <c r="C19" s="45" t="s">
        <v>71</v>
      </c>
      <c r="D19" s="45" t="s">
        <v>101</v>
      </c>
      <c r="E19" s="46" t="s">
        <v>73</v>
      </c>
      <c r="F19" s="47" t="s">
        <v>74</v>
      </c>
      <c r="G19" s="48" t="s">
        <v>24</v>
      </c>
      <c r="H19" s="57" t="s">
        <v>84</v>
      </c>
      <c r="I19" s="48">
        <v>4000011848</v>
      </c>
      <c r="J19" s="52">
        <v>21.01</v>
      </c>
      <c r="K19" s="50"/>
      <c r="L19" s="52">
        <f t="shared" si="0"/>
        <v>21.01</v>
      </c>
      <c r="M19" s="51">
        <v>0</v>
      </c>
      <c r="N19" s="52">
        <f t="shared" si="1"/>
        <v>0</v>
      </c>
      <c r="O19" s="52">
        <f t="shared" si="2"/>
        <v>21.01</v>
      </c>
      <c r="P19" s="53">
        <f t="shared" si="7"/>
        <v>6.3405359729599237E-2</v>
      </c>
      <c r="Q19" s="52">
        <f t="shared" si="8"/>
        <v>331.35999999999996</v>
      </c>
      <c r="R19" s="54">
        <f t="shared" si="9"/>
        <v>4117.9543999999996</v>
      </c>
      <c r="S19" s="52">
        <f t="shared" si="10"/>
        <v>261.10038008208596</v>
      </c>
      <c r="T19" s="48" t="s">
        <v>76</v>
      </c>
      <c r="U19" s="55">
        <v>4499</v>
      </c>
      <c r="V19" s="80">
        <v>490110</v>
      </c>
    </row>
    <row r="20" spans="1:22" ht="15" customHeight="1">
      <c r="A20" s="79" t="s">
        <v>70</v>
      </c>
      <c r="B20" s="45" t="s">
        <v>36</v>
      </c>
      <c r="C20" s="45" t="s">
        <v>78</v>
      </c>
      <c r="D20" s="45" t="s">
        <v>102</v>
      </c>
      <c r="E20" s="46" t="s">
        <v>73</v>
      </c>
      <c r="F20" s="47" t="s">
        <v>81</v>
      </c>
      <c r="G20" s="48" t="s">
        <v>24</v>
      </c>
      <c r="H20" s="57" t="s">
        <v>84</v>
      </c>
      <c r="I20" s="48">
        <v>4000011849</v>
      </c>
      <c r="J20" s="52">
        <v>62.84</v>
      </c>
      <c r="K20" s="50"/>
      <c r="L20" s="52">
        <f t="shared" si="0"/>
        <v>62.84</v>
      </c>
      <c r="M20" s="51">
        <v>0</v>
      </c>
      <c r="N20" s="52">
        <f t="shared" si="1"/>
        <v>0</v>
      </c>
      <c r="O20" s="52">
        <f t="shared" si="2"/>
        <v>62.84</v>
      </c>
      <c r="P20" s="53">
        <f t="shared" si="7"/>
        <v>0.18964268469338488</v>
      </c>
      <c r="Q20" s="52">
        <f t="shared" si="8"/>
        <v>331.35999999999996</v>
      </c>
      <c r="R20" s="54">
        <f t="shared" si="9"/>
        <v>4117.9543999999996</v>
      </c>
      <c r="S20" s="52">
        <f t="shared" si="10"/>
        <v>780.9399278609369</v>
      </c>
      <c r="T20" s="48" t="s">
        <v>76</v>
      </c>
      <c r="U20" s="55">
        <v>4499</v>
      </c>
      <c r="V20" s="80">
        <v>490110</v>
      </c>
    </row>
    <row r="21" spans="1:22" ht="15" customHeight="1">
      <c r="A21" s="79" t="s">
        <v>70</v>
      </c>
      <c r="B21" s="45" t="s">
        <v>36</v>
      </c>
      <c r="C21" s="45" t="s">
        <v>78</v>
      </c>
      <c r="D21" s="45" t="s">
        <v>103</v>
      </c>
      <c r="E21" s="46" t="s">
        <v>73</v>
      </c>
      <c r="F21" s="47" t="s">
        <v>81</v>
      </c>
      <c r="G21" s="48" t="s">
        <v>24</v>
      </c>
      <c r="H21" s="57" t="s">
        <v>84</v>
      </c>
      <c r="I21" s="48">
        <v>4000011850</v>
      </c>
      <c r="J21" s="52">
        <v>23.95</v>
      </c>
      <c r="K21" s="50"/>
      <c r="L21" s="52">
        <f t="shared" si="0"/>
        <v>23.95</v>
      </c>
      <c r="M21" s="51">
        <v>0</v>
      </c>
      <c r="N21" s="52">
        <f t="shared" si="1"/>
        <v>0</v>
      </c>
      <c r="O21" s="52">
        <f t="shared" si="2"/>
        <v>23.95</v>
      </c>
      <c r="P21" s="53">
        <f t="shared" si="7"/>
        <v>7.2277885079671658E-2</v>
      </c>
      <c r="Q21" s="52">
        <f t="shared" si="8"/>
        <v>331.35999999999996</v>
      </c>
      <c r="R21" s="54">
        <f t="shared" si="9"/>
        <v>4117.9543999999996</v>
      </c>
      <c r="S21" s="52">
        <f t="shared" si="10"/>
        <v>297.63703488652823</v>
      </c>
      <c r="T21" s="48" t="s">
        <v>76</v>
      </c>
      <c r="U21" s="55">
        <v>4499</v>
      </c>
      <c r="V21" s="80">
        <v>490110</v>
      </c>
    </row>
    <row r="22" spans="1:22" ht="15" customHeight="1">
      <c r="A22" s="79" t="s">
        <v>70</v>
      </c>
      <c r="B22" s="45" t="s">
        <v>36</v>
      </c>
      <c r="C22" s="45" t="s">
        <v>88</v>
      </c>
      <c r="D22" s="45" t="s">
        <v>104</v>
      </c>
      <c r="E22" s="46" t="s">
        <v>73</v>
      </c>
      <c r="F22" s="58" t="s">
        <v>90</v>
      </c>
      <c r="G22" s="48" t="s">
        <v>24</v>
      </c>
      <c r="H22" s="59" t="s">
        <v>75</v>
      </c>
      <c r="I22" s="60">
        <v>7000000223</v>
      </c>
      <c r="J22" s="61">
        <v>216.92</v>
      </c>
      <c r="K22" s="60">
        <v>10</v>
      </c>
      <c r="L22" s="61">
        <f t="shared" si="0"/>
        <v>226.92</v>
      </c>
      <c r="M22" s="62">
        <v>0.18</v>
      </c>
      <c r="N22" s="61">
        <f t="shared" si="1"/>
        <v>40.845599999999997</v>
      </c>
      <c r="O22" s="61">
        <f t="shared" si="2"/>
        <v>267.76560000000001</v>
      </c>
      <c r="P22" s="63">
        <v>0</v>
      </c>
      <c r="Q22" s="61">
        <f>O22</f>
        <v>267.76560000000001</v>
      </c>
      <c r="R22" s="64">
        <f>Q22</f>
        <v>267.76560000000001</v>
      </c>
      <c r="S22" s="61">
        <f>Q22</f>
        <v>267.76560000000001</v>
      </c>
      <c r="T22" s="60" t="s">
        <v>91</v>
      </c>
      <c r="U22" s="55">
        <v>4499</v>
      </c>
      <c r="V22" s="80">
        <v>49119990</v>
      </c>
    </row>
    <row r="23" spans="1:22" ht="15" customHeight="1">
      <c r="A23" s="79" t="s">
        <v>70</v>
      </c>
      <c r="B23" s="45" t="s">
        <v>36</v>
      </c>
      <c r="C23" s="45" t="s">
        <v>92</v>
      </c>
      <c r="D23" s="45" t="s">
        <v>93</v>
      </c>
      <c r="E23" s="46" t="s">
        <v>73</v>
      </c>
      <c r="F23" s="81" t="s">
        <v>94</v>
      </c>
      <c r="G23" s="48" t="s">
        <v>24</v>
      </c>
      <c r="H23" s="59" t="s">
        <v>75</v>
      </c>
      <c r="I23" s="60">
        <v>8400007</v>
      </c>
      <c r="J23" s="61">
        <v>96</v>
      </c>
      <c r="K23" s="82"/>
      <c r="L23" s="61">
        <f t="shared" si="0"/>
        <v>96</v>
      </c>
      <c r="M23" s="62">
        <v>0.18</v>
      </c>
      <c r="N23" s="61">
        <f t="shared" si="1"/>
        <v>17.28</v>
      </c>
      <c r="O23" s="61">
        <f t="shared" si="2"/>
        <v>113.28</v>
      </c>
      <c r="P23" s="63">
        <v>0</v>
      </c>
      <c r="Q23" s="61">
        <f>O23</f>
        <v>113.28</v>
      </c>
      <c r="R23" s="64">
        <f>Q23</f>
        <v>113.28</v>
      </c>
      <c r="S23" s="61">
        <f>Q23</f>
        <v>113.28</v>
      </c>
      <c r="T23" s="60" t="s">
        <v>91</v>
      </c>
      <c r="U23" s="77">
        <v>4499</v>
      </c>
      <c r="V23" s="80">
        <v>999299</v>
      </c>
    </row>
    <row r="24" spans="1:22" ht="15" customHeight="1">
      <c r="A24" s="31" t="s">
        <v>70</v>
      </c>
      <c r="B24" s="32" t="s">
        <v>37</v>
      </c>
      <c r="C24" s="32" t="s">
        <v>105</v>
      </c>
      <c r="D24" s="32" t="s">
        <v>106</v>
      </c>
      <c r="E24" s="33" t="s">
        <v>73</v>
      </c>
      <c r="F24" s="34" t="s">
        <v>74</v>
      </c>
      <c r="G24" s="35" t="s">
        <v>24</v>
      </c>
      <c r="H24" s="36" t="s">
        <v>75</v>
      </c>
      <c r="I24" s="35">
        <v>4000011851</v>
      </c>
      <c r="J24" s="39">
        <v>30</v>
      </c>
      <c r="K24" s="37"/>
      <c r="L24" s="39">
        <f t="shared" si="0"/>
        <v>30</v>
      </c>
      <c r="M24" s="38">
        <v>0</v>
      </c>
      <c r="N24" s="39">
        <f t="shared" si="1"/>
        <v>0</v>
      </c>
      <c r="O24" s="39">
        <f t="shared" si="2"/>
        <v>30</v>
      </c>
      <c r="P24" s="40">
        <f t="shared" ref="P24:P38" si="11">IFERROR(O24/Q24,"")</f>
        <v>6.0504608434342425E-2</v>
      </c>
      <c r="Q24" s="39">
        <f t="shared" ref="Q24:Q38" si="12">SUMIFS(O:O,T:T,T24,B:B,B24,A:A,A24,G:G,G24,E:E,E24)</f>
        <v>495.82999999999993</v>
      </c>
      <c r="R24" s="41">
        <f t="shared" ref="R24:R38" si="13">U24-SUMIFS(Q:Q,A:A,A24,B:B,B24,G:G,G24,E:E,E24,T:T,"Fixed Price ( Base Price with GST)")</f>
        <v>5135.732</v>
      </c>
      <c r="S24" s="39">
        <f t="shared" ref="S24:S38" si="14">P24*R24</f>
        <v>310.73545368372231</v>
      </c>
      <c r="T24" s="35" t="s">
        <v>76</v>
      </c>
      <c r="U24" s="42">
        <v>5599</v>
      </c>
      <c r="V24" s="43">
        <v>490110</v>
      </c>
    </row>
    <row r="25" spans="1:22" ht="15" customHeight="1">
      <c r="A25" s="44" t="s">
        <v>70</v>
      </c>
      <c r="B25" s="45" t="s">
        <v>37</v>
      </c>
      <c r="C25" s="45" t="s">
        <v>105</v>
      </c>
      <c r="D25" s="45" t="s">
        <v>107</v>
      </c>
      <c r="E25" s="46" t="s">
        <v>73</v>
      </c>
      <c r="F25" s="47" t="s">
        <v>74</v>
      </c>
      <c r="G25" s="48" t="s">
        <v>24</v>
      </c>
      <c r="H25" s="49" t="s">
        <v>75</v>
      </c>
      <c r="I25" s="48">
        <v>4000011853</v>
      </c>
      <c r="J25" s="52">
        <v>16.29</v>
      </c>
      <c r="K25" s="50"/>
      <c r="L25" s="52">
        <f t="shared" si="0"/>
        <v>16.29</v>
      </c>
      <c r="M25" s="51">
        <v>0</v>
      </c>
      <c r="N25" s="52">
        <f t="shared" si="1"/>
        <v>0</v>
      </c>
      <c r="O25" s="52">
        <f t="shared" si="2"/>
        <v>16.29</v>
      </c>
      <c r="P25" s="53">
        <f t="shared" si="11"/>
        <v>3.2854002379847938E-2</v>
      </c>
      <c r="Q25" s="52">
        <f t="shared" si="12"/>
        <v>495.82999999999993</v>
      </c>
      <c r="R25" s="54">
        <f t="shared" si="13"/>
        <v>5135.732</v>
      </c>
      <c r="S25" s="52">
        <f t="shared" si="14"/>
        <v>168.7293513502612</v>
      </c>
      <c r="T25" s="48" t="s">
        <v>76</v>
      </c>
      <c r="U25" s="55">
        <v>5599</v>
      </c>
      <c r="V25" s="56">
        <v>490110</v>
      </c>
    </row>
    <row r="26" spans="1:22" ht="15" customHeight="1">
      <c r="A26" s="44" t="s">
        <v>70</v>
      </c>
      <c r="B26" s="45" t="s">
        <v>37</v>
      </c>
      <c r="C26" s="45" t="s">
        <v>71</v>
      </c>
      <c r="D26" s="45" t="s">
        <v>108</v>
      </c>
      <c r="E26" s="46" t="s">
        <v>73</v>
      </c>
      <c r="F26" s="47" t="s">
        <v>74</v>
      </c>
      <c r="G26" s="48" t="s">
        <v>24</v>
      </c>
      <c r="H26" s="49" t="s">
        <v>75</v>
      </c>
      <c r="I26" s="48">
        <v>4000011854</v>
      </c>
      <c r="J26" s="52">
        <v>43.03</v>
      </c>
      <c r="K26" s="50"/>
      <c r="L26" s="52">
        <f t="shared" si="0"/>
        <v>43.03</v>
      </c>
      <c r="M26" s="51">
        <v>0</v>
      </c>
      <c r="N26" s="52">
        <f t="shared" si="1"/>
        <v>0</v>
      </c>
      <c r="O26" s="52">
        <f t="shared" si="2"/>
        <v>43.03</v>
      </c>
      <c r="P26" s="53">
        <f t="shared" si="11"/>
        <v>8.6783776697658493E-2</v>
      </c>
      <c r="Q26" s="52">
        <f t="shared" si="12"/>
        <v>495.82999999999993</v>
      </c>
      <c r="R26" s="54">
        <f t="shared" si="13"/>
        <v>5135.732</v>
      </c>
      <c r="S26" s="52">
        <f t="shared" si="14"/>
        <v>445.69821906701907</v>
      </c>
      <c r="T26" s="48" t="s">
        <v>76</v>
      </c>
      <c r="U26" s="55">
        <v>5599</v>
      </c>
      <c r="V26" s="56">
        <v>490110</v>
      </c>
    </row>
    <row r="27" spans="1:22" ht="15" customHeight="1">
      <c r="A27" s="44" t="s">
        <v>70</v>
      </c>
      <c r="B27" s="45" t="s">
        <v>37</v>
      </c>
      <c r="C27" s="45" t="s">
        <v>71</v>
      </c>
      <c r="D27" s="45" t="s">
        <v>109</v>
      </c>
      <c r="E27" s="46" t="s">
        <v>73</v>
      </c>
      <c r="F27" s="47" t="s">
        <v>74</v>
      </c>
      <c r="G27" s="48" t="s">
        <v>24</v>
      </c>
      <c r="H27" s="49" t="s">
        <v>75</v>
      </c>
      <c r="I27" s="48">
        <v>4000011855</v>
      </c>
      <c r="J27" s="52">
        <v>20.67</v>
      </c>
      <c r="K27" s="50"/>
      <c r="L27" s="52">
        <f t="shared" si="0"/>
        <v>20.67</v>
      </c>
      <c r="M27" s="51">
        <v>0</v>
      </c>
      <c r="N27" s="52">
        <f t="shared" si="1"/>
        <v>0</v>
      </c>
      <c r="O27" s="52">
        <f t="shared" si="2"/>
        <v>20.67</v>
      </c>
      <c r="P27" s="53">
        <f t="shared" si="11"/>
        <v>4.1687675211261932E-2</v>
      </c>
      <c r="Q27" s="52">
        <f t="shared" si="12"/>
        <v>495.82999999999993</v>
      </c>
      <c r="R27" s="54">
        <f t="shared" si="13"/>
        <v>5135.732</v>
      </c>
      <c r="S27" s="52">
        <f t="shared" si="14"/>
        <v>214.09672758808466</v>
      </c>
      <c r="T27" s="48" t="s">
        <v>76</v>
      </c>
      <c r="U27" s="55">
        <v>5599</v>
      </c>
      <c r="V27" s="56">
        <v>490110</v>
      </c>
    </row>
    <row r="28" spans="1:22" ht="15" customHeight="1">
      <c r="A28" s="44" t="s">
        <v>70</v>
      </c>
      <c r="B28" s="45" t="s">
        <v>37</v>
      </c>
      <c r="C28" s="45" t="s">
        <v>78</v>
      </c>
      <c r="D28" s="45" t="s">
        <v>110</v>
      </c>
      <c r="E28" s="46" t="s">
        <v>73</v>
      </c>
      <c r="F28" s="47" t="s">
        <v>74</v>
      </c>
      <c r="G28" s="48" t="s">
        <v>24</v>
      </c>
      <c r="H28" s="49" t="s">
        <v>75</v>
      </c>
      <c r="I28" s="48">
        <v>4000011857</v>
      </c>
      <c r="J28" s="52">
        <v>28.34</v>
      </c>
      <c r="K28" s="50"/>
      <c r="L28" s="52">
        <f t="shared" si="0"/>
        <v>28.34</v>
      </c>
      <c r="M28" s="51">
        <v>0</v>
      </c>
      <c r="N28" s="52">
        <f t="shared" si="1"/>
        <v>0</v>
      </c>
      <c r="O28" s="52">
        <f t="shared" si="2"/>
        <v>28.34</v>
      </c>
      <c r="P28" s="53">
        <f t="shared" si="11"/>
        <v>5.7156686767642143E-2</v>
      </c>
      <c r="Q28" s="52">
        <f t="shared" si="12"/>
        <v>495.82999999999993</v>
      </c>
      <c r="R28" s="54">
        <f t="shared" si="13"/>
        <v>5135.732</v>
      </c>
      <c r="S28" s="52">
        <f t="shared" si="14"/>
        <v>293.54142524655629</v>
      </c>
      <c r="T28" s="48" t="s">
        <v>76</v>
      </c>
      <c r="U28" s="55">
        <v>5599</v>
      </c>
      <c r="V28" s="56">
        <v>490110</v>
      </c>
    </row>
    <row r="29" spans="1:22" ht="15" customHeight="1">
      <c r="A29" s="44" t="s">
        <v>70</v>
      </c>
      <c r="B29" s="45" t="s">
        <v>37</v>
      </c>
      <c r="C29" s="45" t="s">
        <v>78</v>
      </c>
      <c r="D29" s="45" t="s">
        <v>111</v>
      </c>
      <c r="E29" s="46" t="s">
        <v>73</v>
      </c>
      <c r="F29" s="47" t="s">
        <v>81</v>
      </c>
      <c r="G29" s="48" t="s">
        <v>24</v>
      </c>
      <c r="H29" s="49" t="s">
        <v>75</v>
      </c>
      <c r="I29" s="48">
        <v>4000011856</v>
      </c>
      <c r="J29" s="52">
        <v>65.83</v>
      </c>
      <c r="K29" s="50"/>
      <c r="L29" s="52">
        <f t="shared" si="0"/>
        <v>65.83</v>
      </c>
      <c r="M29" s="51">
        <v>0</v>
      </c>
      <c r="N29" s="52">
        <f t="shared" si="1"/>
        <v>0</v>
      </c>
      <c r="O29" s="52">
        <f t="shared" si="2"/>
        <v>65.83</v>
      </c>
      <c r="P29" s="53">
        <f t="shared" si="11"/>
        <v>0.13276727910775873</v>
      </c>
      <c r="Q29" s="52">
        <f t="shared" si="12"/>
        <v>495.82999999999993</v>
      </c>
      <c r="R29" s="54">
        <f t="shared" si="13"/>
        <v>5135.732</v>
      </c>
      <c r="S29" s="52">
        <f t="shared" si="14"/>
        <v>681.85716386664797</v>
      </c>
      <c r="T29" s="48" t="s">
        <v>76</v>
      </c>
      <c r="U29" s="55">
        <v>5599</v>
      </c>
      <c r="V29" s="56">
        <v>490110</v>
      </c>
    </row>
    <row r="30" spans="1:22" ht="15" customHeight="1">
      <c r="A30" s="44" t="s">
        <v>70</v>
      </c>
      <c r="B30" s="45" t="s">
        <v>37</v>
      </c>
      <c r="C30" s="45" t="s">
        <v>78</v>
      </c>
      <c r="D30" s="45" t="s">
        <v>112</v>
      </c>
      <c r="E30" s="46" t="s">
        <v>73</v>
      </c>
      <c r="F30" s="47" t="s">
        <v>81</v>
      </c>
      <c r="G30" s="48" t="s">
        <v>24</v>
      </c>
      <c r="H30" s="49" t="s">
        <v>75</v>
      </c>
      <c r="I30" s="48">
        <v>4000011858</v>
      </c>
      <c r="J30" s="52">
        <v>16.29</v>
      </c>
      <c r="K30" s="50"/>
      <c r="L30" s="52">
        <f t="shared" si="0"/>
        <v>16.29</v>
      </c>
      <c r="M30" s="51">
        <v>0</v>
      </c>
      <c r="N30" s="52">
        <f t="shared" si="1"/>
        <v>0</v>
      </c>
      <c r="O30" s="52">
        <f t="shared" si="2"/>
        <v>16.29</v>
      </c>
      <c r="P30" s="53">
        <f t="shared" si="11"/>
        <v>3.2854002379847938E-2</v>
      </c>
      <c r="Q30" s="52">
        <f t="shared" si="12"/>
        <v>495.82999999999993</v>
      </c>
      <c r="R30" s="54">
        <f t="shared" si="13"/>
        <v>5135.732</v>
      </c>
      <c r="S30" s="52">
        <f t="shared" si="14"/>
        <v>168.7293513502612</v>
      </c>
      <c r="T30" s="48" t="s">
        <v>76</v>
      </c>
      <c r="U30" s="55">
        <v>5599</v>
      </c>
      <c r="V30" s="56">
        <v>490110</v>
      </c>
    </row>
    <row r="31" spans="1:22" ht="15" customHeight="1">
      <c r="A31" s="44" t="s">
        <v>70</v>
      </c>
      <c r="B31" s="45" t="s">
        <v>37</v>
      </c>
      <c r="C31" s="45" t="s">
        <v>113</v>
      </c>
      <c r="D31" s="45" t="s">
        <v>114</v>
      </c>
      <c r="E31" s="46" t="s">
        <v>73</v>
      </c>
      <c r="F31" s="47" t="s">
        <v>81</v>
      </c>
      <c r="G31" s="48" t="s">
        <v>24</v>
      </c>
      <c r="H31" s="49" t="s">
        <v>75</v>
      </c>
      <c r="I31" s="48">
        <v>4000011859</v>
      </c>
      <c r="J31" s="52">
        <v>54.55</v>
      </c>
      <c r="K31" s="50"/>
      <c r="L31" s="52">
        <f t="shared" si="0"/>
        <v>54.55</v>
      </c>
      <c r="M31" s="51">
        <v>0</v>
      </c>
      <c r="N31" s="52">
        <f t="shared" si="1"/>
        <v>0</v>
      </c>
      <c r="O31" s="52">
        <f t="shared" si="2"/>
        <v>54.55</v>
      </c>
      <c r="P31" s="53">
        <f t="shared" si="11"/>
        <v>0.11001754633644598</v>
      </c>
      <c r="Q31" s="52">
        <f t="shared" si="12"/>
        <v>495.82999999999993</v>
      </c>
      <c r="R31" s="54">
        <f t="shared" si="13"/>
        <v>5135.732</v>
      </c>
      <c r="S31" s="52">
        <f t="shared" si="14"/>
        <v>565.02063328156839</v>
      </c>
      <c r="T31" s="48" t="s">
        <v>76</v>
      </c>
      <c r="U31" s="55">
        <v>5599</v>
      </c>
      <c r="V31" s="56">
        <v>490110</v>
      </c>
    </row>
    <row r="32" spans="1:22" ht="15" customHeight="1">
      <c r="A32" s="44" t="s">
        <v>70</v>
      </c>
      <c r="B32" s="45" t="s">
        <v>37</v>
      </c>
      <c r="C32" s="45" t="s">
        <v>105</v>
      </c>
      <c r="D32" s="45" t="s">
        <v>115</v>
      </c>
      <c r="E32" s="46" t="s">
        <v>73</v>
      </c>
      <c r="F32" s="47" t="s">
        <v>74</v>
      </c>
      <c r="G32" s="48" t="s">
        <v>24</v>
      </c>
      <c r="H32" s="57" t="s">
        <v>84</v>
      </c>
      <c r="I32" s="48">
        <v>4000011780</v>
      </c>
      <c r="J32" s="52">
        <v>32.14</v>
      </c>
      <c r="K32" s="50"/>
      <c r="L32" s="52">
        <f t="shared" si="0"/>
        <v>32.14</v>
      </c>
      <c r="M32" s="51">
        <v>0</v>
      </c>
      <c r="N32" s="52">
        <f t="shared" si="1"/>
        <v>0</v>
      </c>
      <c r="O32" s="52">
        <f t="shared" si="2"/>
        <v>32.14</v>
      </c>
      <c r="P32" s="53">
        <f t="shared" si="11"/>
        <v>6.4820603835992183E-2</v>
      </c>
      <c r="Q32" s="52">
        <f t="shared" si="12"/>
        <v>495.82999999999993</v>
      </c>
      <c r="R32" s="54">
        <f t="shared" si="13"/>
        <v>5135.732</v>
      </c>
      <c r="S32" s="52">
        <f t="shared" si="14"/>
        <v>332.90124937982779</v>
      </c>
      <c r="T32" s="48" t="s">
        <v>76</v>
      </c>
      <c r="U32" s="55">
        <v>5599</v>
      </c>
      <c r="V32" s="56">
        <v>490110</v>
      </c>
    </row>
    <row r="33" spans="1:22" ht="15" customHeight="1">
      <c r="A33" s="44" t="s">
        <v>70</v>
      </c>
      <c r="B33" s="45" t="s">
        <v>37</v>
      </c>
      <c r="C33" s="45" t="s">
        <v>105</v>
      </c>
      <c r="D33" s="45" t="s">
        <v>116</v>
      </c>
      <c r="E33" s="46" t="s">
        <v>73</v>
      </c>
      <c r="F33" s="47" t="s">
        <v>74</v>
      </c>
      <c r="G33" s="48" t="s">
        <v>24</v>
      </c>
      <c r="H33" s="57" t="s">
        <v>84</v>
      </c>
      <c r="I33" s="48">
        <v>4000011781</v>
      </c>
      <c r="J33" s="52">
        <v>17.72</v>
      </c>
      <c r="K33" s="50"/>
      <c r="L33" s="52">
        <f t="shared" si="0"/>
        <v>17.72</v>
      </c>
      <c r="M33" s="51">
        <v>0</v>
      </c>
      <c r="N33" s="52">
        <f t="shared" si="1"/>
        <v>0</v>
      </c>
      <c r="O33" s="52">
        <f t="shared" si="2"/>
        <v>17.72</v>
      </c>
      <c r="P33" s="53">
        <f t="shared" si="11"/>
        <v>3.5738055381884924E-2</v>
      </c>
      <c r="Q33" s="52">
        <f t="shared" si="12"/>
        <v>495.82999999999993</v>
      </c>
      <c r="R33" s="54">
        <f t="shared" si="13"/>
        <v>5135.732</v>
      </c>
      <c r="S33" s="52">
        <f t="shared" si="14"/>
        <v>183.54107464251862</v>
      </c>
      <c r="T33" s="48" t="s">
        <v>76</v>
      </c>
      <c r="U33" s="55">
        <v>5599</v>
      </c>
      <c r="V33" s="56">
        <v>490110</v>
      </c>
    </row>
    <row r="34" spans="1:22" ht="15" customHeight="1">
      <c r="A34" s="44" t="s">
        <v>70</v>
      </c>
      <c r="B34" s="45" t="s">
        <v>37</v>
      </c>
      <c r="C34" s="45" t="s">
        <v>71</v>
      </c>
      <c r="D34" s="45" t="s">
        <v>117</v>
      </c>
      <c r="E34" s="46" t="s">
        <v>73</v>
      </c>
      <c r="F34" s="47" t="s">
        <v>74</v>
      </c>
      <c r="G34" s="48" t="s">
        <v>24</v>
      </c>
      <c r="H34" s="57" t="s">
        <v>84</v>
      </c>
      <c r="I34" s="48">
        <v>4000011782</v>
      </c>
      <c r="J34" s="52">
        <v>43.03</v>
      </c>
      <c r="K34" s="50"/>
      <c r="L34" s="52">
        <f t="shared" ref="L34:L65" si="15">J34+K34</f>
        <v>43.03</v>
      </c>
      <c r="M34" s="51">
        <v>0</v>
      </c>
      <c r="N34" s="52">
        <f t="shared" ref="N34:N65" si="16">M34*L34</f>
        <v>0</v>
      </c>
      <c r="O34" s="52">
        <f t="shared" ref="O34:O65" si="17">L34+N34</f>
        <v>43.03</v>
      </c>
      <c r="P34" s="53">
        <f t="shared" si="11"/>
        <v>8.6783776697658493E-2</v>
      </c>
      <c r="Q34" s="52">
        <f t="shared" si="12"/>
        <v>495.82999999999993</v>
      </c>
      <c r="R34" s="54">
        <f t="shared" si="13"/>
        <v>5135.732</v>
      </c>
      <c r="S34" s="52">
        <f t="shared" si="14"/>
        <v>445.69821906701907</v>
      </c>
      <c r="T34" s="48" t="s">
        <v>76</v>
      </c>
      <c r="U34" s="55">
        <v>5599</v>
      </c>
      <c r="V34" s="56">
        <v>490110</v>
      </c>
    </row>
    <row r="35" spans="1:22" ht="15" customHeight="1">
      <c r="A35" s="44" t="s">
        <v>70</v>
      </c>
      <c r="B35" s="45" t="s">
        <v>37</v>
      </c>
      <c r="C35" s="45" t="s">
        <v>71</v>
      </c>
      <c r="D35" s="45" t="s">
        <v>118</v>
      </c>
      <c r="E35" s="46" t="s">
        <v>73</v>
      </c>
      <c r="F35" s="47" t="s">
        <v>74</v>
      </c>
      <c r="G35" s="48" t="s">
        <v>24</v>
      </c>
      <c r="H35" s="57" t="s">
        <v>84</v>
      </c>
      <c r="I35" s="48">
        <v>4000011784</v>
      </c>
      <c r="J35" s="52">
        <v>19.22</v>
      </c>
      <c r="K35" s="50"/>
      <c r="L35" s="52">
        <f t="shared" si="15"/>
        <v>19.22</v>
      </c>
      <c r="M35" s="51">
        <v>0</v>
      </c>
      <c r="N35" s="52">
        <f t="shared" si="16"/>
        <v>0</v>
      </c>
      <c r="O35" s="52">
        <f t="shared" si="17"/>
        <v>19.22</v>
      </c>
      <c r="P35" s="53">
        <f t="shared" si="11"/>
        <v>3.8763285803602048E-2</v>
      </c>
      <c r="Q35" s="52">
        <f t="shared" si="12"/>
        <v>495.82999999999993</v>
      </c>
      <c r="R35" s="54">
        <f t="shared" si="13"/>
        <v>5135.732</v>
      </c>
      <c r="S35" s="52">
        <f t="shared" si="14"/>
        <v>199.07784732670476</v>
      </c>
      <c r="T35" s="48" t="s">
        <v>76</v>
      </c>
      <c r="U35" s="55">
        <v>5599</v>
      </c>
      <c r="V35" s="56">
        <v>490110</v>
      </c>
    </row>
    <row r="36" spans="1:22" ht="15" customHeight="1">
      <c r="A36" s="44" t="s">
        <v>70</v>
      </c>
      <c r="B36" s="45" t="s">
        <v>37</v>
      </c>
      <c r="C36" s="45" t="s">
        <v>78</v>
      </c>
      <c r="D36" s="45" t="s">
        <v>119</v>
      </c>
      <c r="E36" s="46" t="s">
        <v>73</v>
      </c>
      <c r="F36" s="47" t="s">
        <v>81</v>
      </c>
      <c r="G36" s="48" t="s">
        <v>24</v>
      </c>
      <c r="H36" s="57" t="s">
        <v>84</v>
      </c>
      <c r="I36" s="48">
        <v>4000011785</v>
      </c>
      <c r="J36" s="52">
        <v>53.56</v>
      </c>
      <c r="K36" s="50"/>
      <c r="L36" s="52">
        <f t="shared" si="15"/>
        <v>53.56</v>
      </c>
      <c r="M36" s="51">
        <v>0</v>
      </c>
      <c r="N36" s="52">
        <f t="shared" si="16"/>
        <v>0</v>
      </c>
      <c r="O36" s="52">
        <f t="shared" si="17"/>
        <v>53.56</v>
      </c>
      <c r="P36" s="53">
        <f t="shared" si="11"/>
        <v>0.10802089425811268</v>
      </c>
      <c r="Q36" s="52">
        <f t="shared" si="12"/>
        <v>495.82999999999993</v>
      </c>
      <c r="R36" s="54">
        <f t="shared" si="13"/>
        <v>5135.732</v>
      </c>
      <c r="S36" s="52">
        <f t="shared" si="14"/>
        <v>554.76636331000554</v>
      </c>
      <c r="T36" s="48" t="s">
        <v>76</v>
      </c>
      <c r="U36" s="55">
        <v>5599</v>
      </c>
      <c r="V36" s="56">
        <v>490110</v>
      </c>
    </row>
    <row r="37" spans="1:22" ht="15" customHeight="1">
      <c r="A37" s="44" t="s">
        <v>70</v>
      </c>
      <c r="B37" s="45" t="s">
        <v>37</v>
      </c>
      <c r="C37" s="45" t="s">
        <v>78</v>
      </c>
      <c r="D37" s="45" t="s">
        <v>120</v>
      </c>
      <c r="E37" s="46" t="s">
        <v>73</v>
      </c>
      <c r="F37" s="47" t="s">
        <v>81</v>
      </c>
      <c r="G37" s="48" t="s">
        <v>24</v>
      </c>
      <c r="H37" s="57" t="s">
        <v>84</v>
      </c>
      <c r="I37" s="48">
        <v>4000011786</v>
      </c>
      <c r="J37" s="52">
        <v>17.5</v>
      </c>
      <c r="K37" s="50"/>
      <c r="L37" s="52">
        <f t="shared" si="15"/>
        <v>17.5</v>
      </c>
      <c r="M37" s="51">
        <v>0</v>
      </c>
      <c r="N37" s="52">
        <f t="shared" si="16"/>
        <v>0</v>
      </c>
      <c r="O37" s="52">
        <f t="shared" si="17"/>
        <v>17.5</v>
      </c>
      <c r="P37" s="53">
        <f t="shared" si="11"/>
        <v>3.5294354920033084E-2</v>
      </c>
      <c r="Q37" s="52">
        <f t="shared" si="12"/>
        <v>495.82999999999993</v>
      </c>
      <c r="R37" s="54">
        <f t="shared" si="13"/>
        <v>5135.732</v>
      </c>
      <c r="S37" s="52">
        <f t="shared" si="14"/>
        <v>181.26234798217135</v>
      </c>
      <c r="T37" s="48" t="s">
        <v>76</v>
      </c>
      <c r="U37" s="55">
        <v>5599</v>
      </c>
      <c r="V37" s="56">
        <v>490110</v>
      </c>
    </row>
    <row r="38" spans="1:22" ht="15" customHeight="1">
      <c r="A38" s="44" t="s">
        <v>70</v>
      </c>
      <c r="B38" s="45" t="s">
        <v>37</v>
      </c>
      <c r="C38" s="45" t="s">
        <v>113</v>
      </c>
      <c r="D38" s="45" t="s">
        <v>121</v>
      </c>
      <c r="E38" s="46" t="s">
        <v>73</v>
      </c>
      <c r="F38" s="47" t="s">
        <v>81</v>
      </c>
      <c r="G38" s="48" t="s">
        <v>24</v>
      </c>
      <c r="H38" s="57" t="s">
        <v>84</v>
      </c>
      <c r="I38" s="48">
        <v>4000011787</v>
      </c>
      <c r="J38" s="52">
        <v>37.659999999999997</v>
      </c>
      <c r="K38" s="50"/>
      <c r="L38" s="52">
        <f t="shared" si="15"/>
        <v>37.659999999999997</v>
      </c>
      <c r="M38" s="51">
        <v>0</v>
      </c>
      <c r="N38" s="52">
        <f t="shared" si="16"/>
        <v>0</v>
      </c>
      <c r="O38" s="52">
        <f t="shared" si="17"/>
        <v>37.659999999999997</v>
      </c>
      <c r="P38" s="53">
        <f t="shared" si="11"/>
        <v>7.5953451787911186E-2</v>
      </c>
      <c r="Q38" s="52">
        <f t="shared" si="12"/>
        <v>495.82999999999993</v>
      </c>
      <c r="R38" s="54">
        <f t="shared" si="13"/>
        <v>5135.732</v>
      </c>
      <c r="S38" s="52">
        <f t="shared" si="14"/>
        <v>390.0765728576327</v>
      </c>
      <c r="T38" s="48" t="s">
        <v>76</v>
      </c>
      <c r="U38" s="55">
        <v>5599</v>
      </c>
      <c r="V38" s="56">
        <v>490110</v>
      </c>
    </row>
    <row r="39" spans="1:22" ht="15" customHeight="1">
      <c r="A39" s="44" t="s">
        <v>70</v>
      </c>
      <c r="B39" s="45" t="s">
        <v>37</v>
      </c>
      <c r="C39" s="45" t="s">
        <v>88</v>
      </c>
      <c r="D39" s="45" t="s">
        <v>122</v>
      </c>
      <c r="E39" s="46" t="s">
        <v>73</v>
      </c>
      <c r="F39" s="58" t="s">
        <v>90</v>
      </c>
      <c r="G39" s="48" t="s">
        <v>24</v>
      </c>
      <c r="H39" s="59" t="s">
        <v>75</v>
      </c>
      <c r="I39" s="60">
        <v>7000000217</v>
      </c>
      <c r="J39" s="61">
        <v>286.60000000000002</v>
      </c>
      <c r="K39" s="60">
        <v>10</v>
      </c>
      <c r="L39" s="61">
        <f t="shared" si="15"/>
        <v>296.60000000000002</v>
      </c>
      <c r="M39" s="62">
        <v>0.18</v>
      </c>
      <c r="N39" s="61">
        <f t="shared" si="16"/>
        <v>53.388000000000005</v>
      </c>
      <c r="O39" s="61">
        <f t="shared" si="17"/>
        <v>349.98800000000006</v>
      </c>
      <c r="P39" s="63">
        <v>0</v>
      </c>
      <c r="Q39" s="61">
        <f>O39</f>
        <v>349.98800000000006</v>
      </c>
      <c r="R39" s="64">
        <f>Q39</f>
        <v>349.98800000000006</v>
      </c>
      <c r="S39" s="61">
        <f>Q39</f>
        <v>349.98800000000006</v>
      </c>
      <c r="T39" s="60" t="s">
        <v>91</v>
      </c>
      <c r="U39" s="55">
        <v>5599</v>
      </c>
      <c r="V39" s="56">
        <v>49119990</v>
      </c>
    </row>
    <row r="40" spans="1:22" ht="15" customHeight="1">
      <c r="A40" s="65" t="s">
        <v>70</v>
      </c>
      <c r="B40" s="66" t="s">
        <v>37</v>
      </c>
      <c r="C40" s="66" t="s">
        <v>92</v>
      </c>
      <c r="D40" s="66" t="s">
        <v>93</v>
      </c>
      <c r="E40" s="67" t="s">
        <v>73</v>
      </c>
      <c r="F40" s="68" t="s">
        <v>94</v>
      </c>
      <c r="G40" s="69" t="s">
        <v>24</v>
      </c>
      <c r="H40" s="70" t="s">
        <v>75</v>
      </c>
      <c r="I40" s="71">
        <v>8400007</v>
      </c>
      <c r="J40" s="72">
        <v>96</v>
      </c>
      <c r="K40" s="73"/>
      <c r="L40" s="72">
        <f t="shared" si="15"/>
        <v>96</v>
      </c>
      <c r="M40" s="74">
        <v>0.18</v>
      </c>
      <c r="N40" s="72">
        <f t="shared" si="16"/>
        <v>17.28</v>
      </c>
      <c r="O40" s="72">
        <f t="shared" si="17"/>
        <v>113.28</v>
      </c>
      <c r="P40" s="75">
        <v>0</v>
      </c>
      <c r="Q40" s="72">
        <f>O40</f>
        <v>113.28</v>
      </c>
      <c r="R40" s="76">
        <f>Q40</f>
        <v>113.28</v>
      </c>
      <c r="S40" s="72">
        <f>Q40</f>
        <v>113.28</v>
      </c>
      <c r="T40" s="71" t="s">
        <v>91</v>
      </c>
      <c r="U40" s="77">
        <v>5599</v>
      </c>
      <c r="V40" s="78">
        <v>999299</v>
      </c>
    </row>
    <row r="41" spans="1:22" ht="15" customHeight="1">
      <c r="A41" s="31" t="s">
        <v>70</v>
      </c>
      <c r="B41" s="32" t="s">
        <v>38</v>
      </c>
      <c r="C41" s="32" t="s">
        <v>105</v>
      </c>
      <c r="D41" s="32" t="s">
        <v>123</v>
      </c>
      <c r="E41" s="33" t="s">
        <v>73</v>
      </c>
      <c r="F41" s="34" t="s">
        <v>74</v>
      </c>
      <c r="G41" s="35" t="s">
        <v>24</v>
      </c>
      <c r="H41" s="36" t="s">
        <v>75</v>
      </c>
      <c r="I41" s="35">
        <v>4000011788</v>
      </c>
      <c r="J41" s="39">
        <v>34.78</v>
      </c>
      <c r="K41" s="37"/>
      <c r="L41" s="39">
        <f t="shared" si="15"/>
        <v>34.78</v>
      </c>
      <c r="M41" s="38">
        <v>0</v>
      </c>
      <c r="N41" s="39">
        <f t="shared" si="16"/>
        <v>0</v>
      </c>
      <c r="O41" s="39">
        <f t="shared" si="17"/>
        <v>34.78</v>
      </c>
      <c r="P41" s="40">
        <f t="shared" ref="P41:P55" si="18">IFERROR(O41/Q41,"")</f>
        <v>6.3885674399808967E-2</v>
      </c>
      <c r="Q41" s="39">
        <f t="shared" ref="Q41:Q55" si="19">SUMIFS(O:O,T:T,T41,B:B,B41,A:A,A41,G:G,G41,E:E,E41)</f>
        <v>544.41</v>
      </c>
      <c r="R41" s="41">
        <f t="shared" ref="R41:R55" si="20">U41-SUMIFS(Q:Q,A:A,A41,B:B,B41,G:G,G41,E:E,E41,T:T,"Fixed Price ( Base Price with GST)")</f>
        <v>5222.2259999999997</v>
      </c>
      <c r="S41" s="39">
        <f t="shared" ref="S41:S55" si="21">P41*R41</f>
        <v>333.62542987821678</v>
      </c>
      <c r="T41" s="35" t="s">
        <v>76</v>
      </c>
      <c r="U41" s="42">
        <v>5599</v>
      </c>
      <c r="V41" s="43">
        <v>490110</v>
      </c>
    </row>
    <row r="42" spans="1:22" ht="15" customHeight="1">
      <c r="A42" s="44" t="s">
        <v>70</v>
      </c>
      <c r="B42" s="45" t="s">
        <v>38</v>
      </c>
      <c r="C42" s="45" t="s">
        <v>105</v>
      </c>
      <c r="D42" s="45" t="s">
        <v>124</v>
      </c>
      <c r="E42" s="46" t="s">
        <v>73</v>
      </c>
      <c r="F42" s="47" t="s">
        <v>74</v>
      </c>
      <c r="G42" s="48" t="s">
        <v>24</v>
      </c>
      <c r="H42" s="49" t="s">
        <v>75</v>
      </c>
      <c r="I42" s="48">
        <v>4000011789</v>
      </c>
      <c r="J42" s="52">
        <v>19.34</v>
      </c>
      <c r="K42" s="50"/>
      <c r="L42" s="52">
        <f t="shared" si="15"/>
        <v>19.34</v>
      </c>
      <c r="M42" s="51">
        <v>0</v>
      </c>
      <c r="N42" s="52">
        <f t="shared" si="16"/>
        <v>0</v>
      </c>
      <c r="O42" s="52">
        <f t="shared" si="17"/>
        <v>19.34</v>
      </c>
      <c r="P42" s="53">
        <f t="shared" si="18"/>
        <v>3.5524696460388312E-2</v>
      </c>
      <c r="Q42" s="52">
        <f t="shared" si="19"/>
        <v>544.41</v>
      </c>
      <c r="R42" s="54">
        <f t="shared" si="20"/>
        <v>5222.2259999999997</v>
      </c>
      <c r="S42" s="52">
        <f t="shared" si="21"/>
        <v>185.51799349754779</v>
      </c>
      <c r="T42" s="48" t="s">
        <v>76</v>
      </c>
      <c r="U42" s="55">
        <v>5599</v>
      </c>
      <c r="V42" s="56">
        <v>490110</v>
      </c>
    </row>
    <row r="43" spans="1:22" ht="15" customHeight="1">
      <c r="A43" s="44" t="s">
        <v>70</v>
      </c>
      <c r="B43" s="45" t="s">
        <v>38</v>
      </c>
      <c r="C43" s="45" t="s">
        <v>71</v>
      </c>
      <c r="D43" s="45" t="s">
        <v>125</v>
      </c>
      <c r="E43" s="46" t="s">
        <v>73</v>
      </c>
      <c r="F43" s="47" t="s">
        <v>74</v>
      </c>
      <c r="G43" s="48" t="s">
        <v>24</v>
      </c>
      <c r="H43" s="49" t="s">
        <v>75</v>
      </c>
      <c r="I43" s="48">
        <v>4000011790</v>
      </c>
      <c r="J43" s="52">
        <v>45.67</v>
      </c>
      <c r="K43" s="50"/>
      <c r="L43" s="52">
        <f t="shared" si="15"/>
        <v>45.67</v>
      </c>
      <c r="M43" s="51">
        <v>0</v>
      </c>
      <c r="N43" s="52">
        <f t="shared" si="16"/>
        <v>0</v>
      </c>
      <c r="O43" s="52">
        <f t="shared" si="17"/>
        <v>45.67</v>
      </c>
      <c r="P43" s="53">
        <f t="shared" si="18"/>
        <v>8.388898073143404E-2</v>
      </c>
      <c r="Q43" s="52">
        <f t="shared" si="19"/>
        <v>544.41</v>
      </c>
      <c r="R43" s="54">
        <f t="shared" si="20"/>
        <v>5222.2259999999997</v>
      </c>
      <c r="S43" s="52">
        <f t="shared" si="21"/>
        <v>438.08721628919386</v>
      </c>
      <c r="T43" s="48" t="s">
        <v>76</v>
      </c>
      <c r="U43" s="55">
        <v>5599</v>
      </c>
      <c r="V43" s="56">
        <v>490110</v>
      </c>
    </row>
    <row r="44" spans="1:22" ht="15" customHeight="1">
      <c r="A44" s="44" t="s">
        <v>70</v>
      </c>
      <c r="B44" s="45" t="s">
        <v>38</v>
      </c>
      <c r="C44" s="45" t="s">
        <v>71</v>
      </c>
      <c r="D44" s="45" t="s">
        <v>126</v>
      </c>
      <c r="E44" s="46" t="s">
        <v>73</v>
      </c>
      <c r="F44" s="47" t="s">
        <v>74</v>
      </c>
      <c r="G44" s="48" t="s">
        <v>24</v>
      </c>
      <c r="H44" s="49" t="s">
        <v>75</v>
      </c>
      <c r="I44" s="48">
        <v>4000011791</v>
      </c>
      <c r="J44" s="52">
        <v>20.8</v>
      </c>
      <c r="K44" s="50"/>
      <c r="L44" s="52">
        <f t="shared" si="15"/>
        <v>20.8</v>
      </c>
      <c r="M44" s="51">
        <v>0</v>
      </c>
      <c r="N44" s="52">
        <f t="shared" si="16"/>
        <v>0</v>
      </c>
      <c r="O44" s="52">
        <f t="shared" si="17"/>
        <v>20.8</v>
      </c>
      <c r="P44" s="53">
        <f t="shared" si="18"/>
        <v>3.8206498778494156E-2</v>
      </c>
      <c r="Q44" s="52">
        <f t="shared" si="19"/>
        <v>544.41</v>
      </c>
      <c r="R44" s="54">
        <f t="shared" si="20"/>
        <v>5222.2259999999997</v>
      </c>
      <c r="S44" s="52">
        <f t="shared" si="21"/>
        <v>199.52297129002042</v>
      </c>
      <c r="T44" s="48" t="s">
        <v>76</v>
      </c>
      <c r="U44" s="55">
        <v>5599</v>
      </c>
      <c r="V44" s="56">
        <v>490110</v>
      </c>
    </row>
    <row r="45" spans="1:22" ht="15" customHeight="1">
      <c r="A45" s="44" t="s">
        <v>70</v>
      </c>
      <c r="B45" s="45" t="s">
        <v>38</v>
      </c>
      <c r="C45" s="45" t="s">
        <v>78</v>
      </c>
      <c r="D45" s="45" t="s">
        <v>127</v>
      </c>
      <c r="E45" s="46" t="s">
        <v>73</v>
      </c>
      <c r="F45" s="47" t="s">
        <v>74</v>
      </c>
      <c r="G45" s="48" t="s">
        <v>24</v>
      </c>
      <c r="H45" s="49" t="s">
        <v>75</v>
      </c>
      <c r="I45" s="48">
        <v>4000011793</v>
      </c>
      <c r="J45" s="52">
        <v>30.65</v>
      </c>
      <c r="K45" s="50"/>
      <c r="L45" s="52">
        <f t="shared" si="15"/>
        <v>30.65</v>
      </c>
      <c r="M45" s="51">
        <v>0</v>
      </c>
      <c r="N45" s="52">
        <f t="shared" si="16"/>
        <v>0</v>
      </c>
      <c r="O45" s="52">
        <f t="shared" si="17"/>
        <v>30.65</v>
      </c>
      <c r="P45" s="53">
        <f t="shared" si="18"/>
        <v>5.6299480171194502E-2</v>
      </c>
      <c r="Q45" s="52">
        <f t="shared" si="19"/>
        <v>544.41</v>
      </c>
      <c r="R45" s="54">
        <f t="shared" si="20"/>
        <v>5222.2259999999997</v>
      </c>
      <c r="S45" s="52">
        <f t="shared" si="21"/>
        <v>294.00860913649637</v>
      </c>
      <c r="T45" s="48" t="s">
        <v>76</v>
      </c>
      <c r="U45" s="55">
        <v>5599</v>
      </c>
      <c r="V45" s="56">
        <v>490110</v>
      </c>
    </row>
    <row r="46" spans="1:22" ht="15" customHeight="1">
      <c r="A46" s="44" t="s">
        <v>70</v>
      </c>
      <c r="B46" s="45" t="s">
        <v>38</v>
      </c>
      <c r="C46" s="45" t="s">
        <v>78</v>
      </c>
      <c r="D46" s="45" t="s">
        <v>128</v>
      </c>
      <c r="E46" s="46" t="s">
        <v>73</v>
      </c>
      <c r="F46" s="47" t="s">
        <v>81</v>
      </c>
      <c r="G46" s="48" t="s">
        <v>24</v>
      </c>
      <c r="H46" s="49" t="s">
        <v>75</v>
      </c>
      <c r="I46" s="48">
        <v>4000011792</v>
      </c>
      <c r="J46" s="52">
        <v>60.27</v>
      </c>
      <c r="K46" s="50"/>
      <c r="L46" s="52">
        <f t="shared" si="15"/>
        <v>60.27</v>
      </c>
      <c r="M46" s="51">
        <v>0</v>
      </c>
      <c r="N46" s="52">
        <f t="shared" si="16"/>
        <v>0</v>
      </c>
      <c r="O46" s="52">
        <f t="shared" si="17"/>
        <v>60.27</v>
      </c>
      <c r="P46" s="53">
        <f t="shared" si="18"/>
        <v>0.11070700391249244</v>
      </c>
      <c r="Q46" s="52">
        <f t="shared" si="19"/>
        <v>544.41</v>
      </c>
      <c r="R46" s="54">
        <f t="shared" si="20"/>
        <v>5222.2259999999997</v>
      </c>
      <c r="S46" s="52">
        <f t="shared" si="21"/>
        <v>578.13699421391971</v>
      </c>
      <c r="T46" s="48" t="s">
        <v>76</v>
      </c>
      <c r="U46" s="55">
        <v>5599</v>
      </c>
      <c r="V46" s="56">
        <v>490110</v>
      </c>
    </row>
    <row r="47" spans="1:22" ht="15" customHeight="1">
      <c r="A47" s="44" t="s">
        <v>70</v>
      </c>
      <c r="B47" s="45" t="s">
        <v>38</v>
      </c>
      <c r="C47" s="45" t="s">
        <v>78</v>
      </c>
      <c r="D47" s="45" t="s">
        <v>129</v>
      </c>
      <c r="E47" s="46" t="s">
        <v>73</v>
      </c>
      <c r="F47" s="47" t="s">
        <v>81</v>
      </c>
      <c r="G47" s="48" t="s">
        <v>24</v>
      </c>
      <c r="H47" s="49" t="s">
        <v>75</v>
      </c>
      <c r="I47" s="48">
        <v>4000011795</v>
      </c>
      <c r="J47" s="52">
        <v>17.84</v>
      </c>
      <c r="K47" s="50"/>
      <c r="L47" s="52">
        <f t="shared" si="15"/>
        <v>17.84</v>
      </c>
      <c r="M47" s="51">
        <v>0</v>
      </c>
      <c r="N47" s="52">
        <f t="shared" si="16"/>
        <v>0</v>
      </c>
      <c r="O47" s="52">
        <f t="shared" si="17"/>
        <v>17.84</v>
      </c>
      <c r="P47" s="53">
        <f t="shared" si="18"/>
        <v>3.2769420106169983E-2</v>
      </c>
      <c r="Q47" s="52">
        <f t="shared" si="19"/>
        <v>544.41</v>
      </c>
      <c r="R47" s="54">
        <f t="shared" si="20"/>
        <v>5222.2259999999997</v>
      </c>
      <c r="S47" s="52">
        <f t="shared" si="21"/>
        <v>171.12931768336364</v>
      </c>
      <c r="T47" s="48" t="s">
        <v>76</v>
      </c>
      <c r="U47" s="55">
        <v>5599</v>
      </c>
      <c r="V47" s="56">
        <v>490110</v>
      </c>
    </row>
    <row r="48" spans="1:22" ht="15" customHeight="1">
      <c r="A48" s="44" t="s">
        <v>70</v>
      </c>
      <c r="B48" s="45" t="s">
        <v>38</v>
      </c>
      <c r="C48" s="45" t="s">
        <v>113</v>
      </c>
      <c r="D48" s="45" t="s">
        <v>130</v>
      </c>
      <c r="E48" s="46" t="s">
        <v>73</v>
      </c>
      <c r="F48" s="47" t="s">
        <v>81</v>
      </c>
      <c r="G48" s="48" t="s">
        <v>24</v>
      </c>
      <c r="H48" s="49" t="s">
        <v>75</v>
      </c>
      <c r="I48" s="48">
        <v>4000011796</v>
      </c>
      <c r="J48" s="52">
        <v>57.61</v>
      </c>
      <c r="K48" s="50"/>
      <c r="L48" s="52">
        <f t="shared" si="15"/>
        <v>57.61</v>
      </c>
      <c r="M48" s="51">
        <v>0</v>
      </c>
      <c r="N48" s="52">
        <f t="shared" si="16"/>
        <v>0</v>
      </c>
      <c r="O48" s="52">
        <f t="shared" si="17"/>
        <v>57.61</v>
      </c>
      <c r="P48" s="53">
        <f t="shared" si="18"/>
        <v>0.10582098051101192</v>
      </c>
      <c r="Q48" s="52">
        <f t="shared" si="19"/>
        <v>544.41</v>
      </c>
      <c r="R48" s="54">
        <f t="shared" si="20"/>
        <v>5222.2259999999997</v>
      </c>
      <c r="S48" s="52">
        <f t="shared" si="21"/>
        <v>552.62107577009976</v>
      </c>
      <c r="T48" s="48" t="s">
        <v>76</v>
      </c>
      <c r="U48" s="55">
        <v>5599</v>
      </c>
      <c r="V48" s="56">
        <v>490110</v>
      </c>
    </row>
    <row r="49" spans="1:22" ht="15" customHeight="1">
      <c r="A49" s="44" t="s">
        <v>70</v>
      </c>
      <c r="B49" s="45" t="s">
        <v>38</v>
      </c>
      <c r="C49" s="45" t="s">
        <v>105</v>
      </c>
      <c r="D49" s="45" t="s">
        <v>131</v>
      </c>
      <c r="E49" s="46" t="s">
        <v>73</v>
      </c>
      <c r="F49" s="47" t="s">
        <v>74</v>
      </c>
      <c r="G49" s="48" t="s">
        <v>24</v>
      </c>
      <c r="H49" s="57" t="s">
        <v>84</v>
      </c>
      <c r="I49" s="48">
        <v>4000011797</v>
      </c>
      <c r="J49" s="52">
        <v>39.18</v>
      </c>
      <c r="K49" s="50"/>
      <c r="L49" s="52">
        <f t="shared" si="15"/>
        <v>39.18</v>
      </c>
      <c r="M49" s="51">
        <v>0</v>
      </c>
      <c r="N49" s="52">
        <f t="shared" si="16"/>
        <v>0</v>
      </c>
      <c r="O49" s="52">
        <f t="shared" si="17"/>
        <v>39.18</v>
      </c>
      <c r="P49" s="53">
        <f t="shared" si="18"/>
        <v>7.1967818372182732E-2</v>
      </c>
      <c r="Q49" s="52">
        <f t="shared" si="19"/>
        <v>544.41</v>
      </c>
      <c r="R49" s="54">
        <f t="shared" si="20"/>
        <v>5222.2259999999997</v>
      </c>
      <c r="S49" s="52">
        <f t="shared" si="21"/>
        <v>375.83221226649033</v>
      </c>
      <c r="T49" s="48" t="s">
        <v>76</v>
      </c>
      <c r="U49" s="55">
        <v>5599</v>
      </c>
      <c r="V49" s="56">
        <v>490110</v>
      </c>
    </row>
    <row r="50" spans="1:22" ht="15" customHeight="1">
      <c r="A50" s="44" t="s">
        <v>70</v>
      </c>
      <c r="B50" s="45" t="s">
        <v>38</v>
      </c>
      <c r="C50" s="45" t="s">
        <v>105</v>
      </c>
      <c r="D50" s="45" t="s">
        <v>132</v>
      </c>
      <c r="E50" s="46" t="s">
        <v>73</v>
      </c>
      <c r="F50" s="47" t="s">
        <v>74</v>
      </c>
      <c r="G50" s="48" t="s">
        <v>24</v>
      </c>
      <c r="H50" s="57" t="s">
        <v>84</v>
      </c>
      <c r="I50" s="48">
        <v>4000011798</v>
      </c>
      <c r="J50" s="52">
        <v>19.34</v>
      </c>
      <c r="K50" s="50"/>
      <c r="L50" s="52">
        <f t="shared" si="15"/>
        <v>19.34</v>
      </c>
      <c r="M50" s="51">
        <v>0</v>
      </c>
      <c r="N50" s="52">
        <f t="shared" si="16"/>
        <v>0</v>
      </c>
      <c r="O50" s="52">
        <f t="shared" si="17"/>
        <v>19.34</v>
      </c>
      <c r="P50" s="53">
        <f t="shared" si="18"/>
        <v>3.5524696460388312E-2</v>
      </c>
      <c r="Q50" s="52">
        <f t="shared" si="19"/>
        <v>544.41</v>
      </c>
      <c r="R50" s="54">
        <f t="shared" si="20"/>
        <v>5222.2259999999997</v>
      </c>
      <c r="S50" s="52">
        <f t="shared" si="21"/>
        <v>185.51799349754779</v>
      </c>
      <c r="T50" s="48" t="s">
        <v>76</v>
      </c>
      <c r="U50" s="55">
        <v>5599</v>
      </c>
      <c r="V50" s="56">
        <v>490110</v>
      </c>
    </row>
    <row r="51" spans="1:22" ht="15" customHeight="1">
      <c r="A51" s="44" t="s">
        <v>70</v>
      </c>
      <c r="B51" s="45" t="s">
        <v>38</v>
      </c>
      <c r="C51" s="45" t="s">
        <v>71</v>
      </c>
      <c r="D51" s="45" t="s">
        <v>133</v>
      </c>
      <c r="E51" s="46" t="s">
        <v>73</v>
      </c>
      <c r="F51" s="47" t="s">
        <v>74</v>
      </c>
      <c r="G51" s="48" t="s">
        <v>24</v>
      </c>
      <c r="H51" s="57" t="s">
        <v>84</v>
      </c>
      <c r="I51" s="48">
        <v>4000011799</v>
      </c>
      <c r="J51" s="52">
        <v>50.05</v>
      </c>
      <c r="K51" s="50"/>
      <c r="L51" s="52">
        <f t="shared" si="15"/>
        <v>50.05</v>
      </c>
      <c r="M51" s="51">
        <v>0</v>
      </c>
      <c r="N51" s="52">
        <f t="shared" si="16"/>
        <v>0</v>
      </c>
      <c r="O51" s="52">
        <f t="shared" si="17"/>
        <v>50.05</v>
      </c>
      <c r="P51" s="53">
        <f t="shared" si="18"/>
        <v>9.1934387685751545E-2</v>
      </c>
      <c r="Q51" s="52">
        <f t="shared" si="19"/>
        <v>544.41</v>
      </c>
      <c r="R51" s="54">
        <f t="shared" si="20"/>
        <v>5222.2259999999997</v>
      </c>
      <c r="S51" s="52">
        <f t="shared" si="21"/>
        <v>480.10214966661152</v>
      </c>
      <c r="T51" s="48" t="s">
        <v>76</v>
      </c>
      <c r="U51" s="55">
        <v>5599</v>
      </c>
      <c r="V51" s="56">
        <v>490110</v>
      </c>
    </row>
    <row r="52" spans="1:22" ht="15" customHeight="1">
      <c r="A52" s="44" t="s">
        <v>70</v>
      </c>
      <c r="B52" s="45" t="s">
        <v>38</v>
      </c>
      <c r="C52" s="45" t="s">
        <v>71</v>
      </c>
      <c r="D52" s="45" t="s">
        <v>134</v>
      </c>
      <c r="E52" s="46" t="s">
        <v>73</v>
      </c>
      <c r="F52" s="47" t="s">
        <v>74</v>
      </c>
      <c r="G52" s="48" t="s">
        <v>24</v>
      </c>
      <c r="H52" s="57" t="s">
        <v>84</v>
      </c>
      <c r="I52" s="48">
        <v>4000011800</v>
      </c>
      <c r="J52" s="52">
        <v>19.34</v>
      </c>
      <c r="K52" s="50"/>
      <c r="L52" s="52">
        <f t="shared" si="15"/>
        <v>19.34</v>
      </c>
      <c r="M52" s="51">
        <v>0</v>
      </c>
      <c r="N52" s="52">
        <f t="shared" si="16"/>
        <v>0</v>
      </c>
      <c r="O52" s="52">
        <f t="shared" si="17"/>
        <v>19.34</v>
      </c>
      <c r="P52" s="53">
        <f t="shared" si="18"/>
        <v>3.5524696460388312E-2</v>
      </c>
      <c r="Q52" s="52">
        <f t="shared" si="19"/>
        <v>544.41</v>
      </c>
      <c r="R52" s="54">
        <f t="shared" si="20"/>
        <v>5222.2259999999997</v>
      </c>
      <c r="S52" s="52">
        <f t="shared" si="21"/>
        <v>185.51799349754779</v>
      </c>
      <c r="T52" s="48" t="s">
        <v>76</v>
      </c>
      <c r="U52" s="55">
        <v>5599</v>
      </c>
      <c r="V52" s="56">
        <v>490110</v>
      </c>
    </row>
    <row r="53" spans="1:22" ht="15" customHeight="1">
      <c r="A53" s="44" t="s">
        <v>70</v>
      </c>
      <c r="B53" s="45" t="s">
        <v>38</v>
      </c>
      <c r="C53" s="45" t="s">
        <v>78</v>
      </c>
      <c r="D53" s="45" t="s">
        <v>135</v>
      </c>
      <c r="E53" s="46" t="s">
        <v>73</v>
      </c>
      <c r="F53" s="47" t="s">
        <v>81</v>
      </c>
      <c r="G53" s="48" t="s">
        <v>24</v>
      </c>
      <c r="H53" s="57" t="s">
        <v>84</v>
      </c>
      <c r="I53" s="48">
        <v>4000011801</v>
      </c>
      <c r="J53" s="52">
        <v>65.510000000000005</v>
      </c>
      <c r="K53" s="50"/>
      <c r="L53" s="52">
        <f t="shared" si="15"/>
        <v>65.510000000000005</v>
      </c>
      <c r="M53" s="51">
        <v>0</v>
      </c>
      <c r="N53" s="52">
        <f t="shared" si="16"/>
        <v>0</v>
      </c>
      <c r="O53" s="52">
        <f t="shared" si="17"/>
        <v>65.510000000000005</v>
      </c>
      <c r="P53" s="53">
        <f t="shared" si="18"/>
        <v>0.12033210264322847</v>
      </c>
      <c r="Q53" s="52">
        <f t="shared" si="19"/>
        <v>544.41</v>
      </c>
      <c r="R53" s="54">
        <f t="shared" si="20"/>
        <v>5222.2259999999997</v>
      </c>
      <c r="S53" s="52">
        <f t="shared" si="21"/>
        <v>628.40143505813637</v>
      </c>
      <c r="T53" s="48" t="s">
        <v>76</v>
      </c>
      <c r="U53" s="55">
        <v>5599</v>
      </c>
      <c r="V53" s="56">
        <v>490110</v>
      </c>
    </row>
    <row r="54" spans="1:22" ht="15" customHeight="1">
      <c r="A54" s="44" t="s">
        <v>70</v>
      </c>
      <c r="B54" s="45" t="s">
        <v>38</v>
      </c>
      <c r="C54" s="45" t="s">
        <v>78</v>
      </c>
      <c r="D54" s="45" t="s">
        <v>136</v>
      </c>
      <c r="E54" s="46" t="s">
        <v>73</v>
      </c>
      <c r="F54" s="47" t="s">
        <v>81</v>
      </c>
      <c r="G54" s="48" t="s">
        <v>24</v>
      </c>
      <c r="H54" s="57" t="s">
        <v>84</v>
      </c>
      <c r="I54" s="48">
        <v>4000011802</v>
      </c>
      <c r="J54" s="52">
        <v>19.05</v>
      </c>
      <c r="K54" s="50"/>
      <c r="L54" s="52">
        <f t="shared" si="15"/>
        <v>19.05</v>
      </c>
      <c r="M54" s="51">
        <v>0</v>
      </c>
      <c r="N54" s="52">
        <f t="shared" si="16"/>
        <v>0</v>
      </c>
      <c r="O54" s="52">
        <f t="shared" si="17"/>
        <v>19.05</v>
      </c>
      <c r="P54" s="53">
        <f t="shared" si="18"/>
        <v>3.4992009698572774E-2</v>
      </c>
      <c r="Q54" s="52">
        <f t="shared" si="19"/>
        <v>544.41</v>
      </c>
      <c r="R54" s="54">
        <f t="shared" si="20"/>
        <v>5222.2259999999997</v>
      </c>
      <c r="S54" s="52">
        <f t="shared" si="21"/>
        <v>182.73618284013889</v>
      </c>
      <c r="T54" s="48" t="s">
        <v>76</v>
      </c>
      <c r="U54" s="55">
        <v>5599</v>
      </c>
      <c r="V54" s="56">
        <v>490110</v>
      </c>
    </row>
    <row r="55" spans="1:22" ht="15" customHeight="1">
      <c r="A55" s="44" t="s">
        <v>70</v>
      </c>
      <c r="B55" s="45" t="s">
        <v>38</v>
      </c>
      <c r="C55" s="45" t="s">
        <v>113</v>
      </c>
      <c r="D55" s="45" t="s">
        <v>137</v>
      </c>
      <c r="E55" s="46" t="s">
        <v>73</v>
      </c>
      <c r="F55" s="47" t="s">
        <v>81</v>
      </c>
      <c r="G55" s="48" t="s">
        <v>24</v>
      </c>
      <c r="H55" s="57" t="s">
        <v>84</v>
      </c>
      <c r="I55" s="48">
        <v>4000011803</v>
      </c>
      <c r="J55" s="52">
        <v>44.98</v>
      </c>
      <c r="K55" s="50"/>
      <c r="L55" s="52">
        <f t="shared" si="15"/>
        <v>44.98</v>
      </c>
      <c r="M55" s="51">
        <v>0</v>
      </c>
      <c r="N55" s="52">
        <f t="shared" si="16"/>
        <v>0</v>
      </c>
      <c r="O55" s="52">
        <f t="shared" si="17"/>
        <v>44.98</v>
      </c>
      <c r="P55" s="53">
        <f t="shared" si="18"/>
        <v>8.2621553608493603E-2</v>
      </c>
      <c r="Q55" s="52">
        <f t="shared" si="19"/>
        <v>544.41</v>
      </c>
      <c r="R55" s="54">
        <f t="shared" si="20"/>
        <v>5222.2259999999997</v>
      </c>
      <c r="S55" s="52">
        <f t="shared" si="21"/>
        <v>431.46842541466907</v>
      </c>
      <c r="T55" s="48" t="s">
        <v>76</v>
      </c>
      <c r="U55" s="55">
        <v>5599</v>
      </c>
      <c r="V55" s="56">
        <v>490110</v>
      </c>
    </row>
    <row r="56" spans="1:22" ht="15" customHeight="1">
      <c r="A56" s="44" t="s">
        <v>70</v>
      </c>
      <c r="B56" s="45" t="s">
        <v>38</v>
      </c>
      <c r="C56" s="45" t="s">
        <v>88</v>
      </c>
      <c r="D56" s="45" t="s">
        <v>138</v>
      </c>
      <c r="E56" s="46" t="s">
        <v>73</v>
      </c>
      <c r="F56" s="58" t="s">
        <v>90</v>
      </c>
      <c r="G56" s="48" t="s">
        <v>24</v>
      </c>
      <c r="H56" s="59" t="s">
        <v>75</v>
      </c>
      <c r="I56" s="60">
        <v>7000000225</v>
      </c>
      <c r="J56" s="61">
        <v>213.3</v>
      </c>
      <c r="K56" s="60">
        <v>10</v>
      </c>
      <c r="L56" s="61">
        <f t="shared" si="15"/>
        <v>223.3</v>
      </c>
      <c r="M56" s="62">
        <v>0.18</v>
      </c>
      <c r="N56" s="61">
        <f t="shared" si="16"/>
        <v>40.194000000000003</v>
      </c>
      <c r="O56" s="61">
        <f t="shared" si="17"/>
        <v>263.49400000000003</v>
      </c>
      <c r="P56" s="63">
        <v>0</v>
      </c>
      <c r="Q56" s="61">
        <f>O56</f>
        <v>263.49400000000003</v>
      </c>
      <c r="R56" s="64">
        <f>Q56</f>
        <v>263.49400000000003</v>
      </c>
      <c r="S56" s="61">
        <f>Q56</f>
        <v>263.49400000000003</v>
      </c>
      <c r="T56" s="60" t="s">
        <v>91</v>
      </c>
      <c r="U56" s="55">
        <v>5599</v>
      </c>
      <c r="V56" s="56">
        <v>49119990</v>
      </c>
    </row>
    <row r="57" spans="1:22" ht="15" customHeight="1">
      <c r="A57" s="65" t="s">
        <v>70</v>
      </c>
      <c r="B57" s="66" t="s">
        <v>38</v>
      </c>
      <c r="C57" s="66" t="s">
        <v>92</v>
      </c>
      <c r="D57" s="66" t="s">
        <v>93</v>
      </c>
      <c r="E57" s="67" t="s">
        <v>73</v>
      </c>
      <c r="F57" s="68" t="s">
        <v>94</v>
      </c>
      <c r="G57" s="69" t="s">
        <v>24</v>
      </c>
      <c r="H57" s="70" t="s">
        <v>75</v>
      </c>
      <c r="I57" s="71">
        <v>8400007</v>
      </c>
      <c r="J57" s="72">
        <v>96</v>
      </c>
      <c r="K57" s="73"/>
      <c r="L57" s="72">
        <f t="shared" si="15"/>
        <v>96</v>
      </c>
      <c r="M57" s="74">
        <v>0.18</v>
      </c>
      <c r="N57" s="72">
        <f t="shared" si="16"/>
        <v>17.28</v>
      </c>
      <c r="O57" s="72">
        <f t="shared" si="17"/>
        <v>113.28</v>
      </c>
      <c r="P57" s="75">
        <v>0</v>
      </c>
      <c r="Q57" s="72">
        <f>O57</f>
        <v>113.28</v>
      </c>
      <c r="R57" s="76">
        <f>Q57</f>
        <v>113.28</v>
      </c>
      <c r="S57" s="72">
        <f>Q57</f>
        <v>113.28</v>
      </c>
      <c r="T57" s="71" t="s">
        <v>91</v>
      </c>
      <c r="U57" s="77">
        <v>5599</v>
      </c>
      <c r="V57" s="78">
        <v>999299</v>
      </c>
    </row>
    <row r="58" spans="1:22" ht="15" customHeight="1">
      <c r="A58" s="31" t="s">
        <v>70</v>
      </c>
      <c r="B58" s="32" t="s">
        <v>39</v>
      </c>
      <c r="C58" s="32" t="s">
        <v>105</v>
      </c>
      <c r="D58" s="32" t="s">
        <v>139</v>
      </c>
      <c r="E58" s="33" t="s">
        <v>73</v>
      </c>
      <c r="F58" s="34" t="s">
        <v>74</v>
      </c>
      <c r="G58" s="35" t="s">
        <v>24</v>
      </c>
      <c r="H58" s="36" t="s">
        <v>75</v>
      </c>
      <c r="I58" s="35">
        <v>4000011804</v>
      </c>
      <c r="J58" s="39">
        <v>39.65</v>
      </c>
      <c r="K58" s="37"/>
      <c r="L58" s="39">
        <f t="shared" si="15"/>
        <v>39.65</v>
      </c>
      <c r="M58" s="38">
        <v>0</v>
      </c>
      <c r="N58" s="39">
        <f t="shared" si="16"/>
        <v>0</v>
      </c>
      <c r="O58" s="39">
        <f t="shared" si="17"/>
        <v>39.65</v>
      </c>
      <c r="P58" s="40">
        <f t="shared" ref="P58:P72" si="22">IFERROR(O58/Q58,"")</f>
        <v>7.1625991292880747E-2</v>
      </c>
      <c r="Q58" s="39">
        <f t="shared" ref="Q58:Q72" si="23">SUMIFS(O:O,T:T,T58,B:B,B58,A:A,A58,G:G,G58,E:E,E58)</f>
        <v>553.57000000000005</v>
      </c>
      <c r="R58" s="41">
        <f t="shared" ref="R58:R72" si="24">U58-SUMIFS(Q:Q,A:A,A58,B:B,B58,G:G,G58,E:E,E58,T:T,"Fixed Price ( Base Price with GST)")</f>
        <v>5167.71</v>
      </c>
      <c r="S58" s="39">
        <f t="shared" ref="S58:S72" si="25">P58*R58</f>
        <v>370.14235146413279</v>
      </c>
      <c r="T58" s="35" t="s">
        <v>76</v>
      </c>
      <c r="U58" s="42">
        <v>5599</v>
      </c>
      <c r="V58" s="43">
        <v>490110</v>
      </c>
    </row>
    <row r="59" spans="1:22" ht="15" customHeight="1">
      <c r="A59" s="44" t="s">
        <v>70</v>
      </c>
      <c r="B59" s="45" t="s">
        <v>39</v>
      </c>
      <c r="C59" s="45" t="s">
        <v>105</v>
      </c>
      <c r="D59" s="45" t="s">
        <v>140</v>
      </c>
      <c r="E59" s="46" t="s">
        <v>73</v>
      </c>
      <c r="F59" s="47" t="s">
        <v>74</v>
      </c>
      <c r="G59" s="48" t="s">
        <v>24</v>
      </c>
      <c r="H59" s="49" t="s">
        <v>75</v>
      </c>
      <c r="I59" s="48">
        <v>4000011806</v>
      </c>
      <c r="J59" s="52">
        <v>19.510000000000002</v>
      </c>
      <c r="K59" s="50"/>
      <c r="L59" s="52">
        <f t="shared" si="15"/>
        <v>19.510000000000002</v>
      </c>
      <c r="M59" s="51">
        <v>0</v>
      </c>
      <c r="N59" s="52">
        <f t="shared" si="16"/>
        <v>0</v>
      </c>
      <c r="O59" s="52">
        <f t="shared" si="17"/>
        <v>19.510000000000002</v>
      </c>
      <c r="P59" s="53">
        <f t="shared" si="22"/>
        <v>3.5243961919901728E-2</v>
      </c>
      <c r="Q59" s="52">
        <f t="shared" si="23"/>
        <v>553.57000000000005</v>
      </c>
      <c r="R59" s="54">
        <f t="shared" si="24"/>
        <v>5167.71</v>
      </c>
      <c r="S59" s="52">
        <f t="shared" si="25"/>
        <v>182.13057445309536</v>
      </c>
      <c r="T59" s="48" t="s">
        <v>76</v>
      </c>
      <c r="U59" s="55">
        <v>5599</v>
      </c>
      <c r="V59" s="56">
        <v>490110</v>
      </c>
    </row>
    <row r="60" spans="1:22" ht="15" customHeight="1">
      <c r="A60" s="44" t="s">
        <v>70</v>
      </c>
      <c r="B60" s="45" t="s">
        <v>39</v>
      </c>
      <c r="C60" s="45" t="s">
        <v>71</v>
      </c>
      <c r="D60" s="45" t="s">
        <v>141</v>
      </c>
      <c r="E60" s="46" t="s">
        <v>73</v>
      </c>
      <c r="F60" s="47" t="s">
        <v>74</v>
      </c>
      <c r="G60" s="48" t="s">
        <v>24</v>
      </c>
      <c r="H60" s="49" t="s">
        <v>75</v>
      </c>
      <c r="I60" s="48">
        <v>4000011807</v>
      </c>
      <c r="J60" s="52">
        <v>48.5</v>
      </c>
      <c r="K60" s="50"/>
      <c r="L60" s="52">
        <f t="shared" si="15"/>
        <v>48.5</v>
      </c>
      <c r="M60" s="51">
        <v>0</v>
      </c>
      <c r="N60" s="52">
        <f t="shared" si="16"/>
        <v>0</v>
      </c>
      <c r="O60" s="52">
        <f t="shared" si="17"/>
        <v>48.5</v>
      </c>
      <c r="P60" s="53">
        <f t="shared" si="22"/>
        <v>8.7613129324204703E-2</v>
      </c>
      <c r="Q60" s="52">
        <f t="shared" si="23"/>
        <v>553.57000000000005</v>
      </c>
      <c r="R60" s="54">
        <f t="shared" si="24"/>
        <v>5167.71</v>
      </c>
      <c r="S60" s="52">
        <f t="shared" si="25"/>
        <v>452.7592445399859</v>
      </c>
      <c r="T60" s="48" t="s">
        <v>76</v>
      </c>
      <c r="U60" s="55">
        <v>5599</v>
      </c>
      <c r="V60" s="56">
        <v>490110</v>
      </c>
    </row>
    <row r="61" spans="1:22" ht="15" customHeight="1">
      <c r="A61" s="44" t="s">
        <v>70</v>
      </c>
      <c r="B61" s="45" t="s">
        <v>39</v>
      </c>
      <c r="C61" s="45" t="s">
        <v>71</v>
      </c>
      <c r="D61" s="45" t="s">
        <v>142</v>
      </c>
      <c r="E61" s="46" t="s">
        <v>73</v>
      </c>
      <c r="F61" s="47" t="s">
        <v>74</v>
      </c>
      <c r="G61" s="48" t="s">
        <v>24</v>
      </c>
      <c r="H61" s="49" t="s">
        <v>75</v>
      </c>
      <c r="I61" s="48">
        <v>4000011808</v>
      </c>
      <c r="J61" s="52">
        <v>23.91</v>
      </c>
      <c r="K61" s="50"/>
      <c r="L61" s="52">
        <f t="shared" si="15"/>
        <v>23.91</v>
      </c>
      <c r="M61" s="51">
        <v>0</v>
      </c>
      <c r="N61" s="52">
        <f t="shared" si="16"/>
        <v>0</v>
      </c>
      <c r="O61" s="52">
        <f t="shared" si="17"/>
        <v>23.91</v>
      </c>
      <c r="P61" s="53">
        <f t="shared" si="22"/>
        <v>4.3192369528695554E-2</v>
      </c>
      <c r="Q61" s="52">
        <f t="shared" si="23"/>
        <v>553.57000000000005</v>
      </c>
      <c r="R61" s="54">
        <f t="shared" si="24"/>
        <v>5167.71</v>
      </c>
      <c r="S61" s="52">
        <f t="shared" si="25"/>
        <v>223.20563993713532</v>
      </c>
      <c r="T61" s="48" t="s">
        <v>76</v>
      </c>
      <c r="U61" s="55">
        <v>5599</v>
      </c>
      <c r="V61" s="56">
        <v>490110</v>
      </c>
    </row>
    <row r="62" spans="1:22" ht="15" customHeight="1">
      <c r="A62" s="44" t="s">
        <v>70</v>
      </c>
      <c r="B62" s="45" t="s">
        <v>39</v>
      </c>
      <c r="C62" s="45" t="s">
        <v>78</v>
      </c>
      <c r="D62" s="45" t="s">
        <v>143</v>
      </c>
      <c r="E62" s="46" t="s">
        <v>73</v>
      </c>
      <c r="F62" s="47" t="s">
        <v>74</v>
      </c>
      <c r="G62" s="48" t="s">
        <v>24</v>
      </c>
      <c r="H62" s="49" t="s">
        <v>75</v>
      </c>
      <c r="I62" s="48">
        <v>4000011810</v>
      </c>
      <c r="J62" s="52">
        <v>40.619999999999997</v>
      </c>
      <c r="K62" s="50"/>
      <c r="L62" s="52">
        <f t="shared" si="15"/>
        <v>40.619999999999997</v>
      </c>
      <c r="M62" s="51">
        <v>0</v>
      </c>
      <c r="N62" s="52">
        <f t="shared" si="16"/>
        <v>0</v>
      </c>
      <c r="O62" s="52">
        <f t="shared" si="17"/>
        <v>40.619999999999997</v>
      </c>
      <c r="P62" s="53">
        <f t="shared" si="22"/>
        <v>7.3378253879364835E-2</v>
      </c>
      <c r="Q62" s="52">
        <f t="shared" si="23"/>
        <v>553.57000000000005</v>
      </c>
      <c r="R62" s="54">
        <f t="shared" si="24"/>
        <v>5167.71</v>
      </c>
      <c r="S62" s="52">
        <f t="shared" si="25"/>
        <v>379.19753635493248</v>
      </c>
      <c r="T62" s="48" t="s">
        <v>76</v>
      </c>
      <c r="U62" s="55">
        <v>5599</v>
      </c>
      <c r="V62" s="56">
        <v>490110</v>
      </c>
    </row>
    <row r="63" spans="1:22" ht="15" customHeight="1">
      <c r="A63" s="44" t="s">
        <v>70</v>
      </c>
      <c r="B63" s="45" t="s">
        <v>39</v>
      </c>
      <c r="C63" s="45" t="s">
        <v>78</v>
      </c>
      <c r="D63" s="45" t="s">
        <v>144</v>
      </c>
      <c r="E63" s="46" t="s">
        <v>73</v>
      </c>
      <c r="F63" s="47" t="s">
        <v>81</v>
      </c>
      <c r="G63" s="48" t="s">
        <v>24</v>
      </c>
      <c r="H63" s="49" t="s">
        <v>75</v>
      </c>
      <c r="I63" s="48">
        <v>4000011809</v>
      </c>
      <c r="J63" s="52">
        <v>55.07</v>
      </c>
      <c r="K63" s="50"/>
      <c r="L63" s="52">
        <f t="shared" si="15"/>
        <v>55.07</v>
      </c>
      <c r="M63" s="51">
        <v>0</v>
      </c>
      <c r="N63" s="52">
        <f t="shared" si="16"/>
        <v>0</v>
      </c>
      <c r="O63" s="52">
        <f t="shared" si="17"/>
        <v>55.07</v>
      </c>
      <c r="P63" s="53">
        <f t="shared" si="22"/>
        <v>9.9481547049153671E-2</v>
      </c>
      <c r="Q63" s="52">
        <f t="shared" si="23"/>
        <v>553.57000000000005</v>
      </c>
      <c r="R63" s="54">
        <f t="shared" si="24"/>
        <v>5167.71</v>
      </c>
      <c r="S63" s="52">
        <f t="shared" si="25"/>
        <v>514.09178550138188</v>
      </c>
      <c r="T63" s="48" t="s">
        <v>76</v>
      </c>
      <c r="U63" s="55">
        <v>5599</v>
      </c>
      <c r="V63" s="56">
        <v>490110</v>
      </c>
    </row>
    <row r="64" spans="1:22" ht="15" customHeight="1">
      <c r="A64" s="44" t="s">
        <v>70</v>
      </c>
      <c r="B64" s="45" t="s">
        <v>39</v>
      </c>
      <c r="C64" s="45" t="s">
        <v>78</v>
      </c>
      <c r="D64" s="45" t="s">
        <v>145</v>
      </c>
      <c r="E64" s="46" t="s">
        <v>73</v>
      </c>
      <c r="F64" s="47" t="s">
        <v>81</v>
      </c>
      <c r="G64" s="48" t="s">
        <v>24</v>
      </c>
      <c r="H64" s="49" t="s">
        <v>75</v>
      </c>
      <c r="I64" s="48">
        <v>4000011811</v>
      </c>
      <c r="J64" s="52">
        <v>19.510000000000002</v>
      </c>
      <c r="K64" s="50"/>
      <c r="L64" s="52">
        <f t="shared" si="15"/>
        <v>19.510000000000002</v>
      </c>
      <c r="M64" s="51">
        <v>0</v>
      </c>
      <c r="N64" s="52">
        <f t="shared" si="16"/>
        <v>0</v>
      </c>
      <c r="O64" s="52">
        <f t="shared" si="17"/>
        <v>19.510000000000002</v>
      </c>
      <c r="P64" s="53">
        <f t="shared" si="22"/>
        <v>3.5243961919901728E-2</v>
      </c>
      <c r="Q64" s="52">
        <f t="shared" si="23"/>
        <v>553.57000000000005</v>
      </c>
      <c r="R64" s="54">
        <f t="shared" si="24"/>
        <v>5167.71</v>
      </c>
      <c r="S64" s="52">
        <f t="shared" si="25"/>
        <v>182.13057445309536</v>
      </c>
      <c r="T64" s="48" t="s">
        <v>76</v>
      </c>
      <c r="U64" s="55">
        <v>5599</v>
      </c>
      <c r="V64" s="56">
        <v>490110</v>
      </c>
    </row>
    <row r="65" spans="1:22" ht="15" customHeight="1">
      <c r="A65" s="44" t="s">
        <v>70</v>
      </c>
      <c r="B65" s="45" t="s">
        <v>39</v>
      </c>
      <c r="C65" s="45" t="s">
        <v>113</v>
      </c>
      <c r="D65" s="45" t="s">
        <v>146</v>
      </c>
      <c r="E65" s="46" t="s">
        <v>73</v>
      </c>
      <c r="F65" s="47" t="s">
        <v>81</v>
      </c>
      <c r="G65" s="48" t="s">
        <v>24</v>
      </c>
      <c r="H65" s="49" t="s">
        <v>75</v>
      </c>
      <c r="I65" s="48">
        <v>4000011812</v>
      </c>
      <c r="J65" s="52">
        <v>39.94</v>
      </c>
      <c r="K65" s="50"/>
      <c r="L65" s="52">
        <f t="shared" si="15"/>
        <v>39.94</v>
      </c>
      <c r="M65" s="51">
        <v>0</v>
      </c>
      <c r="N65" s="52">
        <f t="shared" si="16"/>
        <v>0</v>
      </c>
      <c r="O65" s="52">
        <f t="shared" si="17"/>
        <v>39.94</v>
      </c>
      <c r="P65" s="53">
        <f t="shared" si="22"/>
        <v>7.2149863612551254E-2</v>
      </c>
      <c r="Q65" s="52">
        <f t="shared" si="23"/>
        <v>553.57000000000005</v>
      </c>
      <c r="R65" s="54">
        <f t="shared" si="24"/>
        <v>5167.71</v>
      </c>
      <c r="S65" s="52">
        <f t="shared" si="25"/>
        <v>372.84957168921727</v>
      </c>
      <c r="T65" s="48" t="s">
        <v>76</v>
      </c>
      <c r="U65" s="55">
        <v>5599</v>
      </c>
      <c r="V65" s="56">
        <v>490110</v>
      </c>
    </row>
    <row r="66" spans="1:22" ht="15" customHeight="1">
      <c r="A66" s="44" t="s">
        <v>70</v>
      </c>
      <c r="B66" s="45" t="s">
        <v>39</v>
      </c>
      <c r="C66" s="45" t="s">
        <v>105</v>
      </c>
      <c r="D66" s="45" t="s">
        <v>147</v>
      </c>
      <c r="E66" s="46" t="s">
        <v>73</v>
      </c>
      <c r="F66" s="47" t="s">
        <v>74</v>
      </c>
      <c r="G66" s="48" t="s">
        <v>24</v>
      </c>
      <c r="H66" s="57" t="s">
        <v>84</v>
      </c>
      <c r="I66" s="48">
        <v>4000011813</v>
      </c>
      <c r="J66" s="52">
        <v>41.81</v>
      </c>
      <c r="K66" s="50"/>
      <c r="L66" s="52">
        <f t="shared" ref="L66:L97" si="26">J66+K66</f>
        <v>41.81</v>
      </c>
      <c r="M66" s="51">
        <v>0</v>
      </c>
      <c r="N66" s="52">
        <f t="shared" ref="N66:N97" si="27">M66*L66</f>
        <v>0</v>
      </c>
      <c r="O66" s="52">
        <f t="shared" ref="O66:O97" si="28">L66+N66</f>
        <v>41.81</v>
      </c>
      <c r="P66" s="53">
        <f t="shared" si="22"/>
        <v>7.5527936846288626E-2</v>
      </c>
      <c r="Q66" s="52">
        <f t="shared" si="23"/>
        <v>553.57000000000005</v>
      </c>
      <c r="R66" s="54">
        <f t="shared" si="24"/>
        <v>5167.71</v>
      </c>
      <c r="S66" s="52">
        <f t="shared" si="25"/>
        <v>390.30647451993423</v>
      </c>
      <c r="T66" s="48" t="s">
        <v>76</v>
      </c>
      <c r="U66" s="55">
        <v>5599</v>
      </c>
      <c r="V66" s="56">
        <v>490110</v>
      </c>
    </row>
    <row r="67" spans="1:22" ht="15" customHeight="1">
      <c r="A67" s="44" t="s">
        <v>70</v>
      </c>
      <c r="B67" s="45" t="s">
        <v>39</v>
      </c>
      <c r="C67" s="45" t="s">
        <v>105</v>
      </c>
      <c r="D67" s="45" t="s">
        <v>148</v>
      </c>
      <c r="E67" s="46" t="s">
        <v>73</v>
      </c>
      <c r="F67" s="47" t="s">
        <v>74</v>
      </c>
      <c r="G67" s="48" t="s">
        <v>24</v>
      </c>
      <c r="H67" s="57" t="s">
        <v>84</v>
      </c>
      <c r="I67" s="48">
        <v>4000011814</v>
      </c>
      <c r="J67" s="52">
        <v>17.95</v>
      </c>
      <c r="K67" s="50"/>
      <c r="L67" s="52">
        <f t="shared" si="26"/>
        <v>17.95</v>
      </c>
      <c r="M67" s="51">
        <v>0</v>
      </c>
      <c r="N67" s="52">
        <f t="shared" si="27"/>
        <v>0</v>
      </c>
      <c r="O67" s="52">
        <f t="shared" si="28"/>
        <v>17.95</v>
      </c>
      <c r="P67" s="53">
        <f t="shared" si="22"/>
        <v>3.242589013132937E-2</v>
      </c>
      <c r="Q67" s="52">
        <f t="shared" si="23"/>
        <v>553.57000000000005</v>
      </c>
      <c r="R67" s="54">
        <f t="shared" si="24"/>
        <v>5167.71</v>
      </c>
      <c r="S67" s="52">
        <f t="shared" si="25"/>
        <v>167.56759669057209</v>
      </c>
      <c r="T67" s="48" t="s">
        <v>76</v>
      </c>
      <c r="U67" s="55">
        <v>5599</v>
      </c>
      <c r="V67" s="56">
        <v>490110</v>
      </c>
    </row>
    <row r="68" spans="1:22" ht="15" customHeight="1">
      <c r="A68" s="44" t="s">
        <v>70</v>
      </c>
      <c r="B68" s="45" t="s">
        <v>39</v>
      </c>
      <c r="C68" s="45" t="s">
        <v>71</v>
      </c>
      <c r="D68" s="45" t="s">
        <v>149</v>
      </c>
      <c r="E68" s="46" t="s">
        <v>73</v>
      </c>
      <c r="F68" s="47" t="s">
        <v>74</v>
      </c>
      <c r="G68" s="48" t="s">
        <v>24</v>
      </c>
      <c r="H68" s="57" t="s">
        <v>84</v>
      </c>
      <c r="I68" s="48">
        <v>4000011815</v>
      </c>
      <c r="J68" s="52">
        <v>46.24</v>
      </c>
      <c r="K68" s="50"/>
      <c r="L68" s="52">
        <f t="shared" si="26"/>
        <v>46.24</v>
      </c>
      <c r="M68" s="51">
        <v>0</v>
      </c>
      <c r="N68" s="52">
        <f t="shared" si="27"/>
        <v>0</v>
      </c>
      <c r="O68" s="52">
        <f t="shared" si="28"/>
        <v>46.24</v>
      </c>
      <c r="P68" s="53">
        <f t="shared" si="22"/>
        <v>8.3530538143324243E-2</v>
      </c>
      <c r="Q68" s="52">
        <f t="shared" si="23"/>
        <v>553.57000000000005</v>
      </c>
      <c r="R68" s="54">
        <f t="shared" si="24"/>
        <v>5167.71</v>
      </c>
      <c r="S68" s="52">
        <f t="shared" si="25"/>
        <v>431.6615972686381</v>
      </c>
      <c r="T68" s="48" t="s">
        <v>76</v>
      </c>
      <c r="U68" s="55">
        <v>5599</v>
      </c>
      <c r="V68" s="56">
        <v>490110</v>
      </c>
    </row>
    <row r="69" spans="1:22" ht="15" customHeight="1">
      <c r="A69" s="44" t="s">
        <v>70</v>
      </c>
      <c r="B69" s="45" t="s">
        <v>39</v>
      </c>
      <c r="C69" s="45" t="s">
        <v>71</v>
      </c>
      <c r="D69" s="45" t="s">
        <v>150</v>
      </c>
      <c r="E69" s="46" t="s">
        <v>73</v>
      </c>
      <c r="F69" s="47" t="s">
        <v>74</v>
      </c>
      <c r="G69" s="48" t="s">
        <v>24</v>
      </c>
      <c r="H69" s="57" t="s">
        <v>84</v>
      </c>
      <c r="I69" s="48">
        <v>4000011817</v>
      </c>
      <c r="J69" s="52">
        <v>22.48</v>
      </c>
      <c r="K69" s="50"/>
      <c r="L69" s="52">
        <f t="shared" si="26"/>
        <v>22.48</v>
      </c>
      <c r="M69" s="51">
        <v>0</v>
      </c>
      <c r="N69" s="52">
        <f t="shared" si="27"/>
        <v>0</v>
      </c>
      <c r="O69" s="52">
        <f t="shared" si="28"/>
        <v>22.48</v>
      </c>
      <c r="P69" s="53">
        <f t="shared" si="22"/>
        <v>4.060913705583756E-2</v>
      </c>
      <c r="Q69" s="52">
        <f t="shared" si="23"/>
        <v>553.57000000000005</v>
      </c>
      <c r="R69" s="54">
        <f t="shared" si="24"/>
        <v>5167.71</v>
      </c>
      <c r="S69" s="52">
        <f t="shared" si="25"/>
        <v>209.85624365482232</v>
      </c>
      <c r="T69" s="48" t="s">
        <v>76</v>
      </c>
      <c r="U69" s="55">
        <v>5599</v>
      </c>
      <c r="V69" s="56">
        <v>490110</v>
      </c>
    </row>
    <row r="70" spans="1:22" ht="15" customHeight="1">
      <c r="A70" s="44" t="s">
        <v>70</v>
      </c>
      <c r="B70" s="45" t="s">
        <v>39</v>
      </c>
      <c r="C70" s="45" t="s">
        <v>78</v>
      </c>
      <c r="D70" s="45" t="s">
        <v>151</v>
      </c>
      <c r="E70" s="46" t="s">
        <v>73</v>
      </c>
      <c r="F70" s="47" t="s">
        <v>81</v>
      </c>
      <c r="G70" s="48" t="s">
        <v>24</v>
      </c>
      <c r="H70" s="57" t="s">
        <v>84</v>
      </c>
      <c r="I70" s="48">
        <v>4000011818</v>
      </c>
      <c r="J70" s="52">
        <v>75.930000000000007</v>
      </c>
      <c r="K70" s="50"/>
      <c r="L70" s="52">
        <f t="shared" si="26"/>
        <v>75.930000000000007</v>
      </c>
      <c r="M70" s="51">
        <v>0</v>
      </c>
      <c r="N70" s="52">
        <f t="shared" si="27"/>
        <v>0</v>
      </c>
      <c r="O70" s="52">
        <f t="shared" si="28"/>
        <v>75.930000000000007</v>
      </c>
      <c r="P70" s="53">
        <f t="shared" si="22"/>
        <v>0.13716422493993533</v>
      </c>
      <c r="Q70" s="52">
        <f t="shared" si="23"/>
        <v>553.57000000000005</v>
      </c>
      <c r="R70" s="54">
        <f t="shared" si="24"/>
        <v>5167.71</v>
      </c>
      <c r="S70" s="52">
        <f t="shared" si="25"/>
        <v>708.82493686435316</v>
      </c>
      <c r="T70" s="48" t="s">
        <v>76</v>
      </c>
      <c r="U70" s="55">
        <v>5599</v>
      </c>
      <c r="V70" s="56">
        <v>490110</v>
      </c>
    </row>
    <row r="71" spans="1:22" ht="15" customHeight="1">
      <c r="A71" s="44" t="s">
        <v>70</v>
      </c>
      <c r="B71" s="45" t="s">
        <v>39</v>
      </c>
      <c r="C71" s="45" t="s">
        <v>78</v>
      </c>
      <c r="D71" s="45" t="s">
        <v>152</v>
      </c>
      <c r="E71" s="46" t="s">
        <v>73</v>
      </c>
      <c r="F71" s="47" t="s">
        <v>81</v>
      </c>
      <c r="G71" s="48" t="s">
        <v>24</v>
      </c>
      <c r="H71" s="57" t="s">
        <v>84</v>
      </c>
      <c r="I71" s="48">
        <v>4000011819</v>
      </c>
      <c r="J71" s="52">
        <v>19.16</v>
      </c>
      <c r="K71" s="50"/>
      <c r="L71" s="52">
        <f t="shared" si="26"/>
        <v>19.16</v>
      </c>
      <c r="M71" s="51">
        <v>0</v>
      </c>
      <c r="N71" s="52">
        <f t="shared" si="27"/>
        <v>0</v>
      </c>
      <c r="O71" s="52">
        <f t="shared" si="28"/>
        <v>19.16</v>
      </c>
      <c r="P71" s="53">
        <f t="shared" si="22"/>
        <v>3.4611702223747674E-2</v>
      </c>
      <c r="Q71" s="52">
        <f t="shared" si="23"/>
        <v>553.57000000000005</v>
      </c>
      <c r="R71" s="54">
        <f t="shared" si="24"/>
        <v>5167.71</v>
      </c>
      <c r="S71" s="52">
        <f t="shared" si="25"/>
        <v>178.86323969868309</v>
      </c>
      <c r="T71" s="48" t="s">
        <v>76</v>
      </c>
      <c r="U71" s="55">
        <v>5599</v>
      </c>
      <c r="V71" s="56">
        <v>490110</v>
      </c>
    </row>
    <row r="72" spans="1:22" ht="15" customHeight="1">
      <c r="A72" s="44" t="s">
        <v>70</v>
      </c>
      <c r="B72" s="45" t="s">
        <v>39</v>
      </c>
      <c r="C72" s="45" t="s">
        <v>113</v>
      </c>
      <c r="D72" s="45" t="s">
        <v>153</v>
      </c>
      <c r="E72" s="46" t="s">
        <v>73</v>
      </c>
      <c r="F72" s="47" t="s">
        <v>74</v>
      </c>
      <c r="G72" s="48" t="s">
        <v>24</v>
      </c>
      <c r="H72" s="57" t="s">
        <v>84</v>
      </c>
      <c r="I72" s="48">
        <v>4000011740</v>
      </c>
      <c r="J72" s="52">
        <v>43.29</v>
      </c>
      <c r="K72" s="50"/>
      <c r="L72" s="52">
        <f t="shared" si="26"/>
        <v>43.29</v>
      </c>
      <c r="M72" s="51">
        <v>0</v>
      </c>
      <c r="N72" s="52">
        <f t="shared" si="27"/>
        <v>0</v>
      </c>
      <c r="O72" s="52">
        <f t="shared" si="28"/>
        <v>43.29</v>
      </c>
      <c r="P72" s="53">
        <f t="shared" si="22"/>
        <v>7.820149213288291E-2</v>
      </c>
      <c r="Q72" s="52">
        <f t="shared" si="23"/>
        <v>553.57000000000005</v>
      </c>
      <c r="R72" s="54">
        <f t="shared" si="24"/>
        <v>5167.71</v>
      </c>
      <c r="S72" s="52">
        <f t="shared" si="25"/>
        <v>404.12263291002034</v>
      </c>
      <c r="T72" s="48" t="s">
        <v>76</v>
      </c>
      <c r="U72" s="55">
        <v>5599</v>
      </c>
      <c r="V72" s="56">
        <v>490110</v>
      </c>
    </row>
    <row r="73" spans="1:22" ht="15" customHeight="1">
      <c r="A73" s="44" t="s">
        <v>70</v>
      </c>
      <c r="B73" s="45" t="s">
        <v>39</v>
      </c>
      <c r="C73" s="45" t="s">
        <v>88</v>
      </c>
      <c r="D73" s="45" t="s">
        <v>154</v>
      </c>
      <c r="E73" s="46" t="s">
        <v>73</v>
      </c>
      <c r="F73" s="58" t="s">
        <v>90</v>
      </c>
      <c r="G73" s="48" t="s">
        <v>24</v>
      </c>
      <c r="H73" s="59" t="s">
        <v>75</v>
      </c>
      <c r="I73" s="60">
        <v>7000000226</v>
      </c>
      <c r="J73" s="61">
        <v>259.5</v>
      </c>
      <c r="K73" s="60">
        <v>10</v>
      </c>
      <c r="L73" s="61">
        <f t="shared" si="26"/>
        <v>269.5</v>
      </c>
      <c r="M73" s="62">
        <v>0.18</v>
      </c>
      <c r="N73" s="61">
        <f t="shared" si="27"/>
        <v>48.51</v>
      </c>
      <c r="O73" s="61">
        <f t="shared" si="28"/>
        <v>318.01</v>
      </c>
      <c r="P73" s="63">
        <v>0</v>
      </c>
      <c r="Q73" s="61">
        <f>O73</f>
        <v>318.01</v>
      </c>
      <c r="R73" s="64">
        <f>Q73</f>
        <v>318.01</v>
      </c>
      <c r="S73" s="61">
        <f>Q73</f>
        <v>318.01</v>
      </c>
      <c r="T73" s="60" t="s">
        <v>91</v>
      </c>
      <c r="U73" s="55">
        <v>5599</v>
      </c>
      <c r="V73" s="56">
        <v>49119990</v>
      </c>
    </row>
    <row r="74" spans="1:22" ht="15" customHeight="1">
      <c r="A74" s="65" t="s">
        <v>70</v>
      </c>
      <c r="B74" s="66" t="s">
        <v>39</v>
      </c>
      <c r="C74" s="66" t="s">
        <v>92</v>
      </c>
      <c r="D74" s="66" t="s">
        <v>93</v>
      </c>
      <c r="E74" s="67" t="s">
        <v>73</v>
      </c>
      <c r="F74" s="68" t="s">
        <v>94</v>
      </c>
      <c r="G74" s="69" t="s">
        <v>24</v>
      </c>
      <c r="H74" s="70" t="s">
        <v>75</v>
      </c>
      <c r="I74" s="71">
        <v>8400007</v>
      </c>
      <c r="J74" s="72">
        <v>96</v>
      </c>
      <c r="K74" s="73"/>
      <c r="L74" s="72">
        <f t="shared" si="26"/>
        <v>96</v>
      </c>
      <c r="M74" s="74">
        <v>0.18</v>
      </c>
      <c r="N74" s="72">
        <f t="shared" si="27"/>
        <v>17.28</v>
      </c>
      <c r="O74" s="72">
        <f t="shared" si="28"/>
        <v>113.28</v>
      </c>
      <c r="P74" s="75">
        <v>0</v>
      </c>
      <c r="Q74" s="72">
        <f>O74</f>
        <v>113.28</v>
      </c>
      <c r="R74" s="76">
        <f>Q74</f>
        <v>113.28</v>
      </c>
      <c r="S74" s="72">
        <f>Q74</f>
        <v>113.28</v>
      </c>
      <c r="T74" s="71" t="s">
        <v>91</v>
      </c>
      <c r="U74" s="77">
        <v>5599</v>
      </c>
      <c r="V74" s="78">
        <v>999299</v>
      </c>
    </row>
    <row r="75" spans="1:22" ht="15" customHeight="1">
      <c r="A75" s="31" t="s">
        <v>70</v>
      </c>
      <c r="B75" s="32" t="s">
        <v>40</v>
      </c>
      <c r="C75" s="32" t="s">
        <v>105</v>
      </c>
      <c r="D75" s="32" t="s">
        <v>155</v>
      </c>
      <c r="E75" s="33" t="s">
        <v>73</v>
      </c>
      <c r="F75" s="34" t="s">
        <v>81</v>
      </c>
      <c r="G75" s="35" t="s">
        <v>24</v>
      </c>
      <c r="H75" s="36" t="s">
        <v>75</v>
      </c>
      <c r="I75" s="35">
        <v>4000011741</v>
      </c>
      <c r="J75" s="39">
        <v>52.4</v>
      </c>
      <c r="K75" s="37"/>
      <c r="L75" s="39">
        <f t="shared" si="26"/>
        <v>52.4</v>
      </c>
      <c r="M75" s="38">
        <v>0</v>
      </c>
      <c r="N75" s="39">
        <f t="shared" si="27"/>
        <v>0</v>
      </c>
      <c r="O75" s="39">
        <f t="shared" si="28"/>
        <v>52.4</v>
      </c>
      <c r="P75" s="40">
        <f t="shared" ref="P75:P87" si="29">IFERROR(O75/Q75,"")</f>
        <v>9.349963420944632E-2</v>
      </c>
      <c r="Q75" s="39">
        <f t="shared" ref="Q75:Q87" si="30">SUMIFS(O:O,T:T,T75,B:B,B75,A:A,A75,G:G,G75,E:E,E75)</f>
        <v>560.42999999999995</v>
      </c>
      <c r="R75" s="41">
        <f t="shared" ref="R75:R87" si="31">U75-SUMIFS(Q:Q,A:A,A75,B:B,B75,G:G,G75,E:E,E75,T:T,"Fixed Price ( Base Price with GST)")</f>
        <v>5235.8500000000004</v>
      </c>
      <c r="S75" s="39">
        <f t="shared" ref="S75:S87" si="32">P75*R75</f>
        <v>489.55005977552952</v>
      </c>
      <c r="T75" s="35" t="s">
        <v>76</v>
      </c>
      <c r="U75" s="42">
        <v>5699</v>
      </c>
      <c r="V75" s="43">
        <v>490110</v>
      </c>
    </row>
    <row r="76" spans="1:22" ht="15" customHeight="1">
      <c r="A76" s="44" t="s">
        <v>70</v>
      </c>
      <c r="B76" s="45" t="s">
        <v>40</v>
      </c>
      <c r="C76" s="45" t="s">
        <v>105</v>
      </c>
      <c r="D76" s="45" t="s">
        <v>156</v>
      </c>
      <c r="E76" s="46" t="s">
        <v>73</v>
      </c>
      <c r="F76" s="47" t="s">
        <v>81</v>
      </c>
      <c r="G76" s="48" t="s">
        <v>24</v>
      </c>
      <c r="H76" s="49" t="s">
        <v>75</v>
      </c>
      <c r="I76" s="48">
        <v>4000011742</v>
      </c>
      <c r="J76" s="52">
        <v>21.96</v>
      </c>
      <c r="K76" s="50"/>
      <c r="L76" s="52">
        <f t="shared" si="26"/>
        <v>21.96</v>
      </c>
      <c r="M76" s="51">
        <v>0</v>
      </c>
      <c r="N76" s="52">
        <f t="shared" si="27"/>
        <v>0</v>
      </c>
      <c r="O76" s="52">
        <f t="shared" si="28"/>
        <v>21.96</v>
      </c>
      <c r="P76" s="53">
        <f t="shared" si="29"/>
        <v>3.9184197848080943E-2</v>
      </c>
      <c r="Q76" s="52">
        <f t="shared" si="30"/>
        <v>560.42999999999995</v>
      </c>
      <c r="R76" s="54">
        <f t="shared" si="31"/>
        <v>5235.8500000000004</v>
      </c>
      <c r="S76" s="52">
        <f t="shared" si="32"/>
        <v>205.16258230287463</v>
      </c>
      <c r="T76" s="48" t="s">
        <v>76</v>
      </c>
      <c r="U76" s="55">
        <v>5699</v>
      </c>
      <c r="V76" s="56">
        <v>490110</v>
      </c>
    </row>
    <row r="77" spans="1:22" ht="15" customHeight="1">
      <c r="A77" s="44" t="s">
        <v>70</v>
      </c>
      <c r="B77" s="45" t="s">
        <v>40</v>
      </c>
      <c r="C77" s="45" t="s">
        <v>71</v>
      </c>
      <c r="D77" s="45" t="s">
        <v>157</v>
      </c>
      <c r="E77" s="46" t="s">
        <v>73</v>
      </c>
      <c r="F77" s="47" t="s">
        <v>74</v>
      </c>
      <c r="G77" s="48" t="s">
        <v>24</v>
      </c>
      <c r="H77" s="49" t="s">
        <v>75</v>
      </c>
      <c r="I77" s="48">
        <v>4000011743</v>
      </c>
      <c r="J77" s="52">
        <v>54.96</v>
      </c>
      <c r="K77" s="50"/>
      <c r="L77" s="52">
        <f t="shared" si="26"/>
        <v>54.96</v>
      </c>
      <c r="M77" s="51">
        <v>0</v>
      </c>
      <c r="N77" s="52">
        <f t="shared" si="27"/>
        <v>0</v>
      </c>
      <c r="O77" s="52">
        <f t="shared" si="28"/>
        <v>54.96</v>
      </c>
      <c r="P77" s="53">
        <f t="shared" si="29"/>
        <v>9.8067555270060502E-2</v>
      </c>
      <c r="Q77" s="52">
        <f t="shared" si="30"/>
        <v>560.42999999999995</v>
      </c>
      <c r="R77" s="54">
        <f t="shared" si="31"/>
        <v>5235.8500000000004</v>
      </c>
      <c r="S77" s="52">
        <f t="shared" si="32"/>
        <v>513.46700926074629</v>
      </c>
      <c r="T77" s="48" t="s">
        <v>76</v>
      </c>
      <c r="U77" s="55">
        <v>5699</v>
      </c>
      <c r="V77" s="56">
        <v>490110</v>
      </c>
    </row>
    <row r="78" spans="1:22" ht="15" customHeight="1">
      <c r="A78" s="44" t="s">
        <v>70</v>
      </c>
      <c r="B78" s="45" t="s">
        <v>40</v>
      </c>
      <c r="C78" s="45" t="s">
        <v>78</v>
      </c>
      <c r="D78" s="45" t="s">
        <v>158</v>
      </c>
      <c r="E78" s="46" t="s">
        <v>73</v>
      </c>
      <c r="F78" s="47" t="s">
        <v>74</v>
      </c>
      <c r="G78" s="48" t="s">
        <v>24</v>
      </c>
      <c r="H78" s="49" t="s">
        <v>75</v>
      </c>
      <c r="I78" s="48">
        <v>4000011745</v>
      </c>
      <c r="J78" s="52">
        <v>19.91</v>
      </c>
      <c r="K78" s="50"/>
      <c r="L78" s="52">
        <f t="shared" si="26"/>
        <v>19.91</v>
      </c>
      <c r="M78" s="51">
        <v>0</v>
      </c>
      <c r="N78" s="52">
        <f t="shared" si="27"/>
        <v>0</v>
      </c>
      <c r="O78" s="52">
        <f t="shared" si="28"/>
        <v>19.91</v>
      </c>
      <c r="P78" s="53">
        <f t="shared" si="29"/>
        <v>3.5526292311260997E-2</v>
      </c>
      <c r="Q78" s="52">
        <f t="shared" si="30"/>
        <v>560.42999999999995</v>
      </c>
      <c r="R78" s="54">
        <f t="shared" si="31"/>
        <v>5235.8500000000004</v>
      </c>
      <c r="S78" s="52">
        <f t="shared" si="32"/>
        <v>186.01033759791591</v>
      </c>
      <c r="T78" s="48" t="s">
        <v>76</v>
      </c>
      <c r="U78" s="55">
        <v>5699</v>
      </c>
      <c r="V78" s="56">
        <v>490110</v>
      </c>
    </row>
    <row r="79" spans="1:22" ht="15" customHeight="1">
      <c r="A79" s="44" t="s">
        <v>70</v>
      </c>
      <c r="B79" s="45" t="s">
        <v>40</v>
      </c>
      <c r="C79" s="45" t="s">
        <v>78</v>
      </c>
      <c r="D79" s="45" t="s">
        <v>159</v>
      </c>
      <c r="E79" s="46" t="s">
        <v>73</v>
      </c>
      <c r="F79" s="47" t="s">
        <v>74</v>
      </c>
      <c r="G79" s="48" t="s">
        <v>24</v>
      </c>
      <c r="H79" s="49" t="s">
        <v>75</v>
      </c>
      <c r="I79" s="48">
        <v>4000011744</v>
      </c>
      <c r="J79" s="52">
        <v>57.51</v>
      </c>
      <c r="K79" s="50"/>
      <c r="L79" s="52">
        <f t="shared" si="26"/>
        <v>57.51</v>
      </c>
      <c r="M79" s="51">
        <v>0</v>
      </c>
      <c r="N79" s="52">
        <f t="shared" si="27"/>
        <v>0</v>
      </c>
      <c r="O79" s="52">
        <f t="shared" si="28"/>
        <v>57.51</v>
      </c>
      <c r="P79" s="53">
        <f t="shared" si="29"/>
        <v>0.10261763288903164</v>
      </c>
      <c r="Q79" s="52">
        <f t="shared" si="30"/>
        <v>560.42999999999995</v>
      </c>
      <c r="R79" s="54">
        <f t="shared" si="31"/>
        <v>5235.8500000000004</v>
      </c>
      <c r="S79" s="52">
        <f t="shared" si="32"/>
        <v>537.29053316203635</v>
      </c>
      <c r="T79" s="48" t="s">
        <v>76</v>
      </c>
      <c r="U79" s="55">
        <v>5699</v>
      </c>
      <c r="V79" s="56">
        <v>490110</v>
      </c>
    </row>
    <row r="80" spans="1:22" ht="15" customHeight="1">
      <c r="A80" s="44" t="s">
        <v>70</v>
      </c>
      <c r="B80" s="45" t="s">
        <v>40</v>
      </c>
      <c r="C80" s="45" t="s">
        <v>78</v>
      </c>
      <c r="D80" s="45" t="s">
        <v>160</v>
      </c>
      <c r="E80" s="46" t="s">
        <v>73</v>
      </c>
      <c r="F80" s="47" t="s">
        <v>74</v>
      </c>
      <c r="G80" s="48" t="s">
        <v>24</v>
      </c>
      <c r="H80" s="49" t="s">
        <v>75</v>
      </c>
      <c r="I80" s="48">
        <v>4000011746</v>
      </c>
      <c r="J80" s="52">
        <v>15.85</v>
      </c>
      <c r="K80" s="50"/>
      <c r="L80" s="52">
        <f t="shared" si="26"/>
        <v>15.85</v>
      </c>
      <c r="M80" s="51">
        <v>0</v>
      </c>
      <c r="N80" s="52">
        <f t="shared" si="27"/>
        <v>0</v>
      </c>
      <c r="O80" s="52">
        <f t="shared" si="28"/>
        <v>15.85</v>
      </c>
      <c r="P80" s="53">
        <f t="shared" si="29"/>
        <v>2.828185500419321E-2</v>
      </c>
      <c r="Q80" s="52">
        <f t="shared" si="30"/>
        <v>560.42999999999995</v>
      </c>
      <c r="R80" s="54">
        <f t="shared" si="31"/>
        <v>5235.8500000000004</v>
      </c>
      <c r="S80" s="52">
        <f t="shared" si="32"/>
        <v>148.07955052370502</v>
      </c>
      <c r="T80" s="48" t="s">
        <v>76</v>
      </c>
      <c r="U80" s="55">
        <v>5699</v>
      </c>
      <c r="V80" s="56">
        <v>490110</v>
      </c>
    </row>
    <row r="81" spans="1:22" ht="15" customHeight="1">
      <c r="A81" s="44" t="s">
        <v>70</v>
      </c>
      <c r="B81" s="45" t="s">
        <v>40</v>
      </c>
      <c r="C81" s="45" t="s">
        <v>161</v>
      </c>
      <c r="D81" s="45" t="s">
        <v>162</v>
      </c>
      <c r="E81" s="46" t="s">
        <v>73</v>
      </c>
      <c r="F81" s="47" t="s">
        <v>74</v>
      </c>
      <c r="G81" s="48" t="s">
        <v>24</v>
      </c>
      <c r="H81" s="49" t="s">
        <v>75</v>
      </c>
      <c r="I81" s="48">
        <v>4000011748</v>
      </c>
      <c r="J81" s="52">
        <v>70.11</v>
      </c>
      <c r="K81" s="50"/>
      <c r="L81" s="52">
        <f t="shared" si="26"/>
        <v>70.11</v>
      </c>
      <c r="M81" s="51">
        <v>0</v>
      </c>
      <c r="N81" s="52">
        <f t="shared" si="27"/>
        <v>0</v>
      </c>
      <c r="O81" s="52">
        <f t="shared" si="28"/>
        <v>70.11</v>
      </c>
      <c r="P81" s="53">
        <f t="shared" si="29"/>
        <v>0.12510036935924201</v>
      </c>
      <c r="Q81" s="52">
        <f t="shared" si="30"/>
        <v>560.42999999999995</v>
      </c>
      <c r="R81" s="54">
        <f t="shared" si="31"/>
        <v>5235.8500000000004</v>
      </c>
      <c r="S81" s="52">
        <f t="shared" si="32"/>
        <v>655.00676890958732</v>
      </c>
      <c r="T81" s="48" t="s">
        <v>76</v>
      </c>
      <c r="U81" s="55">
        <v>5699</v>
      </c>
      <c r="V81" s="56">
        <v>490110</v>
      </c>
    </row>
    <row r="82" spans="1:22" ht="15" customHeight="1">
      <c r="A82" s="44" t="s">
        <v>70</v>
      </c>
      <c r="B82" s="45" t="s">
        <v>40</v>
      </c>
      <c r="C82" s="45" t="s">
        <v>105</v>
      </c>
      <c r="D82" s="45" t="s">
        <v>163</v>
      </c>
      <c r="E82" s="46" t="s">
        <v>73</v>
      </c>
      <c r="F82" s="47" t="s">
        <v>81</v>
      </c>
      <c r="G82" s="48" t="s">
        <v>24</v>
      </c>
      <c r="H82" s="57" t="s">
        <v>84</v>
      </c>
      <c r="I82" s="48">
        <v>4000011749</v>
      </c>
      <c r="J82" s="52">
        <v>54.96</v>
      </c>
      <c r="K82" s="50"/>
      <c r="L82" s="52">
        <f t="shared" si="26"/>
        <v>54.96</v>
      </c>
      <c r="M82" s="51">
        <v>0</v>
      </c>
      <c r="N82" s="52">
        <f t="shared" si="27"/>
        <v>0</v>
      </c>
      <c r="O82" s="52">
        <f t="shared" si="28"/>
        <v>54.96</v>
      </c>
      <c r="P82" s="53">
        <f t="shared" si="29"/>
        <v>9.8067555270060502E-2</v>
      </c>
      <c r="Q82" s="52">
        <f t="shared" si="30"/>
        <v>560.42999999999995</v>
      </c>
      <c r="R82" s="54">
        <f t="shared" si="31"/>
        <v>5235.8500000000004</v>
      </c>
      <c r="S82" s="52">
        <f t="shared" si="32"/>
        <v>513.46700926074629</v>
      </c>
      <c r="T82" s="48" t="s">
        <v>76</v>
      </c>
      <c r="U82" s="55">
        <v>5699</v>
      </c>
      <c r="V82" s="56">
        <v>490110</v>
      </c>
    </row>
    <row r="83" spans="1:22" ht="15" customHeight="1">
      <c r="A83" s="44" t="s">
        <v>70</v>
      </c>
      <c r="B83" s="45" t="s">
        <v>40</v>
      </c>
      <c r="C83" s="45" t="s">
        <v>105</v>
      </c>
      <c r="D83" s="45" t="s">
        <v>164</v>
      </c>
      <c r="E83" s="46" t="s">
        <v>73</v>
      </c>
      <c r="F83" s="47" t="s">
        <v>81</v>
      </c>
      <c r="G83" s="48" t="s">
        <v>24</v>
      </c>
      <c r="H83" s="57" t="s">
        <v>84</v>
      </c>
      <c r="I83" s="48">
        <v>4000011750</v>
      </c>
      <c r="J83" s="52">
        <v>20.59</v>
      </c>
      <c r="K83" s="50"/>
      <c r="L83" s="52">
        <f t="shared" si="26"/>
        <v>20.59</v>
      </c>
      <c r="M83" s="51">
        <v>0</v>
      </c>
      <c r="N83" s="52">
        <f t="shared" si="27"/>
        <v>0</v>
      </c>
      <c r="O83" s="52">
        <f t="shared" si="28"/>
        <v>20.59</v>
      </c>
      <c r="P83" s="53">
        <f t="shared" si="29"/>
        <v>3.673964634298664E-2</v>
      </c>
      <c r="Q83" s="52">
        <f t="shared" si="30"/>
        <v>560.42999999999995</v>
      </c>
      <c r="R83" s="54">
        <f t="shared" si="31"/>
        <v>5235.8500000000004</v>
      </c>
      <c r="S83" s="52">
        <f t="shared" si="32"/>
        <v>192.36327730492661</v>
      </c>
      <c r="T83" s="48" t="s">
        <v>76</v>
      </c>
      <c r="U83" s="55">
        <v>5699</v>
      </c>
      <c r="V83" s="56">
        <v>490110</v>
      </c>
    </row>
    <row r="84" spans="1:22" ht="15" customHeight="1">
      <c r="A84" s="44" t="s">
        <v>70</v>
      </c>
      <c r="B84" s="45" t="s">
        <v>40</v>
      </c>
      <c r="C84" s="45" t="s">
        <v>71</v>
      </c>
      <c r="D84" s="45" t="s">
        <v>165</v>
      </c>
      <c r="E84" s="46" t="s">
        <v>73</v>
      </c>
      <c r="F84" s="47" t="s">
        <v>74</v>
      </c>
      <c r="G84" s="48" t="s">
        <v>24</v>
      </c>
      <c r="H84" s="57" t="s">
        <v>84</v>
      </c>
      <c r="I84" s="48">
        <v>4000011751</v>
      </c>
      <c r="J84" s="52">
        <v>60.05</v>
      </c>
      <c r="K84" s="50"/>
      <c r="L84" s="52">
        <f t="shared" si="26"/>
        <v>60.05</v>
      </c>
      <c r="M84" s="51">
        <v>0</v>
      </c>
      <c r="N84" s="52">
        <f t="shared" si="27"/>
        <v>0</v>
      </c>
      <c r="O84" s="52">
        <f t="shared" si="28"/>
        <v>60.05</v>
      </c>
      <c r="P84" s="53">
        <f t="shared" si="29"/>
        <v>0.10714986706635976</v>
      </c>
      <c r="Q84" s="52">
        <f t="shared" si="30"/>
        <v>560.42999999999995</v>
      </c>
      <c r="R84" s="54">
        <f t="shared" si="31"/>
        <v>5235.8500000000004</v>
      </c>
      <c r="S84" s="52">
        <f t="shared" si="32"/>
        <v>561.02063147939975</v>
      </c>
      <c r="T84" s="48" t="s">
        <v>76</v>
      </c>
      <c r="U84" s="55">
        <v>5699</v>
      </c>
      <c r="V84" s="56">
        <v>490110</v>
      </c>
    </row>
    <row r="85" spans="1:22" ht="15" customHeight="1">
      <c r="A85" s="44" t="s">
        <v>70</v>
      </c>
      <c r="B85" s="45" t="s">
        <v>40</v>
      </c>
      <c r="C85" s="45" t="s">
        <v>78</v>
      </c>
      <c r="D85" s="45" t="s">
        <v>166</v>
      </c>
      <c r="E85" s="46" t="s">
        <v>73</v>
      </c>
      <c r="F85" s="47" t="s">
        <v>74</v>
      </c>
      <c r="G85" s="48" t="s">
        <v>24</v>
      </c>
      <c r="H85" s="57" t="s">
        <v>84</v>
      </c>
      <c r="I85" s="48">
        <v>4000011752</v>
      </c>
      <c r="J85" s="52">
        <v>53.42</v>
      </c>
      <c r="K85" s="50"/>
      <c r="L85" s="52">
        <f t="shared" si="26"/>
        <v>53.42</v>
      </c>
      <c r="M85" s="51">
        <v>0</v>
      </c>
      <c r="N85" s="52">
        <f t="shared" si="27"/>
        <v>0</v>
      </c>
      <c r="O85" s="52">
        <f t="shared" si="28"/>
        <v>53.42</v>
      </c>
      <c r="P85" s="53">
        <f t="shared" si="29"/>
        <v>9.5319665257034794E-2</v>
      </c>
      <c r="Q85" s="52">
        <f t="shared" si="30"/>
        <v>560.42999999999995</v>
      </c>
      <c r="R85" s="54">
        <f t="shared" si="31"/>
        <v>5235.8500000000004</v>
      </c>
      <c r="S85" s="52">
        <f t="shared" si="32"/>
        <v>499.07946933604563</v>
      </c>
      <c r="T85" s="48" t="s">
        <v>76</v>
      </c>
      <c r="U85" s="55">
        <v>5699</v>
      </c>
      <c r="V85" s="56">
        <v>490110</v>
      </c>
    </row>
    <row r="86" spans="1:22" ht="15" customHeight="1">
      <c r="A86" s="44" t="s">
        <v>70</v>
      </c>
      <c r="B86" s="45" t="s">
        <v>40</v>
      </c>
      <c r="C86" s="45" t="s">
        <v>78</v>
      </c>
      <c r="D86" s="45" t="s">
        <v>167</v>
      </c>
      <c r="E86" s="46" t="s">
        <v>73</v>
      </c>
      <c r="F86" s="47" t="s">
        <v>74</v>
      </c>
      <c r="G86" s="48" t="s">
        <v>24</v>
      </c>
      <c r="H86" s="57" t="s">
        <v>84</v>
      </c>
      <c r="I86" s="48">
        <v>4000011753</v>
      </c>
      <c r="J86" s="52">
        <v>18.66</v>
      </c>
      <c r="K86" s="50"/>
      <c r="L86" s="52">
        <f t="shared" si="26"/>
        <v>18.66</v>
      </c>
      <c r="M86" s="51">
        <v>0</v>
      </c>
      <c r="N86" s="52">
        <f t="shared" si="27"/>
        <v>0</v>
      </c>
      <c r="O86" s="52">
        <f t="shared" si="28"/>
        <v>18.66</v>
      </c>
      <c r="P86" s="53">
        <f t="shared" si="29"/>
        <v>3.3295862105882985E-2</v>
      </c>
      <c r="Q86" s="52">
        <f t="shared" si="30"/>
        <v>560.42999999999995</v>
      </c>
      <c r="R86" s="54">
        <f t="shared" si="31"/>
        <v>5235.8500000000004</v>
      </c>
      <c r="S86" s="52">
        <f t="shared" si="32"/>
        <v>174.33213960708744</v>
      </c>
      <c r="T86" s="48" t="s">
        <v>76</v>
      </c>
      <c r="U86" s="55">
        <v>5699</v>
      </c>
      <c r="V86" s="56">
        <v>490110</v>
      </c>
    </row>
    <row r="87" spans="1:22" ht="15" customHeight="1">
      <c r="A87" s="44" t="s">
        <v>70</v>
      </c>
      <c r="B87" s="45" t="s">
        <v>40</v>
      </c>
      <c r="C87" s="45" t="s">
        <v>161</v>
      </c>
      <c r="D87" s="45" t="s">
        <v>168</v>
      </c>
      <c r="E87" s="46" t="s">
        <v>73</v>
      </c>
      <c r="F87" s="47" t="s">
        <v>74</v>
      </c>
      <c r="G87" s="48" t="s">
        <v>24</v>
      </c>
      <c r="H87" s="57" t="s">
        <v>84</v>
      </c>
      <c r="I87" s="48">
        <v>4000011754</v>
      </c>
      <c r="J87" s="52">
        <v>60.05</v>
      </c>
      <c r="K87" s="50"/>
      <c r="L87" s="52">
        <f t="shared" si="26"/>
        <v>60.05</v>
      </c>
      <c r="M87" s="51">
        <v>0</v>
      </c>
      <c r="N87" s="52">
        <f t="shared" si="27"/>
        <v>0</v>
      </c>
      <c r="O87" s="52">
        <f t="shared" si="28"/>
        <v>60.05</v>
      </c>
      <c r="P87" s="53">
        <f t="shared" si="29"/>
        <v>0.10714986706635976</v>
      </c>
      <c r="Q87" s="52">
        <f t="shared" si="30"/>
        <v>560.42999999999995</v>
      </c>
      <c r="R87" s="54">
        <f t="shared" si="31"/>
        <v>5235.8500000000004</v>
      </c>
      <c r="S87" s="52">
        <f t="shared" si="32"/>
        <v>561.02063147939975</v>
      </c>
      <c r="T87" s="48" t="s">
        <v>76</v>
      </c>
      <c r="U87" s="55">
        <v>5699</v>
      </c>
      <c r="V87" s="56">
        <v>490110</v>
      </c>
    </row>
    <row r="88" spans="1:22" ht="15" customHeight="1">
      <c r="A88" s="44" t="s">
        <v>70</v>
      </c>
      <c r="B88" s="45" t="s">
        <v>40</v>
      </c>
      <c r="C88" s="45" t="s">
        <v>88</v>
      </c>
      <c r="D88" s="45" t="s">
        <v>169</v>
      </c>
      <c r="E88" s="46" t="s">
        <v>73</v>
      </c>
      <c r="F88" s="58" t="s">
        <v>90</v>
      </c>
      <c r="G88" s="48" t="s">
        <v>24</v>
      </c>
      <c r="H88" s="59" t="s">
        <v>75</v>
      </c>
      <c r="I88" s="60">
        <v>7000000218</v>
      </c>
      <c r="J88" s="61">
        <v>286.5</v>
      </c>
      <c r="K88" s="60">
        <v>10</v>
      </c>
      <c r="L88" s="61">
        <f t="shared" si="26"/>
        <v>296.5</v>
      </c>
      <c r="M88" s="62">
        <v>0.18</v>
      </c>
      <c r="N88" s="61">
        <f t="shared" si="27"/>
        <v>53.37</v>
      </c>
      <c r="O88" s="61">
        <f t="shared" si="28"/>
        <v>349.87</v>
      </c>
      <c r="P88" s="63">
        <v>0</v>
      </c>
      <c r="Q88" s="61">
        <f>O88</f>
        <v>349.87</v>
      </c>
      <c r="R88" s="64">
        <f>Q88</f>
        <v>349.87</v>
      </c>
      <c r="S88" s="61">
        <f>Q88</f>
        <v>349.87</v>
      </c>
      <c r="T88" s="60" t="s">
        <v>91</v>
      </c>
      <c r="U88" s="55">
        <v>5699</v>
      </c>
      <c r="V88" s="56">
        <v>49119990</v>
      </c>
    </row>
    <row r="89" spans="1:22" ht="15" customHeight="1">
      <c r="A89" s="65" t="s">
        <v>70</v>
      </c>
      <c r="B89" s="66" t="s">
        <v>40</v>
      </c>
      <c r="C89" s="66" t="s">
        <v>92</v>
      </c>
      <c r="D89" s="66" t="s">
        <v>93</v>
      </c>
      <c r="E89" s="67" t="s">
        <v>73</v>
      </c>
      <c r="F89" s="68" t="s">
        <v>94</v>
      </c>
      <c r="G89" s="69" t="s">
        <v>24</v>
      </c>
      <c r="H89" s="70" t="s">
        <v>75</v>
      </c>
      <c r="I89" s="71">
        <v>8400007</v>
      </c>
      <c r="J89" s="72">
        <v>96</v>
      </c>
      <c r="K89" s="73"/>
      <c r="L89" s="72">
        <f t="shared" si="26"/>
        <v>96</v>
      </c>
      <c r="M89" s="74">
        <v>0.18</v>
      </c>
      <c r="N89" s="72">
        <f t="shared" si="27"/>
        <v>17.28</v>
      </c>
      <c r="O89" s="72">
        <f t="shared" si="28"/>
        <v>113.28</v>
      </c>
      <c r="P89" s="75">
        <v>0</v>
      </c>
      <c r="Q89" s="72">
        <f>O89</f>
        <v>113.28</v>
      </c>
      <c r="R89" s="76">
        <f>Q89</f>
        <v>113.28</v>
      </c>
      <c r="S89" s="72">
        <f>Q89</f>
        <v>113.28</v>
      </c>
      <c r="T89" s="71" t="s">
        <v>91</v>
      </c>
      <c r="U89" s="77">
        <v>5699</v>
      </c>
      <c r="V89" s="78">
        <v>999299</v>
      </c>
    </row>
    <row r="90" spans="1:22" ht="15" customHeight="1">
      <c r="A90" s="31" t="s">
        <v>70</v>
      </c>
      <c r="B90" s="32" t="s">
        <v>41</v>
      </c>
      <c r="C90" s="32" t="s">
        <v>105</v>
      </c>
      <c r="D90" s="32" t="s">
        <v>170</v>
      </c>
      <c r="E90" s="33" t="s">
        <v>73</v>
      </c>
      <c r="F90" s="34" t="s">
        <v>81</v>
      </c>
      <c r="G90" s="35" t="s">
        <v>24</v>
      </c>
      <c r="H90" s="36" t="s">
        <v>75</v>
      </c>
      <c r="I90" s="35">
        <v>4000011755</v>
      </c>
      <c r="J90" s="39">
        <v>51.85</v>
      </c>
      <c r="K90" s="37"/>
      <c r="L90" s="39">
        <f t="shared" si="26"/>
        <v>51.85</v>
      </c>
      <c r="M90" s="38">
        <v>0</v>
      </c>
      <c r="N90" s="39">
        <f t="shared" si="27"/>
        <v>0</v>
      </c>
      <c r="O90" s="39">
        <f t="shared" si="28"/>
        <v>51.85</v>
      </c>
      <c r="P90" s="40">
        <f t="shared" ref="P90:P102" si="33">IFERROR(O90/Q90,"")</f>
        <v>7.736958338307269E-2</v>
      </c>
      <c r="Q90" s="39">
        <f t="shared" ref="Q90:Q102" si="34">SUMIFS(O:O,T:T,T90,B:B,B90,A:A,A90,G:G,G90,E:E,E90)</f>
        <v>670.16000000000008</v>
      </c>
      <c r="R90" s="41">
        <f t="shared" ref="R90:R102" si="35">U90-SUMIFS(Q:Q,A:A,A90,B:B,B90,G:G,G90,E:E,E90,T:T,"Fixed Price ( Base Price with GST)")</f>
        <v>5233.1360000000004</v>
      </c>
      <c r="S90" s="39">
        <f t="shared" ref="S90:S102" si="36">P90*R90</f>
        <v>404.88555210695949</v>
      </c>
      <c r="T90" s="35" t="s">
        <v>76</v>
      </c>
      <c r="U90" s="42">
        <v>5699</v>
      </c>
      <c r="V90" s="43">
        <v>490110</v>
      </c>
    </row>
    <row r="91" spans="1:22" ht="15" customHeight="1">
      <c r="A91" s="44" t="s">
        <v>70</v>
      </c>
      <c r="B91" s="45" t="s">
        <v>41</v>
      </c>
      <c r="C91" s="45" t="s">
        <v>105</v>
      </c>
      <c r="D91" s="45" t="s">
        <v>171</v>
      </c>
      <c r="E91" s="46" t="s">
        <v>73</v>
      </c>
      <c r="F91" s="47" t="s">
        <v>81</v>
      </c>
      <c r="G91" s="48" t="s">
        <v>24</v>
      </c>
      <c r="H91" s="49" t="s">
        <v>75</v>
      </c>
      <c r="I91" s="48">
        <v>4000011756</v>
      </c>
      <c r="J91" s="52">
        <v>22.42</v>
      </c>
      <c r="K91" s="50"/>
      <c r="L91" s="52">
        <f t="shared" si="26"/>
        <v>22.42</v>
      </c>
      <c r="M91" s="51">
        <v>0</v>
      </c>
      <c r="N91" s="52">
        <f t="shared" si="27"/>
        <v>0</v>
      </c>
      <c r="O91" s="52">
        <f t="shared" si="28"/>
        <v>22.42</v>
      </c>
      <c r="P91" s="53">
        <f t="shared" si="33"/>
        <v>3.3454697385698937E-2</v>
      </c>
      <c r="Q91" s="52">
        <f t="shared" si="34"/>
        <v>670.16000000000008</v>
      </c>
      <c r="R91" s="54">
        <f t="shared" si="35"/>
        <v>5233.1360000000004</v>
      </c>
      <c r="S91" s="52">
        <f t="shared" si="36"/>
        <v>175.07298125820699</v>
      </c>
      <c r="T91" s="48" t="s">
        <v>76</v>
      </c>
      <c r="U91" s="55">
        <v>5699</v>
      </c>
      <c r="V91" s="56">
        <v>490110</v>
      </c>
    </row>
    <row r="92" spans="1:22" ht="15" customHeight="1">
      <c r="A92" s="44" t="s">
        <v>70</v>
      </c>
      <c r="B92" s="45" t="s">
        <v>41</v>
      </c>
      <c r="C92" s="45" t="s">
        <v>71</v>
      </c>
      <c r="D92" s="45" t="s">
        <v>172</v>
      </c>
      <c r="E92" s="46" t="s">
        <v>73</v>
      </c>
      <c r="F92" s="47" t="s">
        <v>74</v>
      </c>
      <c r="G92" s="48" t="s">
        <v>24</v>
      </c>
      <c r="H92" s="49" t="s">
        <v>75</v>
      </c>
      <c r="I92" s="48">
        <v>4000011757</v>
      </c>
      <c r="J92" s="52">
        <v>72.88</v>
      </c>
      <c r="K92" s="50"/>
      <c r="L92" s="52">
        <f t="shared" si="26"/>
        <v>72.88</v>
      </c>
      <c r="M92" s="51">
        <v>0</v>
      </c>
      <c r="N92" s="52">
        <f t="shared" si="27"/>
        <v>0</v>
      </c>
      <c r="O92" s="52">
        <f t="shared" si="28"/>
        <v>72.88</v>
      </c>
      <c r="P92" s="53">
        <f t="shared" si="33"/>
        <v>0.10875014921809716</v>
      </c>
      <c r="Q92" s="52">
        <f t="shared" si="34"/>
        <v>670.16000000000008</v>
      </c>
      <c r="R92" s="54">
        <f t="shared" si="35"/>
        <v>5233.1360000000004</v>
      </c>
      <c r="S92" s="52">
        <f t="shared" si="36"/>
        <v>569.10432087859613</v>
      </c>
      <c r="T92" s="48" t="s">
        <v>76</v>
      </c>
      <c r="U92" s="55">
        <v>5699</v>
      </c>
      <c r="V92" s="56">
        <v>490110</v>
      </c>
    </row>
    <row r="93" spans="1:22" ht="15" customHeight="1">
      <c r="A93" s="44" t="s">
        <v>70</v>
      </c>
      <c r="B93" s="45" t="s">
        <v>41</v>
      </c>
      <c r="C93" s="45" t="s">
        <v>78</v>
      </c>
      <c r="D93" s="45" t="s">
        <v>173</v>
      </c>
      <c r="E93" s="46" t="s">
        <v>73</v>
      </c>
      <c r="F93" s="47" t="s">
        <v>74</v>
      </c>
      <c r="G93" s="48" t="s">
        <v>24</v>
      </c>
      <c r="H93" s="49" t="s">
        <v>75</v>
      </c>
      <c r="I93" s="48">
        <v>4000011760</v>
      </c>
      <c r="J93" s="52">
        <v>18.559999999999999</v>
      </c>
      <c r="K93" s="50"/>
      <c r="L93" s="52">
        <f t="shared" si="26"/>
        <v>18.559999999999999</v>
      </c>
      <c r="M93" s="51">
        <v>0</v>
      </c>
      <c r="N93" s="52">
        <f t="shared" si="27"/>
        <v>0</v>
      </c>
      <c r="O93" s="52">
        <f t="shared" si="28"/>
        <v>18.559999999999999</v>
      </c>
      <c r="P93" s="53">
        <f t="shared" si="33"/>
        <v>2.7694878834905092E-2</v>
      </c>
      <c r="Q93" s="52">
        <f t="shared" si="34"/>
        <v>670.16000000000008</v>
      </c>
      <c r="R93" s="54">
        <f t="shared" si="35"/>
        <v>5233.1360000000004</v>
      </c>
      <c r="S93" s="52">
        <f t="shared" si="36"/>
        <v>144.9310674465799</v>
      </c>
      <c r="T93" s="48" t="s">
        <v>76</v>
      </c>
      <c r="U93" s="55">
        <v>5699</v>
      </c>
      <c r="V93" s="56">
        <v>490110</v>
      </c>
    </row>
    <row r="94" spans="1:22" ht="15" customHeight="1">
      <c r="A94" s="44" t="s">
        <v>70</v>
      </c>
      <c r="B94" s="45" t="s">
        <v>41</v>
      </c>
      <c r="C94" s="45" t="s">
        <v>78</v>
      </c>
      <c r="D94" s="45" t="s">
        <v>174</v>
      </c>
      <c r="E94" s="46" t="s">
        <v>73</v>
      </c>
      <c r="F94" s="47" t="s">
        <v>74</v>
      </c>
      <c r="G94" s="48" t="s">
        <v>24</v>
      </c>
      <c r="H94" s="49" t="s">
        <v>75</v>
      </c>
      <c r="I94" s="48">
        <v>4000011759</v>
      </c>
      <c r="J94" s="52">
        <v>59.69</v>
      </c>
      <c r="K94" s="50"/>
      <c r="L94" s="52">
        <f t="shared" si="26"/>
        <v>59.69</v>
      </c>
      <c r="M94" s="51">
        <v>0</v>
      </c>
      <c r="N94" s="52">
        <f t="shared" si="27"/>
        <v>0</v>
      </c>
      <c r="O94" s="52">
        <f t="shared" si="28"/>
        <v>59.69</v>
      </c>
      <c r="P94" s="53">
        <f t="shared" si="33"/>
        <v>8.906828220126535E-2</v>
      </c>
      <c r="Q94" s="52">
        <f t="shared" si="34"/>
        <v>670.16000000000008</v>
      </c>
      <c r="R94" s="54">
        <f t="shared" si="35"/>
        <v>5233.1360000000004</v>
      </c>
      <c r="S94" s="52">
        <f t="shared" si="36"/>
        <v>466.10643404560096</v>
      </c>
      <c r="T94" s="48" t="s">
        <v>76</v>
      </c>
      <c r="U94" s="55">
        <v>5699</v>
      </c>
      <c r="V94" s="56">
        <v>490110</v>
      </c>
    </row>
    <row r="95" spans="1:22" ht="15" customHeight="1">
      <c r="A95" s="44" t="s">
        <v>70</v>
      </c>
      <c r="B95" s="45" t="s">
        <v>41</v>
      </c>
      <c r="C95" s="45" t="s">
        <v>78</v>
      </c>
      <c r="D95" s="45" t="s">
        <v>175</v>
      </c>
      <c r="E95" s="46" t="s">
        <v>73</v>
      </c>
      <c r="F95" s="47" t="s">
        <v>74</v>
      </c>
      <c r="G95" s="48" t="s">
        <v>24</v>
      </c>
      <c r="H95" s="49" t="s">
        <v>75</v>
      </c>
      <c r="I95" s="48">
        <v>4000011761</v>
      </c>
      <c r="J95" s="52">
        <v>14.84</v>
      </c>
      <c r="K95" s="50"/>
      <c r="L95" s="52">
        <f t="shared" si="26"/>
        <v>14.84</v>
      </c>
      <c r="M95" s="51">
        <v>0</v>
      </c>
      <c r="N95" s="52">
        <f t="shared" si="27"/>
        <v>0</v>
      </c>
      <c r="O95" s="52">
        <f t="shared" si="28"/>
        <v>14.84</v>
      </c>
      <c r="P95" s="53">
        <f t="shared" si="33"/>
        <v>2.2143965620150408E-2</v>
      </c>
      <c r="Q95" s="52">
        <f t="shared" si="34"/>
        <v>670.16000000000008</v>
      </c>
      <c r="R95" s="54">
        <f t="shared" si="35"/>
        <v>5233.1360000000004</v>
      </c>
      <c r="S95" s="52">
        <f t="shared" si="36"/>
        <v>115.88238366957144</v>
      </c>
      <c r="T95" s="48" t="s">
        <v>76</v>
      </c>
      <c r="U95" s="55">
        <v>5699</v>
      </c>
      <c r="V95" s="56">
        <v>490110</v>
      </c>
    </row>
    <row r="96" spans="1:22" ht="15" customHeight="1">
      <c r="A96" s="44" t="s">
        <v>70</v>
      </c>
      <c r="B96" s="45" t="s">
        <v>41</v>
      </c>
      <c r="C96" s="45" t="s">
        <v>161</v>
      </c>
      <c r="D96" s="45" t="s">
        <v>176</v>
      </c>
      <c r="E96" s="46" t="s">
        <v>73</v>
      </c>
      <c r="F96" s="47" t="s">
        <v>74</v>
      </c>
      <c r="G96" s="48" t="s">
        <v>24</v>
      </c>
      <c r="H96" s="49" t="s">
        <v>75</v>
      </c>
      <c r="I96" s="48">
        <v>4000011762</v>
      </c>
      <c r="J96" s="52">
        <v>101.74</v>
      </c>
      <c r="K96" s="50"/>
      <c r="L96" s="52">
        <f t="shared" si="26"/>
        <v>101.74</v>
      </c>
      <c r="M96" s="51">
        <v>0</v>
      </c>
      <c r="N96" s="52">
        <f t="shared" si="27"/>
        <v>0</v>
      </c>
      <c r="O96" s="52">
        <f t="shared" si="28"/>
        <v>101.74</v>
      </c>
      <c r="P96" s="53">
        <f t="shared" si="33"/>
        <v>0.15181449206159719</v>
      </c>
      <c r="Q96" s="52">
        <f t="shared" si="34"/>
        <v>670.16000000000008</v>
      </c>
      <c r="R96" s="54">
        <f t="shared" si="35"/>
        <v>5233.1360000000004</v>
      </c>
      <c r="S96" s="52">
        <f t="shared" si="36"/>
        <v>794.46588372925851</v>
      </c>
      <c r="T96" s="48" t="s">
        <v>76</v>
      </c>
      <c r="U96" s="55">
        <v>5699</v>
      </c>
      <c r="V96" s="56">
        <v>490110</v>
      </c>
    </row>
    <row r="97" spans="1:22" ht="15" customHeight="1">
      <c r="A97" s="44" t="s">
        <v>70</v>
      </c>
      <c r="B97" s="45" t="s">
        <v>41</v>
      </c>
      <c r="C97" s="45" t="s">
        <v>105</v>
      </c>
      <c r="D97" s="45" t="s">
        <v>177</v>
      </c>
      <c r="E97" s="46" t="s">
        <v>73</v>
      </c>
      <c r="F97" s="47" t="s">
        <v>81</v>
      </c>
      <c r="G97" s="48" t="s">
        <v>24</v>
      </c>
      <c r="H97" s="57" t="s">
        <v>84</v>
      </c>
      <c r="I97" s="48">
        <v>4000011763</v>
      </c>
      <c r="J97" s="52">
        <v>57.08</v>
      </c>
      <c r="K97" s="50"/>
      <c r="L97" s="52">
        <f t="shared" si="26"/>
        <v>57.08</v>
      </c>
      <c r="M97" s="51">
        <v>0</v>
      </c>
      <c r="N97" s="52">
        <f t="shared" si="27"/>
        <v>0</v>
      </c>
      <c r="O97" s="52">
        <f t="shared" si="28"/>
        <v>57.08</v>
      </c>
      <c r="P97" s="53">
        <f t="shared" si="33"/>
        <v>8.517368986510683E-2</v>
      </c>
      <c r="Q97" s="52">
        <f t="shared" si="34"/>
        <v>670.16000000000008</v>
      </c>
      <c r="R97" s="54">
        <f t="shared" si="35"/>
        <v>5233.1360000000004</v>
      </c>
      <c r="S97" s="52">
        <f t="shared" si="36"/>
        <v>445.72550268592573</v>
      </c>
      <c r="T97" s="48" t="s">
        <v>76</v>
      </c>
      <c r="U97" s="55">
        <v>5699</v>
      </c>
      <c r="V97" s="56">
        <v>490110</v>
      </c>
    </row>
    <row r="98" spans="1:22" ht="15" customHeight="1">
      <c r="A98" s="44" t="s">
        <v>70</v>
      </c>
      <c r="B98" s="45" t="s">
        <v>41</v>
      </c>
      <c r="C98" s="45" t="s">
        <v>105</v>
      </c>
      <c r="D98" s="45" t="s">
        <v>178</v>
      </c>
      <c r="E98" s="46" t="s">
        <v>73</v>
      </c>
      <c r="F98" s="47" t="s">
        <v>81</v>
      </c>
      <c r="G98" s="48" t="s">
        <v>24</v>
      </c>
      <c r="H98" s="57" t="s">
        <v>84</v>
      </c>
      <c r="I98" s="48">
        <v>4000011764</v>
      </c>
      <c r="J98" s="52">
        <v>22.42</v>
      </c>
      <c r="K98" s="50"/>
      <c r="L98" s="52">
        <f t="shared" ref="L98:L129" si="37">J98+K98</f>
        <v>22.42</v>
      </c>
      <c r="M98" s="51">
        <v>0</v>
      </c>
      <c r="N98" s="52">
        <f t="shared" ref="N98:N129" si="38">M98*L98</f>
        <v>0</v>
      </c>
      <c r="O98" s="52">
        <f t="shared" ref="O98:O129" si="39">L98+N98</f>
        <v>22.42</v>
      </c>
      <c r="P98" s="53">
        <f t="shared" si="33"/>
        <v>3.3454697385698937E-2</v>
      </c>
      <c r="Q98" s="52">
        <f t="shared" si="34"/>
        <v>670.16000000000008</v>
      </c>
      <c r="R98" s="54">
        <f t="shared" si="35"/>
        <v>5233.1360000000004</v>
      </c>
      <c r="S98" s="52">
        <f t="shared" si="36"/>
        <v>175.07298125820699</v>
      </c>
      <c r="T98" s="48" t="s">
        <v>76</v>
      </c>
      <c r="U98" s="55">
        <v>5699</v>
      </c>
      <c r="V98" s="56">
        <v>490110</v>
      </c>
    </row>
    <row r="99" spans="1:22" ht="15" customHeight="1">
      <c r="A99" s="44" t="s">
        <v>70</v>
      </c>
      <c r="B99" s="45" t="s">
        <v>41</v>
      </c>
      <c r="C99" s="45" t="s">
        <v>71</v>
      </c>
      <c r="D99" s="45" t="s">
        <v>179</v>
      </c>
      <c r="E99" s="46" t="s">
        <v>73</v>
      </c>
      <c r="F99" s="47" t="s">
        <v>74</v>
      </c>
      <c r="G99" s="48" t="s">
        <v>24</v>
      </c>
      <c r="H99" s="57" t="s">
        <v>84</v>
      </c>
      <c r="I99" s="48">
        <v>4000011765</v>
      </c>
      <c r="J99" s="52">
        <v>78.069999999999993</v>
      </c>
      <c r="K99" s="50"/>
      <c r="L99" s="52">
        <f t="shared" si="37"/>
        <v>78.069999999999993</v>
      </c>
      <c r="M99" s="51">
        <v>0</v>
      </c>
      <c r="N99" s="52">
        <f t="shared" si="38"/>
        <v>0</v>
      </c>
      <c r="O99" s="52">
        <f t="shared" si="39"/>
        <v>78.069999999999993</v>
      </c>
      <c r="P99" s="53">
        <f t="shared" si="33"/>
        <v>0.11649456846126295</v>
      </c>
      <c r="Q99" s="52">
        <f t="shared" si="34"/>
        <v>670.16000000000008</v>
      </c>
      <c r="R99" s="54">
        <f t="shared" si="35"/>
        <v>5233.1360000000004</v>
      </c>
      <c r="S99" s="52">
        <f t="shared" si="36"/>
        <v>609.63192001909977</v>
      </c>
      <c r="T99" s="48" t="s">
        <v>76</v>
      </c>
      <c r="U99" s="55">
        <v>5699</v>
      </c>
      <c r="V99" s="56">
        <v>490110</v>
      </c>
    </row>
    <row r="100" spans="1:22" ht="15" customHeight="1">
      <c r="A100" s="44" t="s">
        <v>70</v>
      </c>
      <c r="B100" s="45" t="s">
        <v>41</v>
      </c>
      <c r="C100" s="45" t="s">
        <v>78</v>
      </c>
      <c r="D100" s="45" t="s">
        <v>180</v>
      </c>
      <c r="E100" s="46" t="s">
        <v>73</v>
      </c>
      <c r="F100" s="47" t="s">
        <v>74</v>
      </c>
      <c r="G100" s="48" t="s">
        <v>24</v>
      </c>
      <c r="H100" s="57" t="s">
        <v>84</v>
      </c>
      <c r="I100" s="48">
        <v>4000011766</v>
      </c>
      <c r="J100" s="52">
        <v>63.45</v>
      </c>
      <c r="K100" s="50"/>
      <c r="L100" s="52">
        <f t="shared" si="37"/>
        <v>63.45</v>
      </c>
      <c r="M100" s="51">
        <v>0</v>
      </c>
      <c r="N100" s="52">
        <f t="shared" si="38"/>
        <v>0</v>
      </c>
      <c r="O100" s="52">
        <f t="shared" si="39"/>
        <v>63.45</v>
      </c>
      <c r="P100" s="53">
        <f t="shared" si="33"/>
        <v>9.4678882654888372E-2</v>
      </c>
      <c r="Q100" s="52">
        <f t="shared" si="34"/>
        <v>670.16000000000008</v>
      </c>
      <c r="R100" s="54">
        <f t="shared" si="35"/>
        <v>5233.1360000000004</v>
      </c>
      <c r="S100" s="52">
        <f t="shared" si="36"/>
        <v>495.46746926107193</v>
      </c>
      <c r="T100" s="48" t="s">
        <v>76</v>
      </c>
      <c r="U100" s="55">
        <v>5699</v>
      </c>
      <c r="V100" s="56">
        <v>490110</v>
      </c>
    </row>
    <row r="101" spans="1:22" ht="15" customHeight="1">
      <c r="A101" s="44" t="s">
        <v>70</v>
      </c>
      <c r="B101" s="45" t="s">
        <v>41</v>
      </c>
      <c r="C101" s="45" t="s">
        <v>78</v>
      </c>
      <c r="D101" s="45" t="s">
        <v>181</v>
      </c>
      <c r="E101" s="46" t="s">
        <v>73</v>
      </c>
      <c r="F101" s="47" t="s">
        <v>74</v>
      </c>
      <c r="G101" s="48" t="s">
        <v>24</v>
      </c>
      <c r="H101" s="57" t="s">
        <v>84</v>
      </c>
      <c r="I101" s="48">
        <v>4000011767</v>
      </c>
      <c r="J101" s="52">
        <v>15.94</v>
      </c>
      <c r="K101" s="50"/>
      <c r="L101" s="52">
        <f t="shared" si="37"/>
        <v>15.94</v>
      </c>
      <c r="M101" s="51">
        <v>0</v>
      </c>
      <c r="N101" s="52">
        <f t="shared" si="38"/>
        <v>0</v>
      </c>
      <c r="O101" s="52">
        <f t="shared" si="39"/>
        <v>15.94</v>
      </c>
      <c r="P101" s="53">
        <f t="shared" si="33"/>
        <v>2.3785364689029483E-2</v>
      </c>
      <c r="Q101" s="52">
        <f t="shared" si="34"/>
        <v>670.16000000000008</v>
      </c>
      <c r="R101" s="54">
        <f t="shared" si="35"/>
        <v>5233.1360000000004</v>
      </c>
      <c r="S101" s="52">
        <f t="shared" si="36"/>
        <v>124.47204822728899</v>
      </c>
      <c r="T101" s="48" t="s">
        <v>76</v>
      </c>
      <c r="U101" s="55">
        <v>5699</v>
      </c>
      <c r="V101" s="56">
        <v>490110</v>
      </c>
    </row>
    <row r="102" spans="1:22" ht="15" customHeight="1">
      <c r="A102" s="44" t="s">
        <v>70</v>
      </c>
      <c r="B102" s="45" t="s">
        <v>41</v>
      </c>
      <c r="C102" s="45" t="s">
        <v>161</v>
      </c>
      <c r="D102" s="45" t="s">
        <v>182</v>
      </c>
      <c r="E102" s="46" t="s">
        <v>73</v>
      </c>
      <c r="F102" s="47" t="s">
        <v>74</v>
      </c>
      <c r="G102" s="48" t="s">
        <v>24</v>
      </c>
      <c r="H102" s="57" t="s">
        <v>84</v>
      </c>
      <c r="I102" s="48">
        <v>4000011768</v>
      </c>
      <c r="J102" s="52">
        <v>91.22</v>
      </c>
      <c r="K102" s="50"/>
      <c r="L102" s="52">
        <f t="shared" si="37"/>
        <v>91.22</v>
      </c>
      <c r="M102" s="51">
        <v>0</v>
      </c>
      <c r="N102" s="52">
        <f t="shared" si="38"/>
        <v>0</v>
      </c>
      <c r="O102" s="52">
        <f t="shared" si="39"/>
        <v>91.22</v>
      </c>
      <c r="P102" s="53">
        <f t="shared" si="33"/>
        <v>0.13611674823922643</v>
      </c>
      <c r="Q102" s="52">
        <f t="shared" si="34"/>
        <v>670.16000000000008</v>
      </c>
      <c r="R102" s="54">
        <f t="shared" si="35"/>
        <v>5233.1360000000004</v>
      </c>
      <c r="S102" s="52">
        <f t="shared" si="36"/>
        <v>712.3174554136325</v>
      </c>
      <c r="T102" s="48" t="s">
        <v>76</v>
      </c>
      <c r="U102" s="55">
        <v>5699</v>
      </c>
      <c r="V102" s="56">
        <v>490110</v>
      </c>
    </row>
    <row r="103" spans="1:22" ht="15" customHeight="1">
      <c r="A103" s="44" t="s">
        <v>70</v>
      </c>
      <c r="B103" s="45" t="s">
        <v>41</v>
      </c>
      <c r="C103" s="45" t="s">
        <v>88</v>
      </c>
      <c r="D103" s="45" t="s">
        <v>183</v>
      </c>
      <c r="E103" s="46" t="s">
        <v>73</v>
      </c>
      <c r="F103" s="58" t="s">
        <v>90</v>
      </c>
      <c r="G103" s="48" t="s">
        <v>24</v>
      </c>
      <c r="H103" s="59" t="s">
        <v>75</v>
      </c>
      <c r="I103" s="60">
        <v>7000000227</v>
      </c>
      <c r="J103" s="61">
        <v>288.8</v>
      </c>
      <c r="K103" s="60">
        <v>10</v>
      </c>
      <c r="L103" s="61">
        <f t="shared" si="37"/>
        <v>298.8</v>
      </c>
      <c r="M103" s="62">
        <v>0.18</v>
      </c>
      <c r="N103" s="61">
        <f t="shared" si="38"/>
        <v>53.783999999999999</v>
      </c>
      <c r="O103" s="61">
        <f t="shared" si="39"/>
        <v>352.584</v>
      </c>
      <c r="P103" s="63">
        <v>0</v>
      </c>
      <c r="Q103" s="61">
        <f>O103</f>
        <v>352.584</v>
      </c>
      <c r="R103" s="64">
        <f>Q103</f>
        <v>352.584</v>
      </c>
      <c r="S103" s="61">
        <f>Q103</f>
        <v>352.584</v>
      </c>
      <c r="T103" s="60" t="s">
        <v>91</v>
      </c>
      <c r="U103" s="55">
        <v>5699</v>
      </c>
      <c r="V103" s="56">
        <v>49119990</v>
      </c>
    </row>
    <row r="104" spans="1:22" ht="15" customHeight="1">
      <c r="A104" s="65" t="s">
        <v>70</v>
      </c>
      <c r="B104" s="66" t="s">
        <v>41</v>
      </c>
      <c r="C104" s="66" t="s">
        <v>92</v>
      </c>
      <c r="D104" s="66" t="s">
        <v>93</v>
      </c>
      <c r="E104" s="67" t="s">
        <v>73</v>
      </c>
      <c r="F104" s="68" t="s">
        <v>94</v>
      </c>
      <c r="G104" s="69" t="s">
        <v>24</v>
      </c>
      <c r="H104" s="70" t="s">
        <v>75</v>
      </c>
      <c r="I104" s="71">
        <v>8400007</v>
      </c>
      <c r="J104" s="72">
        <v>96</v>
      </c>
      <c r="K104" s="73"/>
      <c r="L104" s="72">
        <f t="shared" si="37"/>
        <v>96</v>
      </c>
      <c r="M104" s="74">
        <v>0.18</v>
      </c>
      <c r="N104" s="72">
        <f t="shared" si="38"/>
        <v>17.28</v>
      </c>
      <c r="O104" s="72">
        <f t="shared" si="39"/>
        <v>113.28</v>
      </c>
      <c r="P104" s="75">
        <v>0</v>
      </c>
      <c r="Q104" s="72">
        <f>O104</f>
        <v>113.28</v>
      </c>
      <c r="R104" s="76">
        <f>Q104</f>
        <v>113.28</v>
      </c>
      <c r="S104" s="72">
        <f>Q104</f>
        <v>113.28</v>
      </c>
      <c r="T104" s="71" t="s">
        <v>91</v>
      </c>
      <c r="U104" s="77">
        <v>5699</v>
      </c>
      <c r="V104" s="78">
        <v>999299</v>
      </c>
    </row>
    <row r="105" spans="1:22" ht="15" customHeight="1">
      <c r="A105" s="31" t="s">
        <v>70</v>
      </c>
      <c r="B105" s="32" t="s">
        <v>42</v>
      </c>
      <c r="C105" s="32" t="s">
        <v>105</v>
      </c>
      <c r="D105" s="32" t="s">
        <v>184</v>
      </c>
      <c r="E105" s="33" t="s">
        <v>73</v>
      </c>
      <c r="F105" s="34" t="s">
        <v>81</v>
      </c>
      <c r="G105" s="35" t="s">
        <v>24</v>
      </c>
      <c r="H105" s="36" t="s">
        <v>75</v>
      </c>
      <c r="I105" s="35">
        <v>4000011770</v>
      </c>
      <c r="J105" s="39">
        <v>51.97</v>
      </c>
      <c r="K105" s="37"/>
      <c r="L105" s="39">
        <f t="shared" si="37"/>
        <v>51.97</v>
      </c>
      <c r="M105" s="38">
        <v>0</v>
      </c>
      <c r="N105" s="39">
        <f t="shared" si="38"/>
        <v>0</v>
      </c>
      <c r="O105" s="39">
        <f t="shared" si="39"/>
        <v>51.97</v>
      </c>
      <c r="P105" s="40">
        <f t="shared" ref="P105:P117" si="40">IFERROR(O105/Q105,"")</f>
        <v>8.3069594961797874E-2</v>
      </c>
      <c r="Q105" s="39">
        <f t="shared" ref="Q105:Q117" si="41">SUMIFS(O:O,T:T,T105,B:B,B105,A:A,A105,G:G,G105,E:E,E105)</f>
        <v>625.62000000000012</v>
      </c>
      <c r="R105" s="41">
        <f t="shared" ref="R105:R117" si="42">U105-SUMIFS(Q:Q,A:A,A105,B:B,B105,G:G,G105,E:E,E105,T:T,"Fixed Price ( Base Price with GST)")</f>
        <v>5241.6319999999996</v>
      </c>
      <c r="S105" s="39">
        <f t="shared" ref="S105:S117" si="43">P105*R105</f>
        <v>435.42024717879849</v>
      </c>
      <c r="T105" s="35" t="s">
        <v>76</v>
      </c>
      <c r="U105" s="42">
        <v>5699</v>
      </c>
      <c r="V105" s="43">
        <v>490110</v>
      </c>
    </row>
    <row r="106" spans="1:22" ht="15" customHeight="1">
      <c r="A106" s="44" t="s">
        <v>70</v>
      </c>
      <c r="B106" s="45" t="s">
        <v>42</v>
      </c>
      <c r="C106" s="45" t="s">
        <v>105</v>
      </c>
      <c r="D106" s="45" t="s">
        <v>185</v>
      </c>
      <c r="E106" s="46" t="s">
        <v>73</v>
      </c>
      <c r="F106" s="47" t="s">
        <v>81</v>
      </c>
      <c r="G106" s="48" t="s">
        <v>24</v>
      </c>
      <c r="H106" s="49" t="s">
        <v>75</v>
      </c>
      <c r="I106" s="48">
        <v>4000011771</v>
      </c>
      <c r="J106" s="52">
        <v>21.76</v>
      </c>
      <c r="K106" s="50"/>
      <c r="L106" s="52">
        <f t="shared" si="37"/>
        <v>21.76</v>
      </c>
      <c r="M106" s="51">
        <v>0</v>
      </c>
      <c r="N106" s="52">
        <f t="shared" si="38"/>
        <v>0</v>
      </c>
      <c r="O106" s="52">
        <f t="shared" si="39"/>
        <v>21.76</v>
      </c>
      <c r="P106" s="53">
        <f t="shared" si="40"/>
        <v>3.478149675521882E-2</v>
      </c>
      <c r="Q106" s="52">
        <f t="shared" si="41"/>
        <v>625.62000000000012</v>
      </c>
      <c r="R106" s="54">
        <f t="shared" si="42"/>
        <v>5241.6319999999996</v>
      </c>
      <c r="S106" s="52">
        <f t="shared" si="43"/>
        <v>182.31180640005113</v>
      </c>
      <c r="T106" s="48" t="s">
        <v>76</v>
      </c>
      <c r="U106" s="55">
        <v>5699</v>
      </c>
      <c r="V106" s="56">
        <v>490110</v>
      </c>
    </row>
    <row r="107" spans="1:22" ht="15" customHeight="1">
      <c r="A107" s="44" t="s">
        <v>70</v>
      </c>
      <c r="B107" s="45" t="s">
        <v>42</v>
      </c>
      <c r="C107" s="45" t="s">
        <v>71</v>
      </c>
      <c r="D107" s="45" t="s">
        <v>186</v>
      </c>
      <c r="E107" s="46" t="s">
        <v>73</v>
      </c>
      <c r="F107" s="47" t="s">
        <v>74</v>
      </c>
      <c r="G107" s="48" t="s">
        <v>24</v>
      </c>
      <c r="H107" s="49" t="s">
        <v>75</v>
      </c>
      <c r="I107" s="48">
        <v>4000011772</v>
      </c>
      <c r="J107" s="52">
        <v>68.62</v>
      </c>
      <c r="K107" s="50"/>
      <c r="L107" s="52">
        <f t="shared" si="37"/>
        <v>68.62</v>
      </c>
      <c r="M107" s="51">
        <v>0</v>
      </c>
      <c r="N107" s="52">
        <f t="shared" si="38"/>
        <v>0</v>
      </c>
      <c r="O107" s="52">
        <f t="shared" si="39"/>
        <v>68.62</v>
      </c>
      <c r="P107" s="53">
        <f t="shared" si="40"/>
        <v>0.10968319427128287</v>
      </c>
      <c r="Q107" s="52">
        <f t="shared" si="41"/>
        <v>625.62000000000012</v>
      </c>
      <c r="R107" s="54">
        <f t="shared" si="42"/>
        <v>5241.6319999999996</v>
      </c>
      <c r="S107" s="52">
        <f t="shared" si="43"/>
        <v>574.91894095457292</v>
      </c>
      <c r="T107" s="48" t="s">
        <v>76</v>
      </c>
      <c r="U107" s="55">
        <v>5699</v>
      </c>
      <c r="V107" s="56">
        <v>490110</v>
      </c>
    </row>
    <row r="108" spans="1:22" ht="15" customHeight="1">
      <c r="A108" s="44" t="s">
        <v>70</v>
      </c>
      <c r="B108" s="45" t="s">
        <v>42</v>
      </c>
      <c r="C108" s="45" t="s">
        <v>78</v>
      </c>
      <c r="D108" s="45" t="s">
        <v>187</v>
      </c>
      <c r="E108" s="46" t="s">
        <v>73</v>
      </c>
      <c r="F108" s="47" t="s">
        <v>74</v>
      </c>
      <c r="G108" s="48" t="s">
        <v>24</v>
      </c>
      <c r="H108" s="49" t="s">
        <v>75</v>
      </c>
      <c r="I108" s="48">
        <v>4000011774</v>
      </c>
      <c r="J108" s="52">
        <v>21.8</v>
      </c>
      <c r="K108" s="50"/>
      <c r="L108" s="52">
        <f t="shared" si="37"/>
        <v>21.8</v>
      </c>
      <c r="M108" s="51">
        <v>0</v>
      </c>
      <c r="N108" s="52">
        <f t="shared" si="38"/>
        <v>0</v>
      </c>
      <c r="O108" s="52">
        <f t="shared" si="39"/>
        <v>21.8</v>
      </c>
      <c r="P108" s="53">
        <f t="shared" si="40"/>
        <v>3.4845433330136497E-2</v>
      </c>
      <c r="Q108" s="52">
        <f t="shared" si="41"/>
        <v>625.62000000000012</v>
      </c>
      <c r="R108" s="54">
        <f t="shared" si="42"/>
        <v>5241.6319999999996</v>
      </c>
      <c r="S108" s="52">
        <f t="shared" si="43"/>
        <v>182.64693839711001</v>
      </c>
      <c r="T108" s="48" t="s">
        <v>76</v>
      </c>
      <c r="U108" s="55">
        <v>5699</v>
      </c>
      <c r="V108" s="56">
        <v>490110</v>
      </c>
    </row>
    <row r="109" spans="1:22" ht="15" customHeight="1">
      <c r="A109" s="44" t="s">
        <v>70</v>
      </c>
      <c r="B109" s="45" t="s">
        <v>42</v>
      </c>
      <c r="C109" s="45" t="s">
        <v>78</v>
      </c>
      <c r="D109" s="45" t="s">
        <v>188</v>
      </c>
      <c r="E109" s="46" t="s">
        <v>73</v>
      </c>
      <c r="F109" s="47" t="s">
        <v>74</v>
      </c>
      <c r="G109" s="48" t="s">
        <v>24</v>
      </c>
      <c r="H109" s="49" t="s">
        <v>75</v>
      </c>
      <c r="I109" s="48">
        <v>4000011773</v>
      </c>
      <c r="J109" s="52">
        <v>60.31</v>
      </c>
      <c r="K109" s="50"/>
      <c r="L109" s="52">
        <f t="shared" si="37"/>
        <v>60.31</v>
      </c>
      <c r="M109" s="51">
        <v>0</v>
      </c>
      <c r="N109" s="52">
        <f t="shared" si="38"/>
        <v>0</v>
      </c>
      <c r="O109" s="52">
        <f t="shared" si="39"/>
        <v>60.31</v>
      </c>
      <c r="P109" s="53">
        <f t="shared" si="40"/>
        <v>9.6400370832134513E-2</v>
      </c>
      <c r="Q109" s="52">
        <f t="shared" si="41"/>
        <v>625.62000000000012</v>
      </c>
      <c r="R109" s="54">
        <f t="shared" si="42"/>
        <v>5241.6319999999996</v>
      </c>
      <c r="S109" s="52">
        <f t="shared" si="43"/>
        <v>505.29526856558283</v>
      </c>
      <c r="T109" s="48" t="s">
        <v>76</v>
      </c>
      <c r="U109" s="55">
        <v>5699</v>
      </c>
      <c r="V109" s="56">
        <v>490110</v>
      </c>
    </row>
    <row r="110" spans="1:22" ht="15" customHeight="1">
      <c r="A110" s="44" t="s">
        <v>70</v>
      </c>
      <c r="B110" s="45" t="s">
        <v>42</v>
      </c>
      <c r="C110" s="45" t="s">
        <v>78</v>
      </c>
      <c r="D110" s="45" t="s">
        <v>189</v>
      </c>
      <c r="E110" s="46" t="s">
        <v>73</v>
      </c>
      <c r="F110" s="47" t="s">
        <v>74</v>
      </c>
      <c r="G110" s="48" t="s">
        <v>24</v>
      </c>
      <c r="H110" s="49" t="s">
        <v>75</v>
      </c>
      <c r="I110" s="48">
        <v>4000011775</v>
      </c>
      <c r="J110" s="52">
        <v>13.59</v>
      </c>
      <c r="K110" s="50"/>
      <c r="L110" s="52">
        <f t="shared" si="37"/>
        <v>13.59</v>
      </c>
      <c r="M110" s="51">
        <v>0</v>
      </c>
      <c r="N110" s="52">
        <f t="shared" si="38"/>
        <v>0</v>
      </c>
      <c r="O110" s="52">
        <f t="shared" si="39"/>
        <v>13.59</v>
      </c>
      <c r="P110" s="53">
        <f t="shared" si="40"/>
        <v>2.1722451328282339E-2</v>
      </c>
      <c r="Q110" s="52">
        <f t="shared" si="41"/>
        <v>625.62000000000012</v>
      </c>
      <c r="R110" s="54">
        <f t="shared" si="42"/>
        <v>5241.6319999999996</v>
      </c>
      <c r="S110" s="52">
        <f t="shared" si="43"/>
        <v>113.8610960007672</v>
      </c>
      <c r="T110" s="48" t="s">
        <v>76</v>
      </c>
      <c r="U110" s="55">
        <v>5699</v>
      </c>
      <c r="V110" s="56">
        <v>490110</v>
      </c>
    </row>
    <row r="111" spans="1:22" ht="15" customHeight="1">
      <c r="A111" s="44" t="s">
        <v>70</v>
      </c>
      <c r="B111" s="45" t="s">
        <v>42</v>
      </c>
      <c r="C111" s="45" t="s">
        <v>161</v>
      </c>
      <c r="D111" s="45" t="s">
        <v>190</v>
      </c>
      <c r="E111" s="46" t="s">
        <v>73</v>
      </c>
      <c r="F111" s="47" t="s">
        <v>74</v>
      </c>
      <c r="G111" s="48" t="s">
        <v>24</v>
      </c>
      <c r="H111" s="49" t="s">
        <v>75</v>
      </c>
      <c r="I111" s="48">
        <v>4000011776</v>
      </c>
      <c r="J111" s="52">
        <v>85.28</v>
      </c>
      <c r="K111" s="50"/>
      <c r="L111" s="52">
        <f t="shared" si="37"/>
        <v>85.28</v>
      </c>
      <c r="M111" s="51">
        <v>0</v>
      </c>
      <c r="N111" s="52">
        <f t="shared" si="38"/>
        <v>0</v>
      </c>
      <c r="O111" s="52">
        <f t="shared" si="39"/>
        <v>85.28</v>
      </c>
      <c r="P111" s="53">
        <f t="shared" si="40"/>
        <v>0.13631277772449726</v>
      </c>
      <c r="Q111" s="52">
        <f t="shared" si="41"/>
        <v>625.62000000000012</v>
      </c>
      <c r="R111" s="54">
        <f t="shared" si="42"/>
        <v>5241.6319999999996</v>
      </c>
      <c r="S111" s="52">
        <f t="shared" si="43"/>
        <v>714.50141772961194</v>
      </c>
      <c r="T111" s="48" t="s">
        <v>76</v>
      </c>
      <c r="U111" s="55">
        <v>5699</v>
      </c>
      <c r="V111" s="56">
        <v>490110</v>
      </c>
    </row>
    <row r="112" spans="1:22" ht="15" customHeight="1">
      <c r="A112" s="44" t="s">
        <v>70</v>
      </c>
      <c r="B112" s="45" t="s">
        <v>42</v>
      </c>
      <c r="C112" s="45" t="s">
        <v>105</v>
      </c>
      <c r="D112" s="45" t="s">
        <v>191</v>
      </c>
      <c r="E112" s="46" t="s">
        <v>73</v>
      </c>
      <c r="F112" s="47" t="s">
        <v>81</v>
      </c>
      <c r="G112" s="48" t="s">
        <v>24</v>
      </c>
      <c r="H112" s="57" t="s">
        <v>84</v>
      </c>
      <c r="I112" s="48">
        <v>4000011777</v>
      </c>
      <c r="J112" s="52">
        <v>57.48</v>
      </c>
      <c r="K112" s="50"/>
      <c r="L112" s="52">
        <f t="shared" si="37"/>
        <v>57.48</v>
      </c>
      <c r="M112" s="51">
        <v>0</v>
      </c>
      <c r="N112" s="52">
        <f t="shared" si="38"/>
        <v>0</v>
      </c>
      <c r="O112" s="52">
        <f t="shared" si="39"/>
        <v>57.48</v>
      </c>
      <c r="P112" s="53">
        <f t="shared" si="40"/>
        <v>9.1876858156708527E-2</v>
      </c>
      <c r="Q112" s="52">
        <f t="shared" si="41"/>
        <v>625.62000000000012</v>
      </c>
      <c r="R112" s="54">
        <f t="shared" si="42"/>
        <v>5241.6319999999996</v>
      </c>
      <c r="S112" s="52">
        <f t="shared" si="43"/>
        <v>481.58467977366439</v>
      </c>
      <c r="T112" s="48" t="s">
        <v>76</v>
      </c>
      <c r="U112" s="55">
        <v>5699</v>
      </c>
      <c r="V112" s="56">
        <v>490110</v>
      </c>
    </row>
    <row r="113" spans="1:22" ht="15" customHeight="1">
      <c r="A113" s="44" t="s">
        <v>70</v>
      </c>
      <c r="B113" s="45" t="s">
        <v>42</v>
      </c>
      <c r="C113" s="45" t="s">
        <v>105</v>
      </c>
      <c r="D113" s="45" t="s">
        <v>192</v>
      </c>
      <c r="E113" s="46" t="s">
        <v>73</v>
      </c>
      <c r="F113" s="47" t="s">
        <v>81</v>
      </c>
      <c r="G113" s="48" t="s">
        <v>24</v>
      </c>
      <c r="H113" s="57" t="s">
        <v>84</v>
      </c>
      <c r="I113" s="48">
        <v>4000011778</v>
      </c>
      <c r="J113" s="52">
        <v>18.579999999999998</v>
      </c>
      <c r="K113" s="50"/>
      <c r="L113" s="52">
        <f t="shared" si="37"/>
        <v>18.579999999999998</v>
      </c>
      <c r="M113" s="51">
        <v>0</v>
      </c>
      <c r="N113" s="52">
        <f t="shared" si="38"/>
        <v>0</v>
      </c>
      <c r="O113" s="52">
        <f t="shared" si="39"/>
        <v>18.579999999999998</v>
      </c>
      <c r="P113" s="53">
        <f t="shared" si="40"/>
        <v>2.9698539049263124E-2</v>
      </c>
      <c r="Q113" s="52">
        <f t="shared" si="41"/>
        <v>625.62000000000012</v>
      </c>
      <c r="R113" s="54">
        <f t="shared" si="42"/>
        <v>5241.6319999999996</v>
      </c>
      <c r="S113" s="52">
        <f t="shared" si="43"/>
        <v>155.66881263386716</v>
      </c>
      <c r="T113" s="48" t="s">
        <v>76</v>
      </c>
      <c r="U113" s="55">
        <v>5699</v>
      </c>
      <c r="V113" s="56">
        <v>490110</v>
      </c>
    </row>
    <row r="114" spans="1:22" ht="15" customHeight="1">
      <c r="A114" s="44" t="s">
        <v>70</v>
      </c>
      <c r="B114" s="45" t="s">
        <v>42</v>
      </c>
      <c r="C114" s="45" t="s">
        <v>71</v>
      </c>
      <c r="D114" s="45" t="s">
        <v>193</v>
      </c>
      <c r="E114" s="46" t="s">
        <v>73</v>
      </c>
      <c r="F114" s="47" t="s">
        <v>74</v>
      </c>
      <c r="G114" s="48" t="s">
        <v>24</v>
      </c>
      <c r="H114" s="57" t="s">
        <v>84</v>
      </c>
      <c r="I114" s="48">
        <v>4000011779</v>
      </c>
      <c r="J114" s="52">
        <v>68.62</v>
      </c>
      <c r="K114" s="50"/>
      <c r="L114" s="52">
        <f t="shared" si="37"/>
        <v>68.62</v>
      </c>
      <c r="M114" s="51">
        <v>0</v>
      </c>
      <c r="N114" s="52">
        <f t="shared" si="38"/>
        <v>0</v>
      </c>
      <c r="O114" s="52">
        <f t="shared" si="39"/>
        <v>68.62</v>
      </c>
      <c r="P114" s="53">
        <f t="shared" si="40"/>
        <v>0.10968319427128287</v>
      </c>
      <c r="Q114" s="52">
        <f t="shared" si="41"/>
        <v>625.62000000000012</v>
      </c>
      <c r="R114" s="54">
        <f t="shared" si="42"/>
        <v>5241.6319999999996</v>
      </c>
      <c r="S114" s="52">
        <f t="shared" si="43"/>
        <v>574.91894095457292</v>
      </c>
      <c r="T114" s="48" t="s">
        <v>76</v>
      </c>
      <c r="U114" s="55">
        <v>5699</v>
      </c>
      <c r="V114" s="56">
        <v>490110</v>
      </c>
    </row>
    <row r="115" spans="1:22" ht="15" customHeight="1">
      <c r="A115" s="44" t="s">
        <v>70</v>
      </c>
      <c r="B115" s="45" t="s">
        <v>42</v>
      </c>
      <c r="C115" s="45" t="s">
        <v>78</v>
      </c>
      <c r="D115" s="45" t="s">
        <v>194</v>
      </c>
      <c r="E115" s="46" t="s">
        <v>73</v>
      </c>
      <c r="F115" s="47" t="s">
        <v>74</v>
      </c>
      <c r="G115" s="48" t="s">
        <v>24</v>
      </c>
      <c r="H115" s="57" t="s">
        <v>84</v>
      </c>
      <c r="I115" s="48">
        <v>4000011862</v>
      </c>
      <c r="J115" s="52">
        <v>64.13</v>
      </c>
      <c r="K115" s="50"/>
      <c r="L115" s="52">
        <f t="shared" si="37"/>
        <v>64.13</v>
      </c>
      <c r="M115" s="51">
        <v>0</v>
      </c>
      <c r="N115" s="52">
        <f t="shared" si="38"/>
        <v>0</v>
      </c>
      <c r="O115" s="52">
        <f t="shared" si="39"/>
        <v>64.13</v>
      </c>
      <c r="P115" s="53">
        <f t="shared" si="40"/>
        <v>0.10250631373677309</v>
      </c>
      <c r="Q115" s="52">
        <f t="shared" si="41"/>
        <v>625.62000000000012</v>
      </c>
      <c r="R115" s="54">
        <f t="shared" si="42"/>
        <v>5241.6319999999996</v>
      </c>
      <c r="S115" s="52">
        <f t="shared" si="43"/>
        <v>537.30037428470939</v>
      </c>
      <c r="T115" s="48" t="s">
        <v>76</v>
      </c>
      <c r="U115" s="55">
        <v>5699</v>
      </c>
      <c r="V115" s="56">
        <v>490110</v>
      </c>
    </row>
    <row r="116" spans="1:22" ht="15" customHeight="1">
      <c r="A116" s="44" t="s">
        <v>70</v>
      </c>
      <c r="B116" s="45" t="s">
        <v>42</v>
      </c>
      <c r="C116" s="45" t="s">
        <v>78</v>
      </c>
      <c r="D116" s="45" t="s">
        <v>195</v>
      </c>
      <c r="E116" s="46" t="s">
        <v>73</v>
      </c>
      <c r="F116" s="47" t="s">
        <v>74</v>
      </c>
      <c r="G116" s="48" t="s">
        <v>24</v>
      </c>
      <c r="H116" s="57" t="s">
        <v>84</v>
      </c>
      <c r="I116" s="48">
        <v>4000011863</v>
      </c>
      <c r="J116" s="52">
        <v>16.48</v>
      </c>
      <c r="K116" s="50"/>
      <c r="L116" s="52">
        <f t="shared" si="37"/>
        <v>16.48</v>
      </c>
      <c r="M116" s="51">
        <v>0</v>
      </c>
      <c r="N116" s="52">
        <f t="shared" si="38"/>
        <v>0</v>
      </c>
      <c r="O116" s="52">
        <f t="shared" si="39"/>
        <v>16.48</v>
      </c>
      <c r="P116" s="53">
        <f t="shared" si="40"/>
        <v>2.634186886608484E-2</v>
      </c>
      <c r="Q116" s="52">
        <f t="shared" si="41"/>
        <v>625.62000000000012</v>
      </c>
      <c r="R116" s="54">
        <f t="shared" si="42"/>
        <v>5241.6319999999996</v>
      </c>
      <c r="S116" s="52">
        <f t="shared" si="43"/>
        <v>138.07438278827399</v>
      </c>
      <c r="T116" s="48" t="s">
        <v>76</v>
      </c>
      <c r="U116" s="55">
        <v>5699</v>
      </c>
      <c r="V116" s="56">
        <v>490110</v>
      </c>
    </row>
    <row r="117" spans="1:22" ht="15" customHeight="1">
      <c r="A117" s="44" t="s">
        <v>70</v>
      </c>
      <c r="B117" s="45" t="s">
        <v>42</v>
      </c>
      <c r="C117" s="45" t="s">
        <v>161</v>
      </c>
      <c r="D117" s="45" t="s">
        <v>196</v>
      </c>
      <c r="E117" s="46" t="s">
        <v>73</v>
      </c>
      <c r="F117" s="47" t="s">
        <v>74</v>
      </c>
      <c r="G117" s="48" t="s">
        <v>24</v>
      </c>
      <c r="H117" s="57" t="s">
        <v>84</v>
      </c>
      <c r="I117" s="48">
        <v>4000011864</v>
      </c>
      <c r="J117" s="52">
        <v>77</v>
      </c>
      <c r="K117" s="50"/>
      <c r="L117" s="52">
        <f t="shared" si="37"/>
        <v>77</v>
      </c>
      <c r="M117" s="51">
        <v>0</v>
      </c>
      <c r="N117" s="52">
        <f t="shared" si="38"/>
        <v>0</v>
      </c>
      <c r="O117" s="52">
        <f t="shared" si="39"/>
        <v>77</v>
      </c>
      <c r="P117" s="53">
        <f t="shared" si="40"/>
        <v>0.12307790671653718</v>
      </c>
      <c r="Q117" s="52">
        <f t="shared" si="41"/>
        <v>625.62000000000012</v>
      </c>
      <c r="R117" s="54">
        <f t="shared" si="42"/>
        <v>5241.6319999999996</v>
      </c>
      <c r="S117" s="52">
        <f t="shared" si="43"/>
        <v>645.12909433841617</v>
      </c>
      <c r="T117" s="48" t="s">
        <v>76</v>
      </c>
      <c r="U117" s="55">
        <v>5699</v>
      </c>
      <c r="V117" s="56">
        <v>490110</v>
      </c>
    </row>
    <row r="118" spans="1:22" ht="15" customHeight="1">
      <c r="A118" s="44" t="s">
        <v>70</v>
      </c>
      <c r="B118" s="45" t="s">
        <v>42</v>
      </c>
      <c r="C118" s="45" t="s">
        <v>88</v>
      </c>
      <c r="D118" s="45" t="s">
        <v>197</v>
      </c>
      <c r="E118" s="46" t="s">
        <v>73</v>
      </c>
      <c r="F118" s="58" t="s">
        <v>90</v>
      </c>
      <c r="G118" s="48" t="s">
        <v>24</v>
      </c>
      <c r="H118" s="59" t="s">
        <v>75</v>
      </c>
      <c r="I118" s="60">
        <v>7000000228</v>
      </c>
      <c r="J118" s="61">
        <v>281.60000000000002</v>
      </c>
      <c r="K118" s="60">
        <v>10</v>
      </c>
      <c r="L118" s="61">
        <f t="shared" si="37"/>
        <v>291.60000000000002</v>
      </c>
      <c r="M118" s="62">
        <v>0.18</v>
      </c>
      <c r="N118" s="61">
        <f t="shared" si="38"/>
        <v>52.488</v>
      </c>
      <c r="O118" s="61">
        <f t="shared" si="39"/>
        <v>344.08800000000002</v>
      </c>
      <c r="P118" s="63">
        <v>0</v>
      </c>
      <c r="Q118" s="61">
        <f>O118</f>
        <v>344.08800000000002</v>
      </c>
      <c r="R118" s="64">
        <f>Q118</f>
        <v>344.08800000000002</v>
      </c>
      <c r="S118" s="61">
        <f>Q118</f>
        <v>344.08800000000002</v>
      </c>
      <c r="T118" s="60" t="s">
        <v>91</v>
      </c>
      <c r="U118" s="55">
        <v>5699</v>
      </c>
      <c r="V118" s="56">
        <v>49119990</v>
      </c>
    </row>
    <row r="119" spans="1:22" ht="15" customHeight="1">
      <c r="A119" s="65" t="s">
        <v>70</v>
      </c>
      <c r="B119" s="66" t="s">
        <v>42</v>
      </c>
      <c r="C119" s="66" t="s">
        <v>92</v>
      </c>
      <c r="D119" s="66" t="s">
        <v>93</v>
      </c>
      <c r="E119" s="67" t="s">
        <v>73</v>
      </c>
      <c r="F119" s="68" t="s">
        <v>94</v>
      </c>
      <c r="G119" s="69" t="s">
        <v>24</v>
      </c>
      <c r="H119" s="70" t="s">
        <v>75</v>
      </c>
      <c r="I119" s="71">
        <v>8400007</v>
      </c>
      <c r="J119" s="72">
        <v>96</v>
      </c>
      <c r="K119" s="73"/>
      <c r="L119" s="72">
        <f t="shared" si="37"/>
        <v>96</v>
      </c>
      <c r="M119" s="74">
        <v>0.18</v>
      </c>
      <c r="N119" s="72">
        <f t="shared" si="38"/>
        <v>17.28</v>
      </c>
      <c r="O119" s="72">
        <f t="shared" si="39"/>
        <v>113.28</v>
      </c>
      <c r="P119" s="75">
        <v>0</v>
      </c>
      <c r="Q119" s="72">
        <f>O119</f>
        <v>113.28</v>
      </c>
      <c r="R119" s="76">
        <f>Q119</f>
        <v>113.28</v>
      </c>
      <c r="S119" s="72">
        <f>Q119</f>
        <v>113.28</v>
      </c>
      <c r="T119" s="71" t="s">
        <v>91</v>
      </c>
      <c r="U119" s="77">
        <v>5699</v>
      </c>
      <c r="V119" s="78">
        <v>999299</v>
      </c>
    </row>
    <row r="120" spans="1:22" ht="15" customHeight="1">
      <c r="A120" s="31" t="s">
        <v>70</v>
      </c>
      <c r="B120" s="32" t="s">
        <v>43</v>
      </c>
      <c r="C120" s="32" t="s">
        <v>198</v>
      </c>
      <c r="D120" s="32" t="s">
        <v>199</v>
      </c>
      <c r="E120" s="33" t="s">
        <v>73</v>
      </c>
      <c r="F120" s="34" t="s">
        <v>74</v>
      </c>
      <c r="G120" s="35" t="s">
        <v>24</v>
      </c>
      <c r="H120" s="36" t="s">
        <v>75</v>
      </c>
      <c r="I120" s="35">
        <v>4000011865</v>
      </c>
      <c r="J120" s="39">
        <v>22.9</v>
      </c>
      <c r="K120" s="37"/>
      <c r="L120" s="39">
        <f t="shared" si="37"/>
        <v>22.9</v>
      </c>
      <c r="M120" s="38">
        <v>0</v>
      </c>
      <c r="N120" s="39">
        <f t="shared" si="38"/>
        <v>0</v>
      </c>
      <c r="O120" s="39">
        <f t="shared" si="39"/>
        <v>22.9</v>
      </c>
      <c r="P120" s="40">
        <f t="shared" ref="P120:P129" si="44">IFERROR(O120/Q120,"")</f>
        <v>8.4405292838450469E-2</v>
      </c>
      <c r="Q120" s="39">
        <f t="shared" ref="Q120:Q129" si="45">SUMIFS(O:O,T:T,T120,B:B,B120,A:A,A120,G:G,G120,E:E,E120)</f>
        <v>271.31</v>
      </c>
      <c r="R120" s="41">
        <f t="shared" ref="R120:R129" si="46">U120-SUMIFS(Q:Q,A:A,A120,B:B,B120,G:G,G120,E:E,E120,T:T,"Fixed Price ( Base Price with GST)")</f>
        <v>3590.188528014397</v>
      </c>
      <c r="S120" s="39">
        <f t="shared" ref="S120:S129" si="47">P120*R120</f>
        <v>303.0309140523006</v>
      </c>
      <c r="T120" s="35" t="s">
        <v>76</v>
      </c>
      <c r="U120" s="42">
        <v>3999</v>
      </c>
      <c r="V120" s="43">
        <v>490110</v>
      </c>
    </row>
    <row r="121" spans="1:22" ht="15" customHeight="1">
      <c r="A121" s="44" t="s">
        <v>70</v>
      </c>
      <c r="B121" s="45" t="s">
        <v>43</v>
      </c>
      <c r="C121" s="45" t="s">
        <v>200</v>
      </c>
      <c r="D121" s="45" t="s">
        <v>201</v>
      </c>
      <c r="E121" s="46" t="s">
        <v>73</v>
      </c>
      <c r="F121" s="47" t="s">
        <v>74</v>
      </c>
      <c r="G121" s="48" t="s">
        <v>24</v>
      </c>
      <c r="H121" s="49" t="s">
        <v>75</v>
      </c>
      <c r="I121" s="48">
        <v>4000011866</v>
      </c>
      <c r="J121" s="52">
        <v>12.46</v>
      </c>
      <c r="K121" s="50"/>
      <c r="L121" s="52">
        <f t="shared" si="37"/>
        <v>12.46</v>
      </c>
      <c r="M121" s="51">
        <v>0</v>
      </c>
      <c r="N121" s="52">
        <f t="shared" si="38"/>
        <v>0</v>
      </c>
      <c r="O121" s="52">
        <f t="shared" si="39"/>
        <v>12.46</v>
      </c>
      <c r="P121" s="53">
        <f t="shared" si="44"/>
        <v>4.5925325273672185E-2</v>
      </c>
      <c r="Q121" s="52">
        <f t="shared" si="45"/>
        <v>271.31</v>
      </c>
      <c r="R121" s="54">
        <f t="shared" si="46"/>
        <v>3590.188528014397</v>
      </c>
      <c r="S121" s="52">
        <f t="shared" si="47"/>
        <v>164.88057594286752</v>
      </c>
      <c r="T121" s="48" t="s">
        <v>76</v>
      </c>
      <c r="U121" s="55">
        <v>3999</v>
      </c>
      <c r="V121" s="56">
        <v>490110</v>
      </c>
    </row>
    <row r="122" spans="1:22" ht="15" customHeight="1">
      <c r="A122" s="44" t="s">
        <v>70</v>
      </c>
      <c r="B122" s="45" t="s">
        <v>43</v>
      </c>
      <c r="C122" s="45" t="s">
        <v>202</v>
      </c>
      <c r="D122" s="45" t="s">
        <v>203</v>
      </c>
      <c r="E122" s="46" t="s">
        <v>73</v>
      </c>
      <c r="F122" s="47" t="s">
        <v>81</v>
      </c>
      <c r="G122" s="48" t="s">
        <v>24</v>
      </c>
      <c r="H122" s="49" t="s">
        <v>75</v>
      </c>
      <c r="I122" s="48">
        <v>4000011867</v>
      </c>
      <c r="J122" s="52">
        <v>42.11</v>
      </c>
      <c r="K122" s="50"/>
      <c r="L122" s="52">
        <f t="shared" si="37"/>
        <v>42.11</v>
      </c>
      <c r="M122" s="51">
        <v>0</v>
      </c>
      <c r="N122" s="52">
        <f t="shared" si="38"/>
        <v>0</v>
      </c>
      <c r="O122" s="52">
        <f t="shared" si="39"/>
        <v>42.11</v>
      </c>
      <c r="P122" s="53">
        <f t="shared" si="44"/>
        <v>0.15520990748590174</v>
      </c>
      <c r="Q122" s="52">
        <f t="shared" si="45"/>
        <v>271.31</v>
      </c>
      <c r="R122" s="54">
        <f t="shared" si="46"/>
        <v>3590.188528014397</v>
      </c>
      <c r="S122" s="52">
        <f t="shared" si="47"/>
        <v>557.23282929006029</v>
      </c>
      <c r="T122" s="48" t="s">
        <v>76</v>
      </c>
      <c r="U122" s="55">
        <v>3999</v>
      </c>
      <c r="V122" s="56">
        <v>490110</v>
      </c>
    </row>
    <row r="123" spans="1:22" ht="15" customHeight="1">
      <c r="A123" s="44" t="s">
        <v>70</v>
      </c>
      <c r="B123" s="45" t="s">
        <v>43</v>
      </c>
      <c r="C123" s="45" t="s">
        <v>202</v>
      </c>
      <c r="D123" s="45" t="s">
        <v>204</v>
      </c>
      <c r="E123" s="46" t="s">
        <v>73</v>
      </c>
      <c r="F123" s="47" t="s">
        <v>74</v>
      </c>
      <c r="G123" s="48" t="s">
        <v>24</v>
      </c>
      <c r="H123" s="49" t="s">
        <v>75</v>
      </c>
      <c r="I123" s="48">
        <v>4000011868</v>
      </c>
      <c r="J123" s="52">
        <v>16.7</v>
      </c>
      <c r="K123" s="50"/>
      <c r="L123" s="52">
        <f t="shared" si="37"/>
        <v>16.7</v>
      </c>
      <c r="M123" s="51">
        <v>0</v>
      </c>
      <c r="N123" s="52">
        <f t="shared" si="38"/>
        <v>0</v>
      </c>
      <c r="O123" s="52">
        <f t="shared" si="39"/>
        <v>16.7</v>
      </c>
      <c r="P123" s="53">
        <f t="shared" si="44"/>
        <v>6.1553204821053406E-2</v>
      </c>
      <c r="Q123" s="52">
        <f t="shared" si="45"/>
        <v>271.31</v>
      </c>
      <c r="R123" s="54">
        <f t="shared" si="46"/>
        <v>3590.188528014397</v>
      </c>
      <c r="S123" s="52">
        <f t="shared" si="47"/>
        <v>220.98760981106642</v>
      </c>
      <c r="T123" s="48" t="s">
        <v>76</v>
      </c>
      <c r="U123" s="55">
        <v>3999</v>
      </c>
      <c r="V123" s="56">
        <v>490110</v>
      </c>
    </row>
    <row r="124" spans="1:22" ht="15" customHeight="1">
      <c r="A124" s="44" t="s">
        <v>70</v>
      </c>
      <c r="B124" s="45" t="s">
        <v>43</v>
      </c>
      <c r="C124" s="45" t="s">
        <v>205</v>
      </c>
      <c r="D124" s="45" t="s">
        <v>206</v>
      </c>
      <c r="E124" s="46" t="s">
        <v>73</v>
      </c>
      <c r="F124" s="47" t="s">
        <v>74</v>
      </c>
      <c r="G124" s="48" t="s">
        <v>24</v>
      </c>
      <c r="H124" s="49" t="s">
        <v>75</v>
      </c>
      <c r="I124" s="48">
        <v>4000011869</v>
      </c>
      <c r="J124" s="52">
        <v>37.69</v>
      </c>
      <c r="K124" s="50"/>
      <c r="L124" s="52">
        <f t="shared" si="37"/>
        <v>37.69</v>
      </c>
      <c r="M124" s="51">
        <v>0</v>
      </c>
      <c r="N124" s="52">
        <f t="shared" si="38"/>
        <v>0</v>
      </c>
      <c r="O124" s="52">
        <f t="shared" si="39"/>
        <v>37.69</v>
      </c>
      <c r="P124" s="53">
        <f t="shared" si="44"/>
        <v>0.13891858022188638</v>
      </c>
      <c r="Q124" s="52">
        <f t="shared" si="45"/>
        <v>271.31</v>
      </c>
      <c r="R124" s="54">
        <f t="shared" si="46"/>
        <v>3590.188528014397</v>
      </c>
      <c r="S124" s="52">
        <f t="shared" si="47"/>
        <v>498.7438930406642</v>
      </c>
      <c r="T124" s="48" t="s">
        <v>76</v>
      </c>
      <c r="U124" s="55">
        <v>3999</v>
      </c>
      <c r="V124" s="56">
        <v>490110</v>
      </c>
    </row>
    <row r="125" spans="1:22" ht="15" customHeight="1">
      <c r="A125" s="44" t="s">
        <v>70</v>
      </c>
      <c r="B125" s="45" t="s">
        <v>43</v>
      </c>
      <c r="C125" s="45" t="s">
        <v>205</v>
      </c>
      <c r="D125" s="45" t="s">
        <v>207</v>
      </c>
      <c r="E125" s="46" t="s">
        <v>73</v>
      </c>
      <c r="F125" s="47" t="s">
        <v>81</v>
      </c>
      <c r="G125" s="48" t="s">
        <v>24</v>
      </c>
      <c r="H125" s="49" t="s">
        <v>75</v>
      </c>
      <c r="I125" s="48">
        <v>4000011870</v>
      </c>
      <c r="J125" s="52">
        <v>18.13</v>
      </c>
      <c r="K125" s="50"/>
      <c r="L125" s="52">
        <f t="shared" si="37"/>
        <v>18.13</v>
      </c>
      <c r="M125" s="51">
        <v>0</v>
      </c>
      <c r="N125" s="52">
        <f t="shared" si="38"/>
        <v>0</v>
      </c>
      <c r="O125" s="52">
        <f t="shared" si="39"/>
        <v>18.13</v>
      </c>
      <c r="P125" s="53">
        <f t="shared" si="44"/>
        <v>6.6823928347646597E-2</v>
      </c>
      <c r="Q125" s="52">
        <f t="shared" si="45"/>
        <v>271.31</v>
      </c>
      <c r="R125" s="54">
        <f t="shared" si="46"/>
        <v>3590.188528014397</v>
      </c>
      <c r="S125" s="52">
        <f t="shared" si="47"/>
        <v>239.91050095057687</v>
      </c>
      <c r="T125" s="48" t="s">
        <v>76</v>
      </c>
      <c r="U125" s="55">
        <v>3999</v>
      </c>
      <c r="V125" s="56">
        <v>490110</v>
      </c>
    </row>
    <row r="126" spans="1:22" ht="15" customHeight="1">
      <c r="A126" s="44" t="s">
        <v>70</v>
      </c>
      <c r="B126" s="45" t="s">
        <v>43</v>
      </c>
      <c r="C126" s="45" t="s">
        <v>202</v>
      </c>
      <c r="D126" s="45" t="s">
        <v>208</v>
      </c>
      <c r="E126" s="46" t="s">
        <v>73</v>
      </c>
      <c r="F126" s="47" t="s">
        <v>74</v>
      </c>
      <c r="G126" s="48" t="s">
        <v>24</v>
      </c>
      <c r="H126" s="57" t="s">
        <v>84</v>
      </c>
      <c r="I126" s="48">
        <v>4000011871</v>
      </c>
      <c r="J126" s="52">
        <v>42.11</v>
      </c>
      <c r="K126" s="50"/>
      <c r="L126" s="52">
        <f t="shared" si="37"/>
        <v>42.11</v>
      </c>
      <c r="M126" s="51">
        <v>0</v>
      </c>
      <c r="N126" s="52">
        <f t="shared" si="38"/>
        <v>0</v>
      </c>
      <c r="O126" s="52">
        <f t="shared" si="39"/>
        <v>42.11</v>
      </c>
      <c r="P126" s="53">
        <f t="shared" si="44"/>
        <v>0.15520990748590174</v>
      </c>
      <c r="Q126" s="52">
        <f t="shared" si="45"/>
        <v>271.31</v>
      </c>
      <c r="R126" s="54">
        <f t="shared" si="46"/>
        <v>3590.188528014397</v>
      </c>
      <c r="S126" s="52">
        <f t="shared" si="47"/>
        <v>557.23282929006029</v>
      </c>
      <c r="T126" s="48" t="s">
        <v>76</v>
      </c>
      <c r="U126" s="55">
        <v>3999</v>
      </c>
      <c r="V126" s="56">
        <v>490110</v>
      </c>
    </row>
    <row r="127" spans="1:22" ht="15" customHeight="1">
      <c r="A127" s="44" t="s">
        <v>70</v>
      </c>
      <c r="B127" s="45" t="s">
        <v>43</v>
      </c>
      <c r="C127" s="45" t="s">
        <v>202</v>
      </c>
      <c r="D127" s="45" t="s">
        <v>209</v>
      </c>
      <c r="E127" s="46" t="s">
        <v>73</v>
      </c>
      <c r="F127" s="47" t="s">
        <v>74</v>
      </c>
      <c r="G127" s="48" t="s">
        <v>24</v>
      </c>
      <c r="H127" s="57" t="s">
        <v>84</v>
      </c>
      <c r="I127" s="48">
        <v>4000011873</v>
      </c>
      <c r="J127" s="52">
        <v>18.13</v>
      </c>
      <c r="K127" s="50"/>
      <c r="L127" s="52">
        <f t="shared" si="37"/>
        <v>18.13</v>
      </c>
      <c r="M127" s="51">
        <v>0</v>
      </c>
      <c r="N127" s="52">
        <f t="shared" si="38"/>
        <v>0</v>
      </c>
      <c r="O127" s="52">
        <f t="shared" si="39"/>
        <v>18.13</v>
      </c>
      <c r="P127" s="53">
        <f t="shared" si="44"/>
        <v>6.6823928347646597E-2</v>
      </c>
      <c r="Q127" s="52">
        <f t="shared" si="45"/>
        <v>271.31</v>
      </c>
      <c r="R127" s="54">
        <f t="shared" si="46"/>
        <v>3590.188528014397</v>
      </c>
      <c r="S127" s="52">
        <f t="shared" si="47"/>
        <v>239.91050095057687</v>
      </c>
      <c r="T127" s="48" t="s">
        <v>76</v>
      </c>
      <c r="U127" s="55">
        <v>3999</v>
      </c>
      <c r="V127" s="56">
        <v>490110</v>
      </c>
    </row>
    <row r="128" spans="1:22" ht="15" customHeight="1">
      <c r="A128" s="44" t="s">
        <v>70</v>
      </c>
      <c r="B128" s="45" t="s">
        <v>43</v>
      </c>
      <c r="C128" s="45" t="s">
        <v>205</v>
      </c>
      <c r="D128" s="45" t="s">
        <v>210</v>
      </c>
      <c r="E128" s="46" t="s">
        <v>73</v>
      </c>
      <c r="F128" s="47" t="s">
        <v>81</v>
      </c>
      <c r="G128" s="48" t="s">
        <v>24</v>
      </c>
      <c r="H128" s="57" t="s">
        <v>84</v>
      </c>
      <c r="I128" s="48">
        <v>4000011874</v>
      </c>
      <c r="J128" s="52">
        <v>44.38</v>
      </c>
      <c r="K128" s="50"/>
      <c r="L128" s="52">
        <f t="shared" si="37"/>
        <v>44.38</v>
      </c>
      <c r="M128" s="51">
        <v>0</v>
      </c>
      <c r="N128" s="52">
        <f t="shared" si="38"/>
        <v>0</v>
      </c>
      <c r="O128" s="52">
        <f t="shared" si="39"/>
        <v>44.38</v>
      </c>
      <c r="P128" s="53">
        <f t="shared" si="44"/>
        <v>0.16357672035678744</v>
      </c>
      <c r="Q128" s="52">
        <f t="shared" si="45"/>
        <v>271.31</v>
      </c>
      <c r="R128" s="54">
        <f t="shared" si="46"/>
        <v>3590.188528014397</v>
      </c>
      <c r="S128" s="52">
        <f t="shared" si="47"/>
        <v>587.27126487515739</v>
      </c>
      <c r="T128" s="48" t="s">
        <v>76</v>
      </c>
      <c r="U128" s="55">
        <v>3999</v>
      </c>
      <c r="V128" s="56">
        <v>490110</v>
      </c>
    </row>
    <row r="129" spans="1:22" ht="15" customHeight="1">
      <c r="A129" s="44" t="s">
        <v>70</v>
      </c>
      <c r="B129" s="45" t="s">
        <v>43</v>
      </c>
      <c r="C129" s="45" t="s">
        <v>205</v>
      </c>
      <c r="D129" s="45" t="s">
        <v>211</v>
      </c>
      <c r="E129" s="46" t="s">
        <v>73</v>
      </c>
      <c r="F129" s="47" t="s">
        <v>81</v>
      </c>
      <c r="G129" s="48" t="s">
        <v>24</v>
      </c>
      <c r="H129" s="57" t="s">
        <v>84</v>
      </c>
      <c r="I129" s="48">
        <v>4000011875</v>
      </c>
      <c r="J129" s="52">
        <v>16.7</v>
      </c>
      <c r="K129" s="50"/>
      <c r="L129" s="52">
        <f t="shared" si="37"/>
        <v>16.7</v>
      </c>
      <c r="M129" s="51">
        <v>0</v>
      </c>
      <c r="N129" s="52">
        <f t="shared" si="38"/>
        <v>0</v>
      </c>
      <c r="O129" s="52">
        <f t="shared" si="39"/>
        <v>16.7</v>
      </c>
      <c r="P129" s="53">
        <f t="shared" si="44"/>
        <v>6.1553204821053406E-2</v>
      </c>
      <c r="Q129" s="52">
        <f t="shared" si="45"/>
        <v>271.31</v>
      </c>
      <c r="R129" s="54">
        <f t="shared" si="46"/>
        <v>3590.188528014397</v>
      </c>
      <c r="S129" s="52">
        <f t="shared" si="47"/>
        <v>220.98760981106642</v>
      </c>
      <c r="T129" s="48" t="s">
        <v>76</v>
      </c>
      <c r="U129" s="55">
        <v>3999</v>
      </c>
      <c r="V129" s="56">
        <v>490110</v>
      </c>
    </row>
    <row r="130" spans="1:22" ht="15" customHeight="1">
      <c r="A130" s="44" t="s">
        <v>70</v>
      </c>
      <c r="B130" s="45" t="s">
        <v>43</v>
      </c>
      <c r="C130" s="45" t="s">
        <v>88</v>
      </c>
      <c r="D130" s="45" t="s">
        <v>212</v>
      </c>
      <c r="E130" s="46" t="s">
        <v>73</v>
      </c>
      <c r="F130" s="58" t="s">
        <v>90</v>
      </c>
      <c r="G130" s="48" t="s">
        <v>24</v>
      </c>
      <c r="H130" s="59" t="s">
        <v>75</v>
      </c>
      <c r="I130" s="60">
        <v>7000000219</v>
      </c>
      <c r="J130" s="61">
        <v>441.4</v>
      </c>
      <c r="K130" s="60">
        <v>10</v>
      </c>
      <c r="L130" s="61">
        <v>250.45039998780001</v>
      </c>
      <c r="M130" s="62">
        <v>0.18</v>
      </c>
      <c r="N130" s="61">
        <v>45.081071997803903</v>
      </c>
      <c r="O130" s="61">
        <v>295.53147198560299</v>
      </c>
      <c r="P130" s="63">
        <v>0</v>
      </c>
      <c r="Q130" s="61">
        <v>295.53147198560299</v>
      </c>
      <c r="R130" s="64">
        <v>295.53147198560299</v>
      </c>
      <c r="S130" s="61">
        <v>295.53147198560299</v>
      </c>
      <c r="T130" s="60" t="s">
        <v>91</v>
      </c>
      <c r="U130" s="55">
        <v>3999</v>
      </c>
      <c r="V130" s="56">
        <v>49119990</v>
      </c>
    </row>
    <row r="131" spans="1:22" ht="15" customHeight="1">
      <c r="A131" s="65" t="s">
        <v>70</v>
      </c>
      <c r="B131" s="66" t="s">
        <v>43</v>
      </c>
      <c r="C131" s="66" t="s">
        <v>92</v>
      </c>
      <c r="D131" s="66" t="s">
        <v>93</v>
      </c>
      <c r="E131" s="67" t="s">
        <v>73</v>
      </c>
      <c r="F131" s="68" t="s">
        <v>94</v>
      </c>
      <c r="G131" s="69" t="s">
        <v>24</v>
      </c>
      <c r="H131" s="70" t="s">
        <v>75</v>
      </c>
      <c r="I131" s="71">
        <v>8400007</v>
      </c>
      <c r="J131" s="72">
        <v>96</v>
      </c>
      <c r="K131" s="73"/>
      <c r="L131" s="72">
        <f t="shared" ref="L131:L162" si="48">J131+K131</f>
        <v>96</v>
      </c>
      <c r="M131" s="74">
        <v>0.18</v>
      </c>
      <c r="N131" s="72">
        <f t="shared" ref="N131:N162" si="49">M131*L131</f>
        <v>17.28</v>
      </c>
      <c r="O131" s="72">
        <f t="shared" ref="O131:O162" si="50">L131+N131</f>
        <v>113.28</v>
      </c>
      <c r="P131" s="75">
        <v>0</v>
      </c>
      <c r="Q131" s="72">
        <f>O131</f>
        <v>113.28</v>
      </c>
      <c r="R131" s="76">
        <f>Q131</f>
        <v>113.28</v>
      </c>
      <c r="S131" s="72">
        <f>Q131</f>
        <v>113.28</v>
      </c>
      <c r="T131" s="71" t="s">
        <v>91</v>
      </c>
      <c r="U131" s="77">
        <v>3999</v>
      </c>
      <c r="V131" s="78">
        <v>999299</v>
      </c>
    </row>
    <row r="132" spans="1:22" ht="15" customHeight="1">
      <c r="A132" s="79" t="s">
        <v>70</v>
      </c>
      <c r="B132" s="45" t="s">
        <v>44</v>
      </c>
      <c r="C132" s="45" t="s">
        <v>213</v>
      </c>
      <c r="D132" s="45" t="s">
        <v>214</v>
      </c>
      <c r="E132" s="46" t="s">
        <v>73</v>
      </c>
      <c r="F132" s="47" t="s">
        <v>74</v>
      </c>
      <c r="G132" s="48" t="s">
        <v>24</v>
      </c>
      <c r="H132" s="49" t="s">
        <v>75</v>
      </c>
      <c r="I132" s="48">
        <v>4000011876</v>
      </c>
      <c r="J132" s="52">
        <v>40.57</v>
      </c>
      <c r="K132" s="50"/>
      <c r="L132" s="52">
        <f t="shared" si="48"/>
        <v>40.57</v>
      </c>
      <c r="M132" s="51">
        <v>0</v>
      </c>
      <c r="N132" s="52">
        <f t="shared" si="49"/>
        <v>0</v>
      </c>
      <c r="O132" s="52">
        <f t="shared" si="50"/>
        <v>40.57</v>
      </c>
      <c r="P132" s="53">
        <f t="shared" ref="P132:P141" si="51">IFERROR(O132/Q132,"")</f>
        <v>0.12725447758853237</v>
      </c>
      <c r="Q132" s="52">
        <f t="shared" ref="Q132:Q141" si="52">SUMIFS(O:O,T:T,T132,B:B,B132,A:A,A132,G:G,G132,E:E,E132)</f>
        <v>318.81</v>
      </c>
      <c r="R132" s="54">
        <f t="shared" ref="R132:R141" si="53">U132-SUMIFS(Q:Q,A:A,A132,B:B,B132,G:G,G132,E:E,E132,T:T,"Fixed Price ( Base Price with GST)")</f>
        <v>3466.1120000000001</v>
      </c>
      <c r="S132" s="52">
        <f t="shared" ref="S132:S141" si="54">P132*R132</f>
        <v>441.07827182334313</v>
      </c>
      <c r="T132" s="48" t="s">
        <v>76</v>
      </c>
      <c r="U132" s="42">
        <v>3999</v>
      </c>
      <c r="V132" s="80">
        <v>490110</v>
      </c>
    </row>
    <row r="133" spans="1:22" ht="15" customHeight="1">
      <c r="A133" s="79" t="s">
        <v>70</v>
      </c>
      <c r="B133" s="45" t="s">
        <v>44</v>
      </c>
      <c r="C133" s="45" t="s">
        <v>200</v>
      </c>
      <c r="D133" s="45" t="s">
        <v>215</v>
      </c>
      <c r="E133" s="46" t="s">
        <v>73</v>
      </c>
      <c r="F133" s="47" t="s">
        <v>74</v>
      </c>
      <c r="G133" s="48" t="s">
        <v>24</v>
      </c>
      <c r="H133" s="49" t="s">
        <v>75</v>
      </c>
      <c r="I133" s="48">
        <v>4000011820</v>
      </c>
      <c r="J133" s="52">
        <v>12.36</v>
      </c>
      <c r="K133" s="50"/>
      <c r="L133" s="52">
        <f t="shared" si="48"/>
        <v>12.36</v>
      </c>
      <c r="M133" s="51">
        <v>0</v>
      </c>
      <c r="N133" s="52">
        <f t="shared" si="49"/>
        <v>0</v>
      </c>
      <c r="O133" s="52">
        <f t="shared" si="50"/>
        <v>12.36</v>
      </c>
      <c r="P133" s="53">
        <f t="shared" si="51"/>
        <v>3.8769172861578993E-2</v>
      </c>
      <c r="Q133" s="52">
        <f t="shared" si="52"/>
        <v>318.81</v>
      </c>
      <c r="R133" s="54">
        <f t="shared" si="53"/>
        <v>3466.1120000000001</v>
      </c>
      <c r="S133" s="52">
        <f t="shared" si="54"/>
        <v>134.37829528559328</v>
      </c>
      <c r="T133" s="48" t="s">
        <v>76</v>
      </c>
      <c r="U133" s="55">
        <v>3999</v>
      </c>
      <c r="V133" s="80">
        <v>490110</v>
      </c>
    </row>
    <row r="134" spans="1:22" ht="15" customHeight="1">
      <c r="A134" s="79" t="s">
        <v>70</v>
      </c>
      <c r="B134" s="45" t="s">
        <v>44</v>
      </c>
      <c r="C134" s="45" t="s">
        <v>205</v>
      </c>
      <c r="D134" s="45" t="s">
        <v>216</v>
      </c>
      <c r="E134" s="46" t="s">
        <v>73</v>
      </c>
      <c r="F134" s="47" t="s">
        <v>81</v>
      </c>
      <c r="G134" s="48" t="s">
        <v>24</v>
      </c>
      <c r="H134" s="49" t="s">
        <v>75</v>
      </c>
      <c r="I134" s="48">
        <v>4000011821</v>
      </c>
      <c r="J134" s="52">
        <v>46.45</v>
      </c>
      <c r="K134" s="50"/>
      <c r="L134" s="52">
        <f t="shared" si="48"/>
        <v>46.45</v>
      </c>
      <c r="M134" s="51">
        <v>0</v>
      </c>
      <c r="N134" s="52">
        <f t="shared" si="49"/>
        <v>0</v>
      </c>
      <c r="O134" s="52">
        <f t="shared" si="50"/>
        <v>46.45</v>
      </c>
      <c r="P134" s="53">
        <f t="shared" si="51"/>
        <v>0.14569806467802141</v>
      </c>
      <c r="Q134" s="52">
        <f t="shared" si="52"/>
        <v>318.81</v>
      </c>
      <c r="R134" s="54">
        <f t="shared" si="53"/>
        <v>3466.1120000000001</v>
      </c>
      <c r="S134" s="52">
        <f t="shared" si="54"/>
        <v>505.00581035726611</v>
      </c>
      <c r="T134" s="48" t="s">
        <v>76</v>
      </c>
      <c r="U134" s="55">
        <v>3999</v>
      </c>
      <c r="V134" s="80">
        <v>490110</v>
      </c>
    </row>
    <row r="135" spans="1:22" ht="15" customHeight="1">
      <c r="A135" s="79" t="s">
        <v>70</v>
      </c>
      <c r="B135" s="45" t="s">
        <v>44</v>
      </c>
      <c r="C135" s="45" t="s">
        <v>205</v>
      </c>
      <c r="D135" s="45" t="s">
        <v>217</v>
      </c>
      <c r="E135" s="46" t="s">
        <v>73</v>
      </c>
      <c r="F135" s="47" t="s">
        <v>74</v>
      </c>
      <c r="G135" s="48" t="s">
        <v>24</v>
      </c>
      <c r="H135" s="49" t="s">
        <v>75</v>
      </c>
      <c r="I135" s="48">
        <v>4000011822</v>
      </c>
      <c r="J135" s="52">
        <v>18.12</v>
      </c>
      <c r="K135" s="50"/>
      <c r="L135" s="52">
        <f t="shared" si="48"/>
        <v>18.12</v>
      </c>
      <c r="M135" s="51">
        <v>0</v>
      </c>
      <c r="N135" s="52">
        <f t="shared" si="49"/>
        <v>0</v>
      </c>
      <c r="O135" s="52">
        <f t="shared" si="50"/>
        <v>18.12</v>
      </c>
      <c r="P135" s="53">
        <f t="shared" si="51"/>
        <v>5.6836360214547854E-2</v>
      </c>
      <c r="Q135" s="52">
        <f t="shared" si="52"/>
        <v>318.81</v>
      </c>
      <c r="R135" s="54">
        <f t="shared" si="53"/>
        <v>3466.1120000000001</v>
      </c>
      <c r="S135" s="52">
        <f t="shared" si="54"/>
        <v>197.00119017596688</v>
      </c>
      <c r="T135" s="48" t="s">
        <v>76</v>
      </c>
      <c r="U135" s="55">
        <v>3999</v>
      </c>
      <c r="V135" s="80">
        <v>490110</v>
      </c>
    </row>
    <row r="136" spans="1:22" ht="15" customHeight="1">
      <c r="A136" s="79" t="s">
        <v>70</v>
      </c>
      <c r="B136" s="45" t="s">
        <v>44</v>
      </c>
      <c r="C136" s="45" t="s">
        <v>202</v>
      </c>
      <c r="D136" s="45" t="s">
        <v>218</v>
      </c>
      <c r="E136" s="46" t="s">
        <v>73</v>
      </c>
      <c r="F136" s="47" t="s">
        <v>74</v>
      </c>
      <c r="G136" s="48" t="s">
        <v>24</v>
      </c>
      <c r="H136" s="49" t="s">
        <v>75</v>
      </c>
      <c r="I136" s="48">
        <v>4000011823</v>
      </c>
      <c r="J136" s="52">
        <v>46.45</v>
      </c>
      <c r="K136" s="50"/>
      <c r="L136" s="52">
        <f t="shared" si="48"/>
        <v>46.45</v>
      </c>
      <c r="M136" s="51">
        <v>0</v>
      </c>
      <c r="N136" s="52">
        <f t="shared" si="49"/>
        <v>0</v>
      </c>
      <c r="O136" s="52">
        <f t="shared" si="50"/>
        <v>46.45</v>
      </c>
      <c r="P136" s="53">
        <f t="shared" si="51"/>
        <v>0.14569806467802141</v>
      </c>
      <c r="Q136" s="52">
        <f t="shared" si="52"/>
        <v>318.81</v>
      </c>
      <c r="R136" s="54">
        <f t="shared" si="53"/>
        <v>3466.1120000000001</v>
      </c>
      <c r="S136" s="52">
        <f t="shared" si="54"/>
        <v>505.00581035726611</v>
      </c>
      <c r="T136" s="48" t="s">
        <v>76</v>
      </c>
      <c r="U136" s="55">
        <v>3999</v>
      </c>
      <c r="V136" s="80">
        <v>490110</v>
      </c>
    </row>
    <row r="137" spans="1:22" ht="15" customHeight="1">
      <c r="A137" s="79" t="s">
        <v>70</v>
      </c>
      <c r="B137" s="45" t="s">
        <v>44</v>
      </c>
      <c r="C137" s="45" t="s">
        <v>202</v>
      </c>
      <c r="D137" s="45" t="s">
        <v>219</v>
      </c>
      <c r="E137" s="46" t="s">
        <v>73</v>
      </c>
      <c r="F137" s="47" t="s">
        <v>81</v>
      </c>
      <c r="G137" s="48" t="s">
        <v>24</v>
      </c>
      <c r="H137" s="49" t="s">
        <v>75</v>
      </c>
      <c r="I137" s="48">
        <v>4000011824</v>
      </c>
      <c r="J137" s="52">
        <v>19.66</v>
      </c>
      <c r="K137" s="50"/>
      <c r="L137" s="52">
        <f t="shared" si="48"/>
        <v>19.66</v>
      </c>
      <c r="M137" s="51">
        <v>0</v>
      </c>
      <c r="N137" s="52">
        <f t="shared" si="49"/>
        <v>0</v>
      </c>
      <c r="O137" s="52">
        <f t="shared" si="50"/>
        <v>19.66</v>
      </c>
      <c r="P137" s="53">
        <f t="shared" si="51"/>
        <v>6.1666823499890215E-2</v>
      </c>
      <c r="Q137" s="52">
        <f t="shared" si="52"/>
        <v>318.81</v>
      </c>
      <c r="R137" s="54">
        <f t="shared" si="53"/>
        <v>3466.1120000000001</v>
      </c>
      <c r="S137" s="52">
        <f t="shared" si="54"/>
        <v>213.74411693485149</v>
      </c>
      <c r="T137" s="48" t="s">
        <v>76</v>
      </c>
      <c r="U137" s="55">
        <v>3999</v>
      </c>
      <c r="V137" s="80">
        <v>490110</v>
      </c>
    </row>
    <row r="138" spans="1:22" ht="15" customHeight="1">
      <c r="A138" s="79" t="s">
        <v>70</v>
      </c>
      <c r="B138" s="45" t="s">
        <v>44</v>
      </c>
      <c r="C138" s="45" t="s">
        <v>202</v>
      </c>
      <c r="D138" s="45" t="s">
        <v>220</v>
      </c>
      <c r="E138" s="46" t="s">
        <v>73</v>
      </c>
      <c r="F138" s="47" t="s">
        <v>74</v>
      </c>
      <c r="G138" s="48" t="s">
        <v>24</v>
      </c>
      <c r="H138" s="57" t="s">
        <v>84</v>
      </c>
      <c r="I138" s="48">
        <v>4000011825</v>
      </c>
      <c r="J138" s="52">
        <v>48.71</v>
      </c>
      <c r="K138" s="50"/>
      <c r="L138" s="52">
        <f t="shared" si="48"/>
        <v>48.71</v>
      </c>
      <c r="M138" s="51">
        <v>0</v>
      </c>
      <c r="N138" s="52">
        <f t="shared" si="49"/>
        <v>0</v>
      </c>
      <c r="O138" s="52">
        <f t="shared" si="50"/>
        <v>48.71</v>
      </c>
      <c r="P138" s="53">
        <f t="shared" si="51"/>
        <v>0.15278692638248487</v>
      </c>
      <c r="Q138" s="52">
        <f t="shared" si="52"/>
        <v>318.81</v>
      </c>
      <c r="R138" s="54">
        <f t="shared" si="53"/>
        <v>3466.1120000000001</v>
      </c>
      <c r="S138" s="52">
        <f t="shared" si="54"/>
        <v>529.57659897744736</v>
      </c>
      <c r="T138" s="48" t="s">
        <v>76</v>
      </c>
      <c r="U138" s="55">
        <v>3999</v>
      </c>
      <c r="V138" s="80">
        <v>490110</v>
      </c>
    </row>
    <row r="139" spans="1:22" ht="15" customHeight="1">
      <c r="A139" s="79" t="s">
        <v>70</v>
      </c>
      <c r="B139" s="45" t="s">
        <v>44</v>
      </c>
      <c r="C139" s="45" t="s">
        <v>202</v>
      </c>
      <c r="D139" s="45" t="s">
        <v>221</v>
      </c>
      <c r="E139" s="46" t="s">
        <v>73</v>
      </c>
      <c r="F139" s="47" t="s">
        <v>74</v>
      </c>
      <c r="G139" s="48" t="s">
        <v>24</v>
      </c>
      <c r="H139" s="57" t="s">
        <v>84</v>
      </c>
      <c r="I139" s="48">
        <v>4000011827</v>
      </c>
      <c r="J139" s="52">
        <v>19.66</v>
      </c>
      <c r="K139" s="50"/>
      <c r="L139" s="52">
        <f t="shared" si="48"/>
        <v>19.66</v>
      </c>
      <c r="M139" s="51">
        <v>0</v>
      </c>
      <c r="N139" s="52">
        <f t="shared" si="49"/>
        <v>0</v>
      </c>
      <c r="O139" s="52">
        <f t="shared" si="50"/>
        <v>19.66</v>
      </c>
      <c r="P139" s="53">
        <f t="shared" si="51"/>
        <v>6.1666823499890215E-2</v>
      </c>
      <c r="Q139" s="52">
        <f t="shared" si="52"/>
        <v>318.81</v>
      </c>
      <c r="R139" s="54">
        <f t="shared" si="53"/>
        <v>3466.1120000000001</v>
      </c>
      <c r="S139" s="52">
        <f t="shared" si="54"/>
        <v>213.74411693485149</v>
      </c>
      <c r="T139" s="48" t="s">
        <v>76</v>
      </c>
      <c r="U139" s="55">
        <v>3999</v>
      </c>
      <c r="V139" s="80">
        <v>490110</v>
      </c>
    </row>
    <row r="140" spans="1:22" ht="15" customHeight="1">
      <c r="A140" s="79" t="s">
        <v>70</v>
      </c>
      <c r="B140" s="45" t="s">
        <v>44</v>
      </c>
      <c r="C140" s="45" t="s">
        <v>205</v>
      </c>
      <c r="D140" s="45" t="s">
        <v>222</v>
      </c>
      <c r="E140" s="46" t="s">
        <v>73</v>
      </c>
      <c r="F140" s="47" t="s">
        <v>81</v>
      </c>
      <c r="G140" s="48" t="s">
        <v>24</v>
      </c>
      <c r="H140" s="57" t="s">
        <v>84</v>
      </c>
      <c r="I140" s="48">
        <v>4000011828</v>
      </c>
      <c r="J140" s="52">
        <v>48.71</v>
      </c>
      <c r="K140" s="50"/>
      <c r="L140" s="52">
        <f t="shared" si="48"/>
        <v>48.71</v>
      </c>
      <c r="M140" s="51">
        <v>0</v>
      </c>
      <c r="N140" s="52">
        <f t="shared" si="49"/>
        <v>0</v>
      </c>
      <c r="O140" s="52">
        <f t="shared" si="50"/>
        <v>48.71</v>
      </c>
      <c r="P140" s="53">
        <f t="shared" si="51"/>
        <v>0.15278692638248487</v>
      </c>
      <c r="Q140" s="52">
        <f t="shared" si="52"/>
        <v>318.81</v>
      </c>
      <c r="R140" s="54">
        <f t="shared" si="53"/>
        <v>3466.1120000000001</v>
      </c>
      <c r="S140" s="52">
        <f t="shared" si="54"/>
        <v>529.57659897744736</v>
      </c>
      <c r="T140" s="48" t="s">
        <v>76</v>
      </c>
      <c r="U140" s="55">
        <v>3999</v>
      </c>
      <c r="V140" s="80">
        <v>490110</v>
      </c>
    </row>
    <row r="141" spans="1:22" ht="15" customHeight="1">
      <c r="A141" s="79" t="s">
        <v>70</v>
      </c>
      <c r="B141" s="45" t="s">
        <v>44</v>
      </c>
      <c r="C141" s="45" t="s">
        <v>205</v>
      </c>
      <c r="D141" s="45" t="s">
        <v>223</v>
      </c>
      <c r="E141" s="46" t="s">
        <v>73</v>
      </c>
      <c r="F141" s="47" t="s">
        <v>81</v>
      </c>
      <c r="G141" s="48" t="s">
        <v>24</v>
      </c>
      <c r="H141" s="57" t="s">
        <v>84</v>
      </c>
      <c r="I141" s="48">
        <v>4000011829</v>
      </c>
      <c r="J141" s="52">
        <v>18.12</v>
      </c>
      <c r="K141" s="50"/>
      <c r="L141" s="52">
        <f t="shared" si="48"/>
        <v>18.12</v>
      </c>
      <c r="M141" s="51">
        <v>0</v>
      </c>
      <c r="N141" s="52">
        <f t="shared" si="49"/>
        <v>0</v>
      </c>
      <c r="O141" s="52">
        <f t="shared" si="50"/>
        <v>18.12</v>
      </c>
      <c r="P141" s="53">
        <f t="shared" si="51"/>
        <v>5.6836360214547854E-2</v>
      </c>
      <c r="Q141" s="52">
        <f t="shared" si="52"/>
        <v>318.81</v>
      </c>
      <c r="R141" s="54">
        <f t="shared" si="53"/>
        <v>3466.1120000000001</v>
      </c>
      <c r="S141" s="52">
        <f t="shared" si="54"/>
        <v>197.00119017596688</v>
      </c>
      <c r="T141" s="48" t="s">
        <v>76</v>
      </c>
      <c r="U141" s="55">
        <v>3999</v>
      </c>
      <c r="V141" s="80">
        <v>490110</v>
      </c>
    </row>
    <row r="142" spans="1:22" ht="15" customHeight="1">
      <c r="A142" s="79" t="s">
        <v>70</v>
      </c>
      <c r="B142" s="45" t="s">
        <v>44</v>
      </c>
      <c r="C142" s="45" t="s">
        <v>88</v>
      </c>
      <c r="D142" s="45" t="s">
        <v>224</v>
      </c>
      <c r="E142" s="46" t="s">
        <v>73</v>
      </c>
      <c r="F142" s="58" t="s">
        <v>90</v>
      </c>
      <c r="G142" s="48" t="s">
        <v>24</v>
      </c>
      <c r="H142" s="59" t="s">
        <v>75</v>
      </c>
      <c r="I142" s="60">
        <v>7000000220</v>
      </c>
      <c r="J142" s="61">
        <v>345.6</v>
      </c>
      <c r="K142" s="60">
        <v>10</v>
      </c>
      <c r="L142" s="61">
        <f t="shared" si="48"/>
        <v>355.6</v>
      </c>
      <c r="M142" s="62">
        <v>0.18</v>
      </c>
      <c r="N142" s="61">
        <f t="shared" si="49"/>
        <v>64.007999999999996</v>
      </c>
      <c r="O142" s="61">
        <f t="shared" si="50"/>
        <v>419.608</v>
      </c>
      <c r="P142" s="63">
        <v>0</v>
      </c>
      <c r="Q142" s="61">
        <f>O142</f>
        <v>419.608</v>
      </c>
      <c r="R142" s="64">
        <f>Q142</f>
        <v>419.608</v>
      </c>
      <c r="S142" s="61">
        <f>Q142</f>
        <v>419.608</v>
      </c>
      <c r="T142" s="60" t="s">
        <v>91</v>
      </c>
      <c r="U142" s="55">
        <v>3999</v>
      </c>
      <c r="V142" s="80">
        <v>49119990</v>
      </c>
    </row>
    <row r="143" spans="1:22" ht="15" customHeight="1">
      <c r="A143" s="79" t="s">
        <v>70</v>
      </c>
      <c r="B143" s="45" t="s">
        <v>44</v>
      </c>
      <c r="C143" s="45" t="s">
        <v>92</v>
      </c>
      <c r="D143" s="45" t="s">
        <v>93</v>
      </c>
      <c r="E143" s="46" t="s">
        <v>73</v>
      </c>
      <c r="F143" s="81" t="s">
        <v>94</v>
      </c>
      <c r="G143" s="48" t="s">
        <v>24</v>
      </c>
      <c r="H143" s="59" t="s">
        <v>75</v>
      </c>
      <c r="I143" s="60">
        <v>8400007</v>
      </c>
      <c r="J143" s="61">
        <v>96</v>
      </c>
      <c r="K143" s="82"/>
      <c r="L143" s="61">
        <f t="shared" si="48"/>
        <v>96</v>
      </c>
      <c r="M143" s="62">
        <v>0.18</v>
      </c>
      <c r="N143" s="61">
        <f t="shared" si="49"/>
        <v>17.28</v>
      </c>
      <c r="O143" s="61">
        <f t="shared" si="50"/>
        <v>113.28</v>
      </c>
      <c r="P143" s="63">
        <v>0</v>
      </c>
      <c r="Q143" s="61">
        <f>O143</f>
        <v>113.28</v>
      </c>
      <c r="R143" s="64">
        <f>Q143</f>
        <v>113.28</v>
      </c>
      <c r="S143" s="61">
        <f>Q143</f>
        <v>113.28</v>
      </c>
      <c r="T143" s="60" t="s">
        <v>91</v>
      </c>
      <c r="U143" s="77">
        <v>3999</v>
      </c>
      <c r="V143" s="80">
        <v>999299</v>
      </c>
    </row>
    <row r="144" spans="1:22" ht="15" customHeight="1">
      <c r="A144" s="31" t="s">
        <v>70</v>
      </c>
      <c r="B144" s="32" t="s">
        <v>45</v>
      </c>
      <c r="C144" s="32" t="s">
        <v>198</v>
      </c>
      <c r="D144" s="32" t="s">
        <v>225</v>
      </c>
      <c r="E144" s="33" t="s">
        <v>73</v>
      </c>
      <c r="F144" s="34" t="s">
        <v>74</v>
      </c>
      <c r="G144" s="35" t="s">
        <v>24</v>
      </c>
      <c r="H144" s="36" t="s">
        <v>75</v>
      </c>
      <c r="I144" s="35">
        <v>4000011830</v>
      </c>
      <c r="J144" s="39">
        <v>16.68</v>
      </c>
      <c r="K144" s="83"/>
      <c r="L144" s="84">
        <f t="shared" si="48"/>
        <v>16.68</v>
      </c>
      <c r="M144" s="85">
        <v>0</v>
      </c>
      <c r="N144" s="84">
        <f t="shared" si="49"/>
        <v>0</v>
      </c>
      <c r="O144" s="84">
        <f t="shared" si="50"/>
        <v>16.68</v>
      </c>
      <c r="P144" s="86">
        <f t="shared" ref="P144:P153" si="55">IFERROR(O144/Q144,"")</f>
        <v>6.6356367108246814E-2</v>
      </c>
      <c r="Q144" s="87">
        <f t="shared" ref="Q144:Q153" si="56">SUMIFS(O:O,T:T,T144,B:B,B144,A:A,A144,G:G,G144,E:E,E144)</f>
        <v>251.36999999999998</v>
      </c>
      <c r="R144" s="88">
        <f t="shared" ref="R144:R153" si="57">U144-SUMIFS(Q:Q,A:A,A144,B:B,B144,G:G,G144,E:E,E144,T:T,"Fixed Price ( Base Price with GST)")</f>
        <v>3474.6080000000002</v>
      </c>
      <c r="S144" s="87">
        <f t="shared" ref="S144:S153" si="58">P144*R144</f>
        <v>230.56236400525125</v>
      </c>
      <c r="T144" s="35" t="s">
        <v>76</v>
      </c>
      <c r="U144" s="42">
        <v>3999</v>
      </c>
      <c r="V144" s="43">
        <v>490110</v>
      </c>
    </row>
    <row r="145" spans="1:22" ht="15" customHeight="1">
      <c r="A145" s="44" t="s">
        <v>70</v>
      </c>
      <c r="B145" s="45" t="s">
        <v>45</v>
      </c>
      <c r="C145" s="45" t="s">
        <v>200</v>
      </c>
      <c r="D145" s="45" t="s">
        <v>226</v>
      </c>
      <c r="E145" s="46" t="s">
        <v>73</v>
      </c>
      <c r="F145" s="47" t="s">
        <v>74</v>
      </c>
      <c r="G145" s="48" t="s">
        <v>24</v>
      </c>
      <c r="H145" s="49" t="s">
        <v>75</v>
      </c>
      <c r="I145" s="48">
        <v>4000011831</v>
      </c>
      <c r="J145" s="52">
        <v>14.95</v>
      </c>
      <c r="K145" s="50"/>
      <c r="L145" s="52">
        <f t="shared" si="48"/>
        <v>14.95</v>
      </c>
      <c r="M145" s="51">
        <v>0</v>
      </c>
      <c r="N145" s="52">
        <f t="shared" si="49"/>
        <v>0</v>
      </c>
      <c r="O145" s="52">
        <f t="shared" si="50"/>
        <v>14.95</v>
      </c>
      <c r="P145" s="53">
        <f t="shared" si="55"/>
        <v>5.9474082030473011E-2</v>
      </c>
      <c r="Q145" s="52">
        <f t="shared" si="56"/>
        <v>251.36999999999998</v>
      </c>
      <c r="R145" s="54">
        <f t="shared" si="57"/>
        <v>3474.6080000000002</v>
      </c>
      <c r="S145" s="52">
        <f t="shared" si="58"/>
        <v>206.64912121573778</v>
      </c>
      <c r="T145" s="48" t="s">
        <v>76</v>
      </c>
      <c r="U145" s="55">
        <v>3999</v>
      </c>
      <c r="V145" s="56">
        <v>490110</v>
      </c>
    </row>
    <row r="146" spans="1:22" ht="15" customHeight="1">
      <c r="A146" s="44" t="s">
        <v>70</v>
      </c>
      <c r="B146" s="45" t="s">
        <v>45</v>
      </c>
      <c r="C146" s="45" t="s">
        <v>202</v>
      </c>
      <c r="D146" s="45" t="s">
        <v>227</v>
      </c>
      <c r="E146" s="46" t="s">
        <v>73</v>
      </c>
      <c r="F146" s="47" t="s">
        <v>81</v>
      </c>
      <c r="G146" s="48" t="s">
        <v>24</v>
      </c>
      <c r="H146" s="49" t="s">
        <v>75</v>
      </c>
      <c r="I146" s="48">
        <v>4000011832</v>
      </c>
      <c r="J146" s="52">
        <v>29.82</v>
      </c>
      <c r="K146" s="50"/>
      <c r="L146" s="52">
        <f t="shared" si="48"/>
        <v>29.82</v>
      </c>
      <c r="M146" s="51">
        <v>0</v>
      </c>
      <c r="N146" s="52">
        <f t="shared" si="49"/>
        <v>0</v>
      </c>
      <c r="O146" s="52">
        <f t="shared" si="50"/>
        <v>29.82</v>
      </c>
      <c r="P146" s="53">
        <f t="shared" si="55"/>
        <v>0.11862990810359232</v>
      </c>
      <c r="Q146" s="52">
        <f t="shared" si="56"/>
        <v>251.36999999999998</v>
      </c>
      <c r="R146" s="54">
        <f t="shared" si="57"/>
        <v>3474.6080000000002</v>
      </c>
      <c r="S146" s="52">
        <f t="shared" si="58"/>
        <v>412.19242773600672</v>
      </c>
      <c r="T146" s="48" t="s">
        <v>76</v>
      </c>
      <c r="U146" s="55">
        <v>3999</v>
      </c>
      <c r="V146" s="56">
        <v>490110</v>
      </c>
    </row>
    <row r="147" spans="1:22" ht="15" customHeight="1">
      <c r="A147" s="44" t="s">
        <v>70</v>
      </c>
      <c r="B147" s="45" t="s">
        <v>45</v>
      </c>
      <c r="C147" s="45" t="s">
        <v>202</v>
      </c>
      <c r="D147" s="45" t="s">
        <v>228</v>
      </c>
      <c r="E147" s="46" t="s">
        <v>73</v>
      </c>
      <c r="F147" s="47" t="s">
        <v>74</v>
      </c>
      <c r="G147" s="48" t="s">
        <v>24</v>
      </c>
      <c r="H147" s="49" t="s">
        <v>75</v>
      </c>
      <c r="I147" s="48">
        <v>4000011833</v>
      </c>
      <c r="J147" s="52">
        <v>12.45</v>
      </c>
      <c r="K147" s="50"/>
      <c r="L147" s="52">
        <f t="shared" si="48"/>
        <v>12.45</v>
      </c>
      <c r="M147" s="51">
        <v>0</v>
      </c>
      <c r="N147" s="52">
        <f t="shared" si="49"/>
        <v>0</v>
      </c>
      <c r="O147" s="52">
        <f t="shared" si="50"/>
        <v>12.45</v>
      </c>
      <c r="P147" s="53">
        <f t="shared" si="55"/>
        <v>4.9528583363169829E-2</v>
      </c>
      <c r="Q147" s="52">
        <f t="shared" si="56"/>
        <v>251.36999999999998</v>
      </c>
      <c r="R147" s="54">
        <f t="shared" si="57"/>
        <v>3474.6080000000002</v>
      </c>
      <c r="S147" s="52">
        <f t="shared" si="58"/>
        <v>172.09241198233681</v>
      </c>
      <c r="T147" s="48" t="s">
        <v>76</v>
      </c>
      <c r="U147" s="55">
        <v>3999</v>
      </c>
      <c r="V147" s="56">
        <v>490110</v>
      </c>
    </row>
    <row r="148" spans="1:22" ht="15" customHeight="1">
      <c r="A148" s="44" t="s">
        <v>70</v>
      </c>
      <c r="B148" s="45" t="s">
        <v>45</v>
      </c>
      <c r="C148" s="45" t="s">
        <v>205</v>
      </c>
      <c r="D148" s="45" t="s">
        <v>229</v>
      </c>
      <c r="E148" s="46" t="s">
        <v>73</v>
      </c>
      <c r="F148" s="47" t="s">
        <v>74</v>
      </c>
      <c r="G148" s="48" t="s">
        <v>24</v>
      </c>
      <c r="H148" s="49" t="s">
        <v>75</v>
      </c>
      <c r="I148" s="48">
        <v>4000011834</v>
      </c>
      <c r="J148" s="52">
        <v>39.03</v>
      </c>
      <c r="K148" s="50"/>
      <c r="L148" s="52">
        <f t="shared" si="48"/>
        <v>39.03</v>
      </c>
      <c r="M148" s="51">
        <v>0</v>
      </c>
      <c r="N148" s="52">
        <f t="shared" si="49"/>
        <v>0</v>
      </c>
      <c r="O148" s="52">
        <f t="shared" si="50"/>
        <v>39.03</v>
      </c>
      <c r="P148" s="53">
        <f t="shared" si="55"/>
        <v>0.15526912519393724</v>
      </c>
      <c r="Q148" s="52">
        <f t="shared" si="56"/>
        <v>251.36999999999998</v>
      </c>
      <c r="R148" s="54">
        <f t="shared" si="57"/>
        <v>3474.6080000000002</v>
      </c>
      <c r="S148" s="52">
        <f t="shared" si="58"/>
        <v>539.49934455185587</v>
      </c>
      <c r="T148" s="48" t="s">
        <v>76</v>
      </c>
      <c r="U148" s="55">
        <v>3999</v>
      </c>
      <c r="V148" s="56">
        <v>490110</v>
      </c>
    </row>
    <row r="149" spans="1:22" ht="15" customHeight="1">
      <c r="A149" s="44" t="s">
        <v>70</v>
      </c>
      <c r="B149" s="45" t="s">
        <v>45</v>
      </c>
      <c r="C149" s="45" t="s">
        <v>205</v>
      </c>
      <c r="D149" s="45" t="s">
        <v>230</v>
      </c>
      <c r="E149" s="46" t="s">
        <v>73</v>
      </c>
      <c r="F149" s="47" t="s">
        <v>81</v>
      </c>
      <c r="G149" s="48" t="s">
        <v>24</v>
      </c>
      <c r="H149" s="49" t="s">
        <v>75</v>
      </c>
      <c r="I149" s="48">
        <v>4000011835</v>
      </c>
      <c r="J149" s="52">
        <v>14.04</v>
      </c>
      <c r="K149" s="50"/>
      <c r="L149" s="52">
        <f t="shared" si="48"/>
        <v>14.04</v>
      </c>
      <c r="M149" s="51">
        <v>0</v>
      </c>
      <c r="N149" s="52">
        <f t="shared" si="49"/>
        <v>0</v>
      </c>
      <c r="O149" s="52">
        <f t="shared" si="50"/>
        <v>14.04</v>
      </c>
      <c r="P149" s="53">
        <f t="shared" si="55"/>
        <v>5.5853920515574654E-2</v>
      </c>
      <c r="Q149" s="52">
        <f t="shared" si="56"/>
        <v>251.36999999999998</v>
      </c>
      <c r="R149" s="54">
        <f t="shared" si="57"/>
        <v>3474.6080000000002</v>
      </c>
      <c r="S149" s="52">
        <f t="shared" si="58"/>
        <v>194.07047905477984</v>
      </c>
      <c r="T149" s="48" t="s">
        <v>76</v>
      </c>
      <c r="U149" s="55">
        <v>3999</v>
      </c>
      <c r="V149" s="56">
        <v>490110</v>
      </c>
    </row>
    <row r="150" spans="1:22" ht="15" customHeight="1">
      <c r="A150" s="44" t="s">
        <v>70</v>
      </c>
      <c r="B150" s="45" t="s">
        <v>45</v>
      </c>
      <c r="C150" s="45" t="s">
        <v>202</v>
      </c>
      <c r="D150" s="45" t="s">
        <v>231</v>
      </c>
      <c r="E150" s="46" t="s">
        <v>73</v>
      </c>
      <c r="F150" s="47" t="s">
        <v>74</v>
      </c>
      <c r="G150" s="48" t="s">
        <v>24</v>
      </c>
      <c r="H150" s="57" t="s">
        <v>84</v>
      </c>
      <c r="I150" s="48">
        <v>4000011836</v>
      </c>
      <c r="J150" s="52">
        <v>36.79</v>
      </c>
      <c r="K150" s="50"/>
      <c r="L150" s="52">
        <f t="shared" si="48"/>
        <v>36.79</v>
      </c>
      <c r="M150" s="51">
        <v>0</v>
      </c>
      <c r="N150" s="52">
        <f t="shared" si="49"/>
        <v>0</v>
      </c>
      <c r="O150" s="52">
        <f t="shared" si="50"/>
        <v>36.79</v>
      </c>
      <c r="P150" s="53">
        <f t="shared" si="55"/>
        <v>0.14635795838803359</v>
      </c>
      <c r="Q150" s="52">
        <f t="shared" si="56"/>
        <v>251.36999999999998</v>
      </c>
      <c r="R150" s="54">
        <f t="shared" si="57"/>
        <v>3474.6080000000002</v>
      </c>
      <c r="S150" s="52">
        <f t="shared" si="58"/>
        <v>508.53653307872861</v>
      </c>
      <c r="T150" s="48" t="s">
        <v>76</v>
      </c>
      <c r="U150" s="55">
        <v>3999</v>
      </c>
      <c r="V150" s="56">
        <v>490110</v>
      </c>
    </row>
    <row r="151" spans="1:22" ht="15" customHeight="1">
      <c r="A151" s="44" t="s">
        <v>70</v>
      </c>
      <c r="B151" s="45" t="s">
        <v>45</v>
      </c>
      <c r="C151" s="45" t="s">
        <v>202</v>
      </c>
      <c r="D151" s="45" t="s">
        <v>232</v>
      </c>
      <c r="E151" s="46" t="s">
        <v>73</v>
      </c>
      <c r="F151" s="47" t="s">
        <v>74</v>
      </c>
      <c r="G151" s="48" t="s">
        <v>24</v>
      </c>
      <c r="H151" s="57" t="s">
        <v>84</v>
      </c>
      <c r="I151" s="48">
        <v>4000011838</v>
      </c>
      <c r="J151" s="52">
        <v>14.04</v>
      </c>
      <c r="K151" s="50"/>
      <c r="L151" s="52">
        <f t="shared" si="48"/>
        <v>14.04</v>
      </c>
      <c r="M151" s="51">
        <v>0</v>
      </c>
      <c r="N151" s="52">
        <f t="shared" si="49"/>
        <v>0</v>
      </c>
      <c r="O151" s="52">
        <f t="shared" si="50"/>
        <v>14.04</v>
      </c>
      <c r="P151" s="53">
        <f t="shared" si="55"/>
        <v>5.5853920515574654E-2</v>
      </c>
      <c r="Q151" s="52">
        <f t="shared" si="56"/>
        <v>251.36999999999998</v>
      </c>
      <c r="R151" s="54">
        <f t="shared" si="57"/>
        <v>3474.6080000000002</v>
      </c>
      <c r="S151" s="52">
        <f t="shared" si="58"/>
        <v>194.07047905477984</v>
      </c>
      <c r="T151" s="48" t="s">
        <v>76</v>
      </c>
      <c r="U151" s="55">
        <v>3999</v>
      </c>
      <c r="V151" s="56">
        <v>490110</v>
      </c>
    </row>
    <row r="152" spans="1:22" ht="15" customHeight="1">
      <c r="A152" s="44" t="s">
        <v>70</v>
      </c>
      <c r="B152" s="45" t="s">
        <v>45</v>
      </c>
      <c r="C152" s="45" t="s">
        <v>205</v>
      </c>
      <c r="D152" s="45" t="s">
        <v>233</v>
      </c>
      <c r="E152" s="46" t="s">
        <v>73</v>
      </c>
      <c r="F152" s="47" t="s">
        <v>81</v>
      </c>
      <c r="G152" s="48" t="s">
        <v>24</v>
      </c>
      <c r="H152" s="57" t="s">
        <v>84</v>
      </c>
      <c r="I152" s="48">
        <v>4000011839</v>
      </c>
      <c r="J152" s="52">
        <v>58.1</v>
      </c>
      <c r="K152" s="50"/>
      <c r="L152" s="52">
        <f t="shared" si="48"/>
        <v>58.1</v>
      </c>
      <c r="M152" s="51">
        <v>0</v>
      </c>
      <c r="N152" s="52">
        <f t="shared" si="49"/>
        <v>0</v>
      </c>
      <c r="O152" s="52">
        <f t="shared" si="50"/>
        <v>58.1</v>
      </c>
      <c r="P152" s="53">
        <f t="shared" si="55"/>
        <v>0.23113338902812589</v>
      </c>
      <c r="Q152" s="52">
        <f t="shared" si="56"/>
        <v>251.36999999999998</v>
      </c>
      <c r="R152" s="54">
        <f t="shared" si="57"/>
        <v>3474.6080000000002</v>
      </c>
      <c r="S152" s="52">
        <f t="shared" si="58"/>
        <v>803.09792258423852</v>
      </c>
      <c r="T152" s="48" t="s">
        <v>76</v>
      </c>
      <c r="U152" s="55">
        <v>3999</v>
      </c>
      <c r="V152" s="56">
        <v>490110</v>
      </c>
    </row>
    <row r="153" spans="1:22" ht="15" customHeight="1">
      <c r="A153" s="44" t="s">
        <v>70</v>
      </c>
      <c r="B153" s="45" t="s">
        <v>45</v>
      </c>
      <c r="C153" s="45" t="s">
        <v>205</v>
      </c>
      <c r="D153" s="45" t="s">
        <v>234</v>
      </c>
      <c r="E153" s="46" t="s">
        <v>73</v>
      </c>
      <c r="F153" s="47" t="s">
        <v>81</v>
      </c>
      <c r="G153" s="48" t="s">
        <v>24</v>
      </c>
      <c r="H153" s="57" t="s">
        <v>84</v>
      </c>
      <c r="I153" s="48">
        <v>4000011840</v>
      </c>
      <c r="J153" s="52">
        <v>15.47</v>
      </c>
      <c r="K153" s="50"/>
      <c r="L153" s="52">
        <f t="shared" si="48"/>
        <v>15.47</v>
      </c>
      <c r="M153" s="51">
        <v>0</v>
      </c>
      <c r="N153" s="52">
        <f t="shared" si="49"/>
        <v>0</v>
      </c>
      <c r="O153" s="52">
        <f t="shared" si="50"/>
        <v>15.47</v>
      </c>
      <c r="P153" s="53">
        <f t="shared" si="55"/>
        <v>6.154274575327208E-2</v>
      </c>
      <c r="Q153" s="52">
        <f t="shared" si="56"/>
        <v>251.36999999999998</v>
      </c>
      <c r="R153" s="54">
        <f t="shared" si="57"/>
        <v>3474.6080000000002</v>
      </c>
      <c r="S153" s="52">
        <f t="shared" si="58"/>
        <v>213.83691673628522</v>
      </c>
      <c r="T153" s="48" t="s">
        <v>76</v>
      </c>
      <c r="U153" s="55">
        <v>3999</v>
      </c>
      <c r="V153" s="56">
        <v>490110</v>
      </c>
    </row>
    <row r="154" spans="1:22" ht="15" customHeight="1">
      <c r="A154" s="44" t="s">
        <v>70</v>
      </c>
      <c r="B154" s="45" t="s">
        <v>45</v>
      </c>
      <c r="C154" s="45" t="s">
        <v>88</v>
      </c>
      <c r="D154" s="45" t="s">
        <v>235</v>
      </c>
      <c r="E154" s="46" t="s">
        <v>73</v>
      </c>
      <c r="F154" s="58" t="s">
        <v>90</v>
      </c>
      <c r="G154" s="48" t="s">
        <v>24</v>
      </c>
      <c r="H154" s="59" t="s">
        <v>75</v>
      </c>
      <c r="I154" s="60">
        <v>7000000221</v>
      </c>
      <c r="J154" s="61">
        <v>338.4</v>
      </c>
      <c r="K154" s="60">
        <v>10</v>
      </c>
      <c r="L154" s="61">
        <f t="shared" si="48"/>
        <v>348.4</v>
      </c>
      <c r="M154" s="62">
        <v>0.18</v>
      </c>
      <c r="N154" s="61">
        <f t="shared" si="49"/>
        <v>62.711999999999996</v>
      </c>
      <c r="O154" s="61">
        <f t="shared" si="50"/>
        <v>411.11199999999997</v>
      </c>
      <c r="P154" s="63">
        <v>0</v>
      </c>
      <c r="Q154" s="61">
        <f>O154</f>
        <v>411.11199999999997</v>
      </c>
      <c r="R154" s="64">
        <f>Q154</f>
        <v>411.11199999999997</v>
      </c>
      <c r="S154" s="61">
        <f>Q154</f>
        <v>411.11199999999997</v>
      </c>
      <c r="T154" s="60" t="s">
        <v>91</v>
      </c>
      <c r="U154" s="55">
        <v>3999</v>
      </c>
      <c r="V154" s="56">
        <v>49119990</v>
      </c>
    </row>
    <row r="155" spans="1:22" ht="15" customHeight="1">
      <c r="A155" s="65" t="s">
        <v>70</v>
      </c>
      <c r="B155" s="66" t="s">
        <v>45</v>
      </c>
      <c r="C155" s="66" t="s">
        <v>92</v>
      </c>
      <c r="D155" s="66" t="s">
        <v>93</v>
      </c>
      <c r="E155" s="67" t="s">
        <v>73</v>
      </c>
      <c r="F155" s="68" t="s">
        <v>94</v>
      </c>
      <c r="G155" s="69" t="s">
        <v>24</v>
      </c>
      <c r="H155" s="70" t="s">
        <v>75</v>
      </c>
      <c r="I155" s="71">
        <v>8400007</v>
      </c>
      <c r="J155" s="72">
        <v>96</v>
      </c>
      <c r="K155" s="73"/>
      <c r="L155" s="72">
        <f t="shared" si="48"/>
        <v>96</v>
      </c>
      <c r="M155" s="74">
        <v>0.18</v>
      </c>
      <c r="N155" s="72">
        <f t="shared" si="49"/>
        <v>17.28</v>
      </c>
      <c r="O155" s="72">
        <f t="shared" si="50"/>
        <v>113.28</v>
      </c>
      <c r="P155" s="75">
        <v>0</v>
      </c>
      <c r="Q155" s="72">
        <f>O155</f>
        <v>113.28</v>
      </c>
      <c r="R155" s="76">
        <f>Q155</f>
        <v>113.28</v>
      </c>
      <c r="S155" s="72">
        <f>Q155</f>
        <v>113.28</v>
      </c>
      <c r="T155" s="71" t="s">
        <v>91</v>
      </c>
      <c r="U155" s="77">
        <v>3999</v>
      </c>
      <c r="V155" s="78">
        <v>999299</v>
      </c>
    </row>
    <row r="156" spans="1:22" ht="15" customHeight="1">
      <c r="A156" s="31" t="s">
        <v>70</v>
      </c>
      <c r="B156" s="32" t="s">
        <v>46</v>
      </c>
      <c r="C156" s="32" t="s">
        <v>200</v>
      </c>
      <c r="D156" s="32" t="s">
        <v>236</v>
      </c>
      <c r="E156" s="33" t="s">
        <v>73</v>
      </c>
      <c r="F156" s="34" t="s">
        <v>74</v>
      </c>
      <c r="G156" s="35" t="s">
        <v>24</v>
      </c>
      <c r="H156" s="36" t="s">
        <v>75</v>
      </c>
      <c r="I156" s="35">
        <v>4000011841</v>
      </c>
      <c r="J156" s="39">
        <v>31.85</v>
      </c>
      <c r="K156" s="37"/>
      <c r="L156" s="39">
        <f t="shared" si="48"/>
        <v>31.85</v>
      </c>
      <c r="M156" s="38">
        <v>0</v>
      </c>
      <c r="N156" s="39">
        <f t="shared" si="49"/>
        <v>0</v>
      </c>
      <c r="O156" s="39">
        <f t="shared" si="50"/>
        <v>31.85</v>
      </c>
      <c r="P156" s="40">
        <f>IFERROR(O156/Q156,"")</f>
        <v>9.7159940209267562E-2</v>
      </c>
      <c r="Q156" s="39">
        <f>SUMIFS(O:O,T:T,T156,B:B,B156,A:A,A156,G:G,G156,E:E,E156)</f>
        <v>327.81</v>
      </c>
      <c r="R156" s="41">
        <f>U156-SUMIFS(Q:Q,A:A,A156,B:B,B156,G:G,G156,E:E,E156,T:T,"Fixed Price ( Base Price with GST)")</f>
        <v>3288.8760000000002</v>
      </c>
      <c r="S156" s="39">
        <f>P156*R156</f>
        <v>319.54699551569507</v>
      </c>
      <c r="T156" s="35" t="s">
        <v>76</v>
      </c>
      <c r="U156" s="42">
        <v>3999</v>
      </c>
      <c r="V156" s="43">
        <v>490110</v>
      </c>
    </row>
    <row r="157" spans="1:22" ht="15" customHeight="1">
      <c r="A157" s="44" t="s">
        <v>70</v>
      </c>
      <c r="B157" s="45" t="s">
        <v>46</v>
      </c>
      <c r="C157" s="45" t="s">
        <v>202</v>
      </c>
      <c r="D157" s="45" t="s">
        <v>237</v>
      </c>
      <c r="E157" s="46" t="s">
        <v>73</v>
      </c>
      <c r="F157" s="47" t="s">
        <v>74</v>
      </c>
      <c r="G157" s="48" t="s">
        <v>24</v>
      </c>
      <c r="H157" s="49" t="s">
        <v>75</v>
      </c>
      <c r="I157" s="48">
        <v>4000011842</v>
      </c>
      <c r="J157" s="52">
        <v>59.62</v>
      </c>
      <c r="K157" s="50"/>
      <c r="L157" s="52">
        <f t="shared" si="48"/>
        <v>59.62</v>
      </c>
      <c r="M157" s="51">
        <v>0</v>
      </c>
      <c r="N157" s="52">
        <f t="shared" si="49"/>
        <v>0</v>
      </c>
      <c r="O157" s="52">
        <f t="shared" si="50"/>
        <v>59.62</v>
      </c>
      <c r="P157" s="53">
        <f>IFERROR(O157/Q157,"")</f>
        <v>0.18187364631951433</v>
      </c>
      <c r="Q157" s="52">
        <f>SUMIFS(O:O,T:T,T157,B:B,B157,A:A,A157,G:G,G157,E:E,E157)</f>
        <v>327.81</v>
      </c>
      <c r="R157" s="54">
        <f>U157-SUMIFS(Q:Q,A:A,A157,B:B,B157,G:G,G157,E:E,E157,T:T,"Fixed Price ( Base Price with GST)")</f>
        <v>3288.8760000000002</v>
      </c>
      <c r="S157" s="52">
        <f>P157*R157</f>
        <v>598.15987041273911</v>
      </c>
      <c r="T157" s="48" t="s">
        <v>76</v>
      </c>
      <c r="U157" s="55">
        <v>3999</v>
      </c>
      <c r="V157" s="56">
        <v>490110</v>
      </c>
    </row>
    <row r="158" spans="1:22" ht="15" customHeight="1">
      <c r="A158" s="44" t="s">
        <v>70</v>
      </c>
      <c r="B158" s="45" t="s">
        <v>46</v>
      </c>
      <c r="C158" s="45" t="s">
        <v>205</v>
      </c>
      <c r="D158" s="45" t="s">
        <v>238</v>
      </c>
      <c r="E158" s="46" t="s">
        <v>73</v>
      </c>
      <c r="F158" s="47" t="s">
        <v>74</v>
      </c>
      <c r="G158" s="48" t="s">
        <v>24</v>
      </c>
      <c r="H158" s="49" t="s">
        <v>75</v>
      </c>
      <c r="I158" s="48">
        <v>4000011843</v>
      </c>
      <c r="J158" s="52">
        <v>83.8</v>
      </c>
      <c r="K158" s="50"/>
      <c r="L158" s="52">
        <f t="shared" si="48"/>
        <v>83.8</v>
      </c>
      <c r="M158" s="51">
        <v>0</v>
      </c>
      <c r="N158" s="52">
        <f t="shared" si="49"/>
        <v>0</v>
      </c>
      <c r="O158" s="52">
        <f t="shared" si="50"/>
        <v>83.8</v>
      </c>
      <c r="P158" s="53">
        <f>IFERROR(O158/Q158,"")</f>
        <v>0.25563588664165215</v>
      </c>
      <c r="Q158" s="52">
        <f>SUMIFS(O:O,T:T,T158,B:B,B158,A:A,A158,G:G,G158,E:E,E158)</f>
        <v>327.81</v>
      </c>
      <c r="R158" s="54">
        <f>U158-SUMIFS(Q:Q,A:A,A158,B:B,B158,G:G,G158,E:E,E158,T:T,"Fixed Price ( Base Price with GST)")</f>
        <v>3288.8760000000002</v>
      </c>
      <c r="S158" s="52">
        <f>P158*R158</f>
        <v>840.75473231445039</v>
      </c>
      <c r="T158" s="48" t="s">
        <v>76</v>
      </c>
      <c r="U158" s="55">
        <v>3999</v>
      </c>
      <c r="V158" s="56">
        <v>490110</v>
      </c>
    </row>
    <row r="159" spans="1:22" ht="15" customHeight="1">
      <c r="A159" s="44" t="s">
        <v>70</v>
      </c>
      <c r="B159" s="45" t="s">
        <v>46</v>
      </c>
      <c r="C159" s="45" t="s">
        <v>202</v>
      </c>
      <c r="D159" s="45" t="s">
        <v>239</v>
      </c>
      <c r="E159" s="46" t="s">
        <v>73</v>
      </c>
      <c r="F159" s="47" t="s">
        <v>74</v>
      </c>
      <c r="G159" s="48" t="s">
        <v>24</v>
      </c>
      <c r="H159" s="57" t="s">
        <v>84</v>
      </c>
      <c r="I159" s="48">
        <v>4000011844</v>
      </c>
      <c r="J159" s="52">
        <v>59.62</v>
      </c>
      <c r="K159" s="50"/>
      <c r="L159" s="52">
        <f t="shared" si="48"/>
        <v>59.62</v>
      </c>
      <c r="M159" s="51">
        <v>0</v>
      </c>
      <c r="N159" s="52">
        <f t="shared" si="49"/>
        <v>0</v>
      </c>
      <c r="O159" s="52">
        <f t="shared" si="50"/>
        <v>59.62</v>
      </c>
      <c r="P159" s="53">
        <f>IFERROR(O159/Q159,"")</f>
        <v>0.18187364631951433</v>
      </c>
      <c r="Q159" s="52">
        <f>SUMIFS(O:O,T:T,T159,B:B,B159,A:A,A159,G:G,G159,E:E,E159)</f>
        <v>327.81</v>
      </c>
      <c r="R159" s="54">
        <f>U159-SUMIFS(Q:Q,A:A,A159,B:B,B159,G:G,G159,E:E,E159,T:T,"Fixed Price ( Base Price with GST)")</f>
        <v>3288.8760000000002</v>
      </c>
      <c r="S159" s="52">
        <f>P159*R159</f>
        <v>598.15987041273911</v>
      </c>
      <c r="T159" s="48" t="s">
        <v>76</v>
      </c>
      <c r="U159" s="55">
        <v>3999</v>
      </c>
      <c r="V159" s="56">
        <v>490110</v>
      </c>
    </row>
    <row r="160" spans="1:22" ht="15" customHeight="1">
      <c r="A160" s="44" t="s">
        <v>70</v>
      </c>
      <c r="B160" s="45" t="s">
        <v>46</v>
      </c>
      <c r="C160" s="45" t="s">
        <v>205</v>
      </c>
      <c r="D160" s="45" t="s">
        <v>240</v>
      </c>
      <c r="E160" s="46" t="s">
        <v>73</v>
      </c>
      <c r="F160" s="47" t="s">
        <v>74</v>
      </c>
      <c r="G160" s="48" t="s">
        <v>24</v>
      </c>
      <c r="H160" s="57" t="s">
        <v>84</v>
      </c>
      <c r="I160" s="48">
        <v>4000011845</v>
      </c>
      <c r="J160" s="52">
        <v>92.92</v>
      </c>
      <c r="K160" s="50"/>
      <c r="L160" s="52">
        <f t="shared" si="48"/>
        <v>92.92</v>
      </c>
      <c r="M160" s="51">
        <v>0</v>
      </c>
      <c r="N160" s="52">
        <f t="shared" si="49"/>
        <v>0</v>
      </c>
      <c r="O160" s="52">
        <f t="shared" si="50"/>
        <v>92.92</v>
      </c>
      <c r="P160" s="53">
        <f>IFERROR(O160/Q160,"")</f>
        <v>0.28345688051005158</v>
      </c>
      <c r="Q160" s="52">
        <f>SUMIFS(O:O,T:T,T160,B:B,B160,A:A,A160,G:G,G160,E:E,E160)</f>
        <v>327.81</v>
      </c>
      <c r="R160" s="54">
        <f>U160-SUMIFS(Q:Q,A:A,A160,B:B,B160,G:G,G160,E:E,E160,T:T,"Fixed Price ( Base Price with GST)")</f>
        <v>3288.8760000000002</v>
      </c>
      <c r="S160" s="52">
        <f>P160*R160</f>
        <v>932.25453134437646</v>
      </c>
      <c r="T160" s="48" t="s">
        <v>76</v>
      </c>
      <c r="U160" s="55">
        <v>3999</v>
      </c>
      <c r="V160" s="56">
        <v>490110</v>
      </c>
    </row>
    <row r="161" spans="1:22" ht="15" customHeight="1">
      <c r="A161" s="44" t="s">
        <v>70</v>
      </c>
      <c r="B161" s="45" t="s">
        <v>46</v>
      </c>
      <c r="C161" s="45" t="s">
        <v>88</v>
      </c>
      <c r="D161" s="45" t="s">
        <v>241</v>
      </c>
      <c r="E161" s="46" t="s">
        <v>73</v>
      </c>
      <c r="F161" s="58" t="s">
        <v>90</v>
      </c>
      <c r="G161" s="48" t="s">
        <v>24</v>
      </c>
      <c r="H161" s="59" t="s">
        <v>75</v>
      </c>
      <c r="I161" s="60">
        <v>7000000222</v>
      </c>
      <c r="J161" s="61">
        <v>495.8</v>
      </c>
      <c r="K161" s="60">
        <v>10</v>
      </c>
      <c r="L161" s="61">
        <f t="shared" si="48"/>
        <v>505.8</v>
      </c>
      <c r="M161" s="62">
        <v>0.18</v>
      </c>
      <c r="N161" s="61">
        <f t="shared" si="49"/>
        <v>91.043999999999997</v>
      </c>
      <c r="O161" s="61">
        <f t="shared" si="50"/>
        <v>596.84400000000005</v>
      </c>
      <c r="P161" s="63">
        <v>0</v>
      </c>
      <c r="Q161" s="61">
        <f>O161</f>
        <v>596.84400000000005</v>
      </c>
      <c r="R161" s="64">
        <f>Q161</f>
        <v>596.84400000000005</v>
      </c>
      <c r="S161" s="61">
        <f>Q161</f>
        <v>596.84400000000005</v>
      </c>
      <c r="T161" s="60" t="s">
        <v>91</v>
      </c>
      <c r="U161" s="55">
        <v>3999</v>
      </c>
      <c r="V161" s="56">
        <v>49119990</v>
      </c>
    </row>
    <row r="162" spans="1:22" ht="15" customHeight="1">
      <c r="A162" s="65" t="s">
        <v>70</v>
      </c>
      <c r="B162" s="66" t="s">
        <v>46</v>
      </c>
      <c r="C162" s="66" t="s">
        <v>92</v>
      </c>
      <c r="D162" s="66" t="s">
        <v>93</v>
      </c>
      <c r="E162" s="67" t="s">
        <v>73</v>
      </c>
      <c r="F162" s="68" t="s">
        <v>94</v>
      </c>
      <c r="G162" s="69" t="s">
        <v>24</v>
      </c>
      <c r="H162" s="70" t="s">
        <v>75</v>
      </c>
      <c r="I162" s="71">
        <v>8400007</v>
      </c>
      <c r="J162" s="72">
        <v>96</v>
      </c>
      <c r="K162" s="73"/>
      <c r="L162" s="72">
        <f t="shared" si="48"/>
        <v>96</v>
      </c>
      <c r="M162" s="74">
        <v>0.18</v>
      </c>
      <c r="N162" s="72">
        <f t="shared" si="49"/>
        <v>17.28</v>
      </c>
      <c r="O162" s="72">
        <f t="shared" si="50"/>
        <v>113.28</v>
      </c>
      <c r="P162" s="75">
        <v>0</v>
      </c>
      <c r="Q162" s="72">
        <f>O162</f>
        <v>113.28</v>
      </c>
      <c r="R162" s="76">
        <f>Q162</f>
        <v>113.28</v>
      </c>
      <c r="S162" s="72">
        <f>Q162</f>
        <v>113.28</v>
      </c>
      <c r="T162" s="71" t="s">
        <v>91</v>
      </c>
      <c r="U162" s="77">
        <v>3999</v>
      </c>
      <c r="V162" s="78">
        <v>999299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12"/>
  <sheetViews>
    <sheetView showGridLines="0" workbookViewId="0"/>
  </sheetViews>
  <sheetFormatPr baseColWidth="10" defaultColWidth="8.6640625" defaultRowHeight="15"/>
  <cols>
    <col min="1" max="1" width="12.83203125" customWidth="1"/>
    <col min="2" max="2" width="8.1640625" customWidth="1"/>
    <col min="3" max="3" width="11" customWidth="1"/>
    <col min="4" max="4" width="31" customWidth="1"/>
    <col min="5" max="5" width="4.33203125" customWidth="1"/>
    <col min="6" max="6" width="12.5" customWidth="1"/>
    <col min="7" max="7" width="7.5" customWidth="1"/>
    <col min="8" max="8" width="5.33203125" customWidth="1"/>
    <col min="9" max="9" width="9.6640625" customWidth="1"/>
    <col min="10" max="10" width="5.1640625" customWidth="1"/>
    <col min="11" max="11" width="9.6640625" customWidth="1"/>
    <col min="12" max="12" width="8.83203125" customWidth="1"/>
    <col min="13" max="13" width="5.33203125" customWidth="1"/>
    <col min="14" max="14" width="7.6640625" customWidth="1"/>
    <col min="15" max="15" width="11.1640625" customWidth="1"/>
    <col min="16" max="16" width="5.83203125" customWidth="1"/>
    <col min="17" max="17" width="9.1640625" customWidth="1"/>
    <col min="18" max="18" width="9" customWidth="1"/>
    <col min="19" max="19" width="6.6640625" customWidth="1"/>
    <col min="20" max="20" width="23.1640625" customWidth="1"/>
    <col min="21" max="21" width="9.1640625" customWidth="1"/>
    <col min="22" max="22" width="7.6640625" customWidth="1"/>
    <col min="23" max="23" width="10.5" customWidth="1"/>
    <col min="25" max="25" width="6.33203125" customWidth="1"/>
  </cols>
  <sheetData>
    <row r="1" spans="1:25" ht="45.75" customHeight="1">
      <c r="A1" s="18" t="s">
        <v>49</v>
      </c>
      <c r="B1" s="18" t="s">
        <v>50</v>
      </c>
      <c r="C1" s="18" t="s">
        <v>51</v>
      </c>
      <c r="D1" s="19" t="s">
        <v>52</v>
      </c>
      <c r="E1" s="20" t="s">
        <v>53</v>
      </c>
      <c r="F1" s="18" t="s">
        <v>54</v>
      </c>
      <c r="G1" s="18" t="s">
        <v>55</v>
      </c>
      <c r="H1" s="18" t="s">
        <v>56</v>
      </c>
      <c r="I1" s="18" t="s">
        <v>57</v>
      </c>
      <c r="J1" s="21" t="s">
        <v>58</v>
      </c>
      <c r="K1" s="22" t="s">
        <v>59</v>
      </c>
      <c r="L1" s="23" t="s">
        <v>60</v>
      </c>
      <c r="M1" s="22" t="s">
        <v>61</v>
      </c>
      <c r="N1" s="24" t="s">
        <v>62</v>
      </c>
      <c r="O1" s="25" t="s">
        <v>63</v>
      </c>
      <c r="P1" s="26" t="s">
        <v>64</v>
      </c>
      <c r="Q1" s="27" t="s">
        <v>65</v>
      </c>
      <c r="R1" s="28" t="s">
        <v>66</v>
      </c>
      <c r="S1" s="29" t="s">
        <v>67</v>
      </c>
      <c r="T1" s="22" t="s">
        <v>68</v>
      </c>
      <c r="U1" s="30" t="s">
        <v>69</v>
      </c>
      <c r="V1" s="22" t="s">
        <v>469</v>
      </c>
      <c r="W1" s="50" t="s">
        <v>470</v>
      </c>
      <c r="X1" s="50" t="s">
        <v>471</v>
      </c>
      <c r="Y1" s="50"/>
    </row>
    <row r="2" spans="1:25" ht="15" customHeight="1">
      <c r="A2" s="31" t="s">
        <v>242</v>
      </c>
      <c r="B2" s="32" t="s">
        <v>35</v>
      </c>
      <c r="C2" s="32" t="s">
        <v>71</v>
      </c>
      <c r="D2" s="32" t="s">
        <v>72</v>
      </c>
      <c r="E2" s="33" t="s">
        <v>73</v>
      </c>
      <c r="F2" s="34" t="s">
        <v>74</v>
      </c>
      <c r="G2" s="35" t="s">
        <v>24</v>
      </c>
      <c r="H2" s="36" t="s">
        <v>75</v>
      </c>
      <c r="I2" s="35">
        <v>4000011860</v>
      </c>
      <c r="J2" s="35">
        <v>44.16</v>
      </c>
      <c r="K2" s="37"/>
      <c r="L2" s="35">
        <f t="shared" ref="L2:L33" si="0">J2+K2</f>
        <v>44.16</v>
      </c>
      <c r="M2" s="38">
        <v>0</v>
      </c>
      <c r="N2" s="39">
        <f t="shared" ref="N2:N33" si="1">M2*L2</f>
        <v>0</v>
      </c>
      <c r="O2" s="39">
        <f t="shared" ref="O2:O33" si="2">L2+N2</f>
        <v>44.16</v>
      </c>
      <c r="P2" s="40">
        <f>IFERROR(O2/Q2,"")</f>
        <v>0.18709486082277674</v>
      </c>
      <c r="Q2" s="39">
        <f>SUMIFS(O:O,T:T,T2,B:B,B2,A:A,A2,G:G,G2,E:E,E2)</f>
        <v>236.03</v>
      </c>
      <c r="R2" s="41">
        <f>U2-SUMIFS(Q:Q,A:A,A2,B:B,B2,G:G,G2,E:E,E2,T:T,"Fixed Price ( Base Price with GST)")</f>
        <v>3383.1320000000001</v>
      </c>
      <c r="S2" s="39">
        <f>P2*R2</f>
        <v>632.96661068508229</v>
      </c>
      <c r="T2" s="35" t="s">
        <v>76</v>
      </c>
      <c r="U2" s="42">
        <v>3634</v>
      </c>
      <c r="V2" s="43">
        <v>490110</v>
      </c>
      <c r="W2" s="89">
        <v>420</v>
      </c>
      <c r="X2" s="90">
        <f t="shared" ref="X2:X33" si="3">W2-S2</f>
        <v>-212.96661068508229</v>
      </c>
      <c r="Y2" s="91"/>
    </row>
    <row r="3" spans="1:25" ht="15" customHeight="1">
      <c r="A3" s="44" t="s">
        <v>242</v>
      </c>
      <c r="B3" s="45" t="s">
        <v>35</v>
      </c>
      <c r="C3" s="45" t="s">
        <v>78</v>
      </c>
      <c r="D3" s="45" t="s">
        <v>79</v>
      </c>
      <c r="E3" s="46" t="s">
        <v>73</v>
      </c>
      <c r="F3" s="47" t="s">
        <v>74</v>
      </c>
      <c r="G3" s="48" t="s">
        <v>24</v>
      </c>
      <c r="H3" s="49" t="s">
        <v>75</v>
      </c>
      <c r="I3" s="48">
        <v>4000011794</v>
      </c>
      <c r="J3" s="48">
        <v>19.559999999999999</v>
      </c>
      <c r="K3" s="50"/>
      <c r="L3" s="48">
        <f t="shared" si="0"/>
        <v>19.559999999999999</v>
      </c>
      <c r="M3" s="51">
        <v>0</v>
      </c>
      <c r="N3" s="52">
        <f t="shared" si="1"/>
        <v>0</v>
      </c>
      <c r="O3" s="52">
        <f t="shared" si="2"/>
        <v>19.559999999999999</v>
      </c>
      <c r="P3" s="53">
        <f>IFERROR(O3/Q3,"")</f>
        <v>8.2870821505740794E-2</v>
      </c>
      <c r="Q3" s="52">
        <f>SUMIFS(O:O,T:T,T3,B:B,B3,A:A,A3,G:G,G3,E:E,E3)</f>
        <v>236.03</v>
      </c>
      <c r="R3" s="54">
        <f>U3-SUMIFS(Q:Q,A:A,A3,B:B,B3,G:G,G3,E:E,E3,T:T,"Fixed Price ( Base Price with GST)")</f>
        <v>3383.1320000000001</v>
      </c>
      <c r="S3" s="52">
        <f>P3*R3</f>
        <v>280.36292810235989</v>
      </c>
      <c r="T3" s="48" t="s">
        <v>76</v>
      </c>
      <c r="U3" s="55">
        <v>3634</v>
      </c>
      <c r="V3" s="56">
        <v>490110</v>
      </c>
      <c r="W3" s="89">
        <v>170</v>
      </c>
      <c r="X3" s="90">
        <f t="shared" si="3"/>
        <v>-110.36292810235989</v>
      </c>
      <c r="Y3" s="52">
        <v>5000</v>
      </c>
    </row>
    <row r="4" spans="1:25" ht="15" customHeight="1">
      <c r="A4" s="44" t="s">
        <v>242</v>
      </c>
      <c r="B4" s="45" t="s">
        <v>35</v>
      </c>
      <c r="C4" s="45" t="s">
        <v>78</v>
      </c>
      <c r="D4" s="45" t="s">
        <v>80</v>
      </c>
      <c r="E4" s="46" t="s">
        <v>73</v>
      </c>
      <c r="F4" s="47" t="s">
        <v>74</v>
      </c>
      <c r="G4" s="48" t="s">
        <v>24</v>
      </c>
      <c r="H4" s="49" t="s">
        <v>75</v>
      </c>
      <c r="I4" s="48">
        <v>4000011783</v>
      </c>
      <c r="J4" s="48">
        <v>60.15</v>
      </c>
      <c r="K4" s="50"/>
      <c r="L4" s="48">
        <f t="shared" si="0"/>
        <v>60.15</v>
      </c>
      <c r="M4" s="51">
        <v>0</v>
      </c>
      <c r="N4" s="52">
        <f t="shared" si="1"/>
        <v>0</v>
      </c>
      <c r="O4" s="52">
        <f t="shared" si="2"/>
        <v>60.15</v>
      </c>
      <c r="P4" s="53">
        <f>IFERROR(O4/Q4,"")</f>
        <v>0.25484048637885015</v>
      </c>
      <c r="Q4" s="52">
        <f>SUMIFS(O:O,T:T,T4,B:B,B4,A:A,A4,G:G,G4,E:E,E4)</f>
        <v>236.03</v>
      </c>
      <c r="R4" s="54">
        <f>U4-SUMIFS(Q:Q,A:A,A4,B:B,B4,G:G,G4,E:E,E4,T:T,"Fixed Price ( Base Price with GST)")</f>
        <v>3383.1320000000001</v>
      </c>
      <c r="S4" s="52">
        <f>P4*R4</f>
        <v>862.15900436385209</v>
      </c>
      <c r="T4" s="48" t="s">
        <v>76</v>
      </c>
      <c r="U4" s="55">
        <v>3634</v>
      </c>
      <c r="V4" s="56">
        <v>490110</v>
      </c>
      <c r="W4" s="89">
        <v>449</v>
      </c>
      <c r="X4" s="90">
        <f t="shared" si="3"/>
        <v>-413.15900436385209</v>
      </c>
      <c r="Y4" s="52">
        <v>2500</v>
      </c>
    </row>
    <row r="5" spans="1:25" ht="15" customHeight="1">
      <c r="A5" s="44" t="s">
        <v>242</v>
      </c>
      <c r="B5" s="45" t="s">
        <v>35</v>
      </c>
      <c r="C5" s="45" t="s">
        <v>71</v>
      </c>
      <c r="D5" s="45" t="s">
        <v>83</v>
      </c>
      <c r="E5" s="46" t="s">
        <v>73</v>
      </c>
      <c r="F5" s="47" t="s">
        <v>74</v>
      </c>
      <c r="G5" s="48" t="s">
        <v>24</v>
      </c>
      <c r="H5" s="57" t="s">
        <v>84</v>
      </c>
      <c r="I5" s="48">
        <v>4000011816</v>
      </c>
      <c r="J5" s="48">
        <v>46.25</v>
      </c>
      <c r="K5" s="50"/>
      <c r="L5" s="48">
        <f t="shared" si="0"/>
        <v>46.25</v>
      </c>
      <c r="M5" s="51">
        <v>0</v>
      </c>
      <c r="N5" s="52">
        <f t="shared" si="1"/>
        <v>0</v>
      </c>
      <c r="O5" s="52">
        <f t="shared" si="2"/>
        <v>46.25</v>
      </c>
      <c r="P5" s="53">
        <f>IFERROR(O5/Q5,"")</f>
        <v>0.1959496674151591</v>
      </c>
      <c r="Q5" s="52">
        <f>SUMIFS(O:O,T:T,T5,B:B,B5,A:A,A5,G:G,G5,E:E,E5)</f>
        <v>236.03</v>
      </c>
      <c r="R5" s="54">
        <f>U5-SUMIFS(Q:Q,A:A,A5,B:B,B5,G:G,G5,E:E,E5,T:T,"Fixed Price ( Base Price with GST)")</f>
        <v>3383.1320000000001</v>
      </c>
      <c r="S5" s="52">
        <f>P5*R5</f>
        <v>662.923590221582</v>
      </c>
      <c r="T5" s="48" t="s">
        <v>76</v>
      </c>
      <c r="U5" s="55">
        <v>3634</v>
      </c>
      <c r="V5" s="56">
        <v>490110</v>
      </c>
      <c r="W5" s="89">
        <v>430</v>
      </c>
      <c r="X5" s="90">
        <f t="shared" si="3"/>
        <v>-232.923590221582</v>
      </c>
      <c r="Y5" s="92"/>
    </row>
    <row r="6" spans="1:25" ht="15" customHeight="1">
      <c r="A6" s="44" t="s">
        <v>242</v>
      </c>
      <c r="B6" s="45" t="s">
        <v>35</v>
      </c>
      <c r="C6" s="45" t="s">
        <v>78</v>
      </c>
      <c r="D6" s="45" t="s">
        <v>86</v>
      </c>
      <c r="E6" s="46" t="s">
        <v>73</v>
      </c>
      <c r="F6" s="47" t="s">
        <v>74</v>
      </c>
      <c r="G6" s="48" t="s">
        <v>24</v>
      </c>
      <c r="H6" s="57" t="s">
        <v>84</v>
      </c>
      <c r="I6" s="48">
        <v>4000011758</v>
      </c>
      <c r="J6" s="48">
        <v>65.91</v>
      </c>
      <c r="K6" s="50"/>
      <c r="L6" s="48">
        <f t="shared" si="0"/>
        <v>65.91</v>
      </c>
      <c r="M6" s="51">
        <v>0</v>
      </c>
      <c r="N6" s="52">
        <f t="shared" si="1"/>
        <v>0</v>
      </c>
      <c r="O6" s="52">
        <f t="shared" si="2"/>
        <v>65.91</v>
      </c>
      <c r="P6" s="53">
        <f>IFERROR(O6/Q6,"")</f>
        <v>0.27924416387747319</v>
      </c>
      <c r="Q6" s="52">
        <f>SUMIFS(O:O,T:T,T6,B:B,B6,A:A,A6,G:G,G6,E:E,E6)</f>
        <v>236.03</v>
      </c>
      <c r="R6" s="54">
        <f>U6-SUMIFS(Q:Q,A:A,A6,B:B,B6,G:G,G6,E:E,E6,T:T,"Fixed Price ( Base Price with GST)")</f>
        <v>3383.1320000000001</v>
      </c>
      <c r="S6" s="52">
        <f>P6*R6</f>
        <v>944.71986662712368</v>
      </c>
      <c r="T6" s="48" t="s">
        <v>76</v>
      </c>
      <c r="U6" s="55">
        <v>3634</v>
      </c>
      <c r="V6" s="56">
        <v>490110</v>
      </c>
      <c r="W6" s="89">
        <v>465</v>
      </c>
      <c r="X6" s="90">
        <f t="shared" si="3"/>
        <v>-479.71986662712368</v>
      </c>
      <c r="Y6" s="92"/>
    </row>
    <row r="7" spans="1:25" ht="15" customHeight="1">
      <c r="A7" s="44" t="s">
        <v>242</v>
      </c>
      <c r="B7" s="45" t="s">
        <v>35</v>
      </c>
      <c r="C7" s="45" t="s">
        <v>243</v>
      </c>
      <c r="D7" s="45" t="s">
        <v>244</v>
      </c>
      <c r="E7" s="46" t="s">
        <v>73</v>
      </c>
      <c r="F7" s="58" t="s">
        <v>90</v>
      </c>
      <c r="G7" s="48" t="s">
        <v>24</v>
      </c>
      <c r="H7" s="59" t="s">
        <v>75</v>
      </c>
      <c r="I7" s="60">
        <v>7000001001</v>
      </c>
      <c r="J7" s="61">
        <v>106.6</v>
      </c>
      <c r="K7" s="60">
        <v>10</v>
      </c>
      <c r="L7" s="61">
        <f t="shared" si="0"/>
        <v>116.6</v>
      </c>
      <c r="M7" s="62">
        <v>0.18</v>
      </c>
      <c r="N7" s="61">
        <f t="shared" si="1"/>
        <v>20.988</v>
      </c>
      <c r="O7" s="61">
        <f t="shared" si="2"/>
        <v>137.58799999999999</v>
      </c>
      <c r="P7" s="63">
        <v>0</v>
      </c>
      <c r="Q7" s="61">
        <f>O7</f>
        <v>137.58799999999999</v>
      </c>
      <c r="R7" s="64">
        <f>Q7</f>
        <v>137.58799999999999</v>
      </c>
      <c r="S7" s="61">
        <f>Q7</f>
        <v>137.58799999999999</v>
      </c>
      <c r="T7" s="60" t="s">
        <v>91</v>
      </c>
      <c r="U7" s="55">
        <v>3634</v>
      </c>
      <c r="V7" s="56">
        <v>49119990</v>
      </c>
      <c r="W7" s="50"/>
      <c r="X7" s="90">
        <f t="shared" si="3"/>
        <v>-137.58799999999999</v>
      </c>
      <c r="Y7" s="50"/>
    </row>
    <row r="8" spans="1:25" ht="15" customHeight="1">
      <c r="A8" s="44" t="s">
        <v>242</v>
      </c>
      <c r="B8" s="66" t="s">
        <v>35</v>
      </c>
      <c r="C8" s="66" t="s">
        <v>92</v>
      </c>
      <c r="D8" s="66" t="s">
        <v>93</v>
      </c>
      <c r="E8" s="67" t="s">
        <v>73</v>
      </c>
      <c r="F8" s="68" t="s">
        <v>94</v>
      </c>
      <c r="G8" s="69" t="s">
        <v>24</v>
      </c>
      <c r="H8" s="70" t="s">
        <v>75</v>
      </c>
      <c r="I8" s="71">
        <v>8400007</v>
      </c>
      <c r="J8" s="72">
        <v>96</v>
      </c>
      <c r="K8" s="73"/>
      <c r="L8" s="72">
        <f t="shared" si="0"/>
        <v>96</v>
      </c>
      <c r="M8" s="74">
        <v>0.18</v>
      </c>
      <c r="N8" s="72">
        <f t="shared" si="1"/>
        <v>17.28</v>
      </c>
      <c r="O8" s="72">
        <f t="shared" si="2"/>
        <v>113.28</v>
      </c>
      <c r="P8" s="75">
        <v>0</v>
      </c>
      <c r="Q8" s="72">
        <f>O8</f>
        <v>113.28</v>
      </c>
      <c r="R8" s="76">
        <f>Q8</f>
        <v>113.28</v>
      </c>
      <c r="S8" s="72">
        <f>Q8</f>
        <v>113.28</v>
      </c>
      <c r="T8" s="71" t="s">
        <v>91</v>
      </c>
      <c r="U8" s="77">
        <v>3634</v>
      </c>
      <c r="V8" s="78">
        <v>999299</v>
      </c>
      <c r="W8" s="50"/>
      <c r="X8" s="90">
        <f t="shared" si="3"/>
        <v>-113.28</v>
      </c>
      <c r="Y8" s="50"/>
    </row>
    <row r="9" spans="1:25" ht="15" customHeight="1">
      <c r="A9" s="44" t="s">
        <v>242</v>
      </c>
      <c r="B9" s="45" t="s">
        <v>36</v>
      </c>
      <c r="C9" s="45" t="s">
        <v>71</v>
      </c>
      <c r="D9" s="45" t="s">
        <v>95</v>
      </c>
      <c r="E9" s="46" t="s">
        <v>73</v>
      </c>
      <c r="F9" s="47" t="s">
        <v>74</v>
      </c>
      <c r="G9" s="48" t="s">
        <v>24</v>
      </c>
      <c r="H9" s="49" t="s">
        <v>75</v>
      </c>
      <c r="I9" s="48">
        <v>4000011861</v>
      </c>
      <c r="J9" s="52">
        <v>40.090000000000003</v>
      </c>
      <c r="K9" s="50"/>
      <c r="L9" s="52">
        <f t="shared" si="0"/>
        <v>40.090000000000003</v>
      </c>
      <c r="M9" s="51">
        <v>0</v>
      </c>
      <c r="N9" s="52">
        <f t="shared" si="1"/>
        <v>0</v>
      </c>
      <c r="O9" s="52">
        <f t="shared" si="2"/>
        <v>40.090000000000003</v>
      </c>
      <c r="P9" s="53">
        <f>IFERROR(O9/Q9,"")</f>
        <v>0.16710433079071321</v>
      </c>
      <c r="Q9" s="52">
        <f>SUMIFS(O:O,T:T,T9,B:B,B9,A:A,A9,G:G,G9,E:E,E9)</f>
        <v>239.91</v>
      </c>
      <c r="R9" s="54">
        <f>U9-SUMIFS(Q:Q,A:A,A9,B:B,B9,G:G,G9,E:E,E9,T:T,"Fixed Price ( Base Price with GST)")</f>
        <v>3138.6179999999999</v>
      </c>
      <c r="S9" s="52">
        <f>P9*R9</f>
        <v>524.47666049768668</v>
      </c>
      <c r="T9" s="48" t="s">
        <v>76</v>
      </c>
      <c r="U9" s="42">
        <v>3404</v>
      </c>
      <c r="V9" s="80">
        <v>490110</v>
      </c>
      <c r="W9" s="89">
        <v>325</v>
      </c>
      <c r="X9" s="90">
        <f t="shared" si="3"/>
        <v>-199.47666049768668</v>
      </c>
      <c r="Y9" s="50"/>
    </row>
    <row r="10" spans="1:25" ht="15" customHeight="1">
      <c r="A10" s="44" t="s">
        <v>242</v>
      </c>
      <c r="B10" s="45" t="s">
        <v>36</v>
      </c>
      <c r="C10" s="45" t="s">
        <v>78</v>
      </c>
      <c r="D10" s="45" t="s">
        <v>97</v>
      </c>
      <c r="E10" s="46" t="s">
        <v>73</v>
      </c>
      <c r="F10" s="47" t="s">
        <v>74</v>
      </c>
      <c r="G10" s="48" t="s">
        <v>24</v>
      </c>
      <c r="H10" s="49" t="s">
        <v>75</v>
      </c>
      <c r="I10" s="48">
        <v>4000011837</v>
      </c>
      <c r="J10" s="52">
        <v>20.100000000000001</v>
      </c>
      <c r="K10" s="50"/>
      <c r="L10" s="52">
        <f t="shared" si="0"/>
        <v>20.100000000000001</v>
      </c>
      <c r="M10" s="51">
        <v>0</v>
      </c>
      <c r="N10" s="52">
        <f t="shared" si="1"/>
        <v>0</v>
      </c>
      <c r="O10" s="52">
        <f t="shared" si="2"/>
        <v>20.100000000000001</v>
      </c>
      <c r="P10" s="53">
        <f>IFERROR(O10/Q10,"")</f>
        <v>8.3781418031761923E-2</v>
      </c>
      <c r="Q10" s="52">
        <f>SUMIFS(O:O,T:T,T10,B:B,B10,A:A,A10,G:G,G10,E:E,E10)</f>
        <v>239.91</v>
      </c>
      <c r="R10" s="54">
        <f>U10-SUMIFS(Q:Q,A:A,A10,B:B,B10,G:G,G10,E:E,E10,T:T,"Fixed Price ( Base Price with GST)")</f>
        <v>3138.6179999999999</v>
      </c>
      <c r="S10" s="52">
        <f>P10*R10</f>
        <v>262.95786670001252</v>
      </c>
      <c r="T10" s="48" t="s">
        <v>76</v>
      </c>
      <c r="U10" s="55">
        <v>3404</v>
      </c>
      <c r="V10" s="80">
        <v>490110</v>
      </c>
      <c r="W10" s="89">
        <v>189</v>
      </c>
      <c r="X10" s="90">
        <f t="shared" si="3"/>
        <v>-73.957866700012517</v>
      </c>
      <c r="Y10" s="50"/>
    </row>
    <row r="11" spans="1:25" ht="15" customHeight="1">
      <c r="A11" s="44" t="s">
        <v>242</v>
      </c>
      <c r="B11" s="45" t="s">
        <v>36</v>
      </c>
      <c r="C11" s="45" t="s">
        <v>78</v>
      </c>
      <c r="D11" s="45" t="s">
        <v>98</v>
      </c>
      <c r="E11" s="46" t="s">
        <v>73</v>
      </c>
      <c r="F11" s="47" t="s">
        <v>74</v>
      </c>
      <c r="G11" s="48" t="s">
        <v>24</v>
      </c>
      <c r="H11" s="49" t="s">
        <v>75</v>
      </c>
      <c r="I11" s="48">
        <v>4000011826</v>
      </c>
      <c r="J11" s="52">
        <v>66.38</v>
      </c>
      <c r="K11" s="50"/>
      <c r="L11" s="52">
        <f t="shared" si="0"/>
        <v>66.38</v>
      </c>
      <c r="M11" s="51">
        <v>0</v>
      </c>
      <c r="N11" s="52">
        <f t="shared" si="1"/>
        <v>0</v>
      </c>
      <c r="O11" s="52">
        <f t="shared" si="2"/>
        <v>66.38</v>
      </c>
      <c r="P11" s="53">
        <f>IFERROR(O11/Q11,"")</f>
        <v>0.27668709099245548</v>
      </c>
      <c r="Q11" s="52">
        <f>SUMIFS(O:O,T:T,T11,B:B,B11,A:A,A11,G:G,G11,E:E,E11)</f>
        <v>239.91</v>
      </c>
      <c r="R11" s="54">
        <f>U11-SUMIFS(Q:Q,A:A,A11,B:B,B11,G:G,G11,E:E,E11,T:T,"Fixed Price ( Base Price with GST)")</f>
        <v>3138.6179999999999</v>
      </c>
      <c r="S11" s="52">
        <f>P11*R11</f>
        <v>868.41508415655858</v>
      </c>
      <c r="T11" s="48" t="s">
        <v>76</v>
      </c>
      <c r="U11" s="55">
        <v>3404</v>
      </c>
      <c r="V11" s="80">
        <v>490110</v>
      </c>
      <c r="W11" s="89">
        <v>400</v>
      </c>
      <c r="X11" s="90">
        <f t="shared" si="3"/>
        <v>-468.41508415655858</v>
      </c>
      <c r="Y11" s="50"/>
    </row>
    <row r="12" spans="1:25" ht="15" customHeight="1">
      <c r="A12" s="44" t="s">
        <v>242</v>
      </c>
      <c r="B12" s="45" t="s">
        <v>36</v>
      </c>
      <c r="C12" s="45" t="s">
        <v>71</v>
      </c>
      <c r="D12" s="45" t="s">
        <v>100</v>
      </c>
      <c r="E12" s="46" t="s">
        <v>73</v>
      </c>
      <c r="F12" s="47" t="s">
        <v>74</v>
      </c>
      <c r="G12" s="48" t="s">
        <v>24</v>
      </c>
      <c r="H12" s="57" t="s">
        <v>84</v>
      </c>
      <c r="I12" s="48">
        <v>4000011847</v>
      </c>
      <c r="J12" s="52">
        <v>50.5</v>
      </c>
      <c r="K12" s="50"/>
      <c r="L12" s="52">
        <f t="shared" si="0"/>
        <v>50.5</v>
      </c>
      <c r="M12" s="51">
        <v>0</v>
      </c>
      <c r="N12" s="52">
        <f t="shared" si="1"/>
        <v>0</v>
      </c>
      <c r="O12" s="52">
        <f t="shared" si="2"/>
        <v>50.5</v>
      </c>
      <c r="P12" s="53">
        <f>IFERROR(O12/Q12,"")</f>
        <v>0.21049560251761076</v>
      </c>
      <c r="Q12" s="52">
        <f>SUMIFS(O:O,T:T,T12,B:B,B12,A:A,A12,G:G,G12,E:E,E12)</f>
        <v>239.91</v>
      </c>
      <c r="R12" s="54">
        <f>U12-SUMIFS(Q:Q,A:A,A12,B:B,B12,G:G,G12,E:E,E12,T:T,"Fixed Price ( Base Price with GST)")</f>
        <v>3138.6179999999999</v>
      </c>
      <c r="S12" s="52">
        <f>P12*R12</f>
        <v>660.66528698261845</v>
      </c>
      <c r="T12" s="48" t="s">
        <v>76</v>
      </c>
      <c r="U12" s="55">
        <v>3404</v>
      </c>
      <c r="V12" s="80">
        <v>490110</v>
      </c>
      <c r="W12" s="89">
        <v>445</v>
      </c>
      <c r="X12" s="90">
        <f t="shared" si="3"/>
        <v>-215.66528698261845</v>
      </c>
      <c r="Y12" s="50"/>
    </row>
    <row r="13" spans="1:25" ht="15" customHeight="1">
      <c r="A13" s="44" t="s">
        <v>242</v>
      </c>
      <c r="B13" s="45" t="s">
        <v>36</v>
      </c>
      <c r="C13" s="45" t="s">
        <v>78</v>
      </c>
      <c r="D13" s="45" t="s">
        <v>102</v>
      </c>
      <c r="E13" s="46" t="s">
        <v>73</v>
      </c>
      <c r="F13" s="47" t="s">
        <v>74</v>
      </c>
      <c r="G13" s="48" t="s">
        <v>24</v>
      </c>
      <c r="H13" s="57" t="s">
        <v>84</v>
      </c>
      <c r="I13" s="48">
        <v>4000011849</v>
      </c>
      <c r="J13" s="52">
        <v>62.84</v>
      </c>
      <c r="K13" s="50"/>
      <c r="L13" s="52">
        <f t="shared" si="0"/>
        <v>62.84</v>
      </c>
      <c r="M13" s="51">
        <v>0</v>
      </c>
      <c r="N13" s="52">
        <f t="shared" si="1"/>
        <v>0</v>
      </c>
      <c r="O13" s="52">
        <f t="shared" si="2"/>
        <v>62.84</v>
      </c>
      <c r="P13" s="53">
        <f>IFERROR(O13/Q13,"")</f>
        <v>0.26193155766745863</v>
      </c>
      <c r="Q13" s="52">
        <f>SUMIFS(O:O,T:T,T13,B:B,B13,A:A,A13,G:G,G13,E:E,E13)</f>
        <v>239.91</v>
      </c>
      <c r="R13" s="54">
        <f>U13-SUMIFS(Q:Q,A:A,A13,B:B,B13,G:G,G13,E:E,E13,T:T,"Fixed Price ( Base Price with GST)")</f>
        <v>3138.6179999999999</v>
      </c>
      <c r="S13" s="52">
        <f>P13*R13</f>
        <v>822.10310166312365</v>
      </c>
      <c r="T13" s="48" t="s">
        <v>76</v>
      </c>
      <c r="U13" s="55">
        <v>3404</v>
      </c>
      <c r="V13" s="80">
        <v>490110</v>
      </c>
      <c r="W13" s="89">
        <v>445</v>
      </c>
      <c r="X13" s="90">
        <f t="shared" si="3"/>
        <v>-377.10310166312365</v>
      </c>
      <c r="Y13" s="50"/>
    </row>
    <row r="14" spans="1:25" ht="15" customHeight="1">
      <c r="A14" s="44" t="s">
        <v>242</v>
      </c>
      <c r="B14" s="45" t="s">
        <v>36</v>
      </c>
      <c r="C14" s="45" t="s">
        <v>243</v>
      </c>
      <c r="D14" s="45" t="s">
        <v>245</v>
      </c>
      <c r="E14" s="46" t="s">
        <v>73</v>
      </c>
      <c r="F14" s="58" t="s">
        <v>90</v>
      </c>
      <c r="G14" s="48" t="s">
        <v>24</v>
      </c>
      <c r="H14" s="59" t="s">
        <v>75</v>
      </c>
      <c r="I14" s="60">
        <v>7000001002</v>
      </c>
      <c r="J14" s="61">
        <v>118.9</v>
      </c>
      <c r="K14" s="60">
        <v>10</v>
      </c>
      <c r="L14" s="61">
        <f t="shared" si="0"/>
        <v>128.9</v>
      </c>
      <c r="M14" s="62">
        <v>0.18</v>
      </c>
      <c r="N14" s="61">
        <f t="shared" si="1"/>
        <v>23.202000000000002</v>
      </c>
      <c r="O14" s="61">
        <f t="shared" si="2"/>
        <v>152.102</v>
      </c>
      <c r="P14" s="63">
        <v>0</v>
      </c>
      <c r="Q14" s="61">
        <f>O14</f>
        <v>152.102</v>
      </c>
      <c r="R14" s="64">
        <f>Q14</f>
        <v>152.102</v>
      </c>
      <c r="S14" s="61">
        <f>Q14</f>
        <v>152.102</v>
      </c>
      <c r="T14" s="60" t="s">
        <v>91</v>
      </c>
      <c r="U14" s="55">
        <v>3404</v>
      </c>
      <c r="V14" s="80">
        <v>49119990</v>
      </c>
      <c r="W14" s="50"/>
      <c r="X14" s="90">
        <f t="shared" si="3"/>
        <v>-152.102</v>
      </c>
      <c r="Y14" s="50"/>
    </row>
    <row r="15" spans="1:25" ht="15" customHeight="1">
      <c r="A15" s="44" t="s">
        <v>242</v>
      </c>
      <c r="B15" s="45" t="s">
        <v>36</v>
      </c>
      <c r="C15" s="45" t="s">
        <v>92</v>
      </c>
      <c r="D15" s="45" t="s">
        <v>93</v>
      </c>
      <c r="E15" s="46" t="s">
        <v>73</v>
      </c>
      <c r="F15" s="81" t="s">
        <v>94</v>
      </c>
      <c r="G15" s="48" t="s">
        <v>24</v>
      </c>
      <c r="H15" s="59" t="s">
        <v>75</v>
      </c>
      <c r="I15" s="60">
        <v>8400007</v>
      </c>
      <c r="J15" s="61">
        <v>96</v>
      </c>
      <c r="K15" s="82"/>
      <c r="L15" s="61">
        <f t="shared" si="0"/>
        <v>96</v>
      </c>
      <c r="M15" s="62">
        <v>0.18</v>
      </c>
      <c r="N15" s="61">
        <f t="shared" si="1"/>
        <v>17.28</v>
      </c>
      <c r="O15" s="61">
        <f t="shared" si="2"/>
        <v>113.28</v>
      </c>
      <c r="P15" s="63">
        <v>0</v>
      </c>
      <c r="Q15" s="61">
        <f>O15</f>
        <v>113.28</v>
      </c>
      <c r="R15" s="64">
        <f>Q15</f>
        <v>113.28</v>
      </c>
      <c r="S15" s="61">
        <f>Q15</f>
        <v>113.28</v>
      </c>
      <c r="T15" s="60" t="s">
        <v>91</v>
      </c>
      <c r="U15" s="77">
        <v>3404</v>
      </c>
      <c r="V15" s="80">
        <v>999299</v>
      </c>
      <c r="W15" s="50"/>
      <c r="X15" s="90">
        <f t="shared" si="3"/>
        <v>-113.28</v>
      </c>
      <c r="Y15" s="50"/>
    </row>
    <row r="16" spans="1:25" ht="15" customHeight="1">
      <c r="A16" s="44" t="s">
        <v>242</v>
      </c>
      <c r="B16" s="32" t="s">
        <v>37</v>
      </c>
      <c r="C16" s="32" t="s">
        <v>105</v>
      </c>
      <c r="D16" s="32" t="s">
        <v>106</v>
      </c>
      <c r="E16" s="33" t="s">
        <v>73</v>
      </c>
      <c r="F16" s="34" t="s">
        <v>74</v>
      </c>
      <c r="G16" s="35" t="s">
        <v>24</v>
      </c>
      <c r="H16" s="36" t="s">
        <v>75</v>
      </c>
      <c r="I16" s="35">
        <v>4000011851</v>
      </c>
      <c r="J16" s="39">
        <v>30</v>
      </c>
      <c r="K16" s="37"/>
      <c r="L16" s="39">
        <f t="shared" si="0"/>
        <v>30</v>
      </c>
      <c r="M16" s="38">
        <v>0</v>
      </c>
      <c r="N16" s="39">
        <f t="shared" si="1"/>
        <v>0</v>
      </c>
      <c r="O16" s="39">
        <f t="shared" si="2"/>
        <v>30</v>
      </c>
      <c r="P16" s="40">
        <f t="shared" ref="P16:P24" si="4">IFERROR(O16/Q16,"")</f>
        <v>7.7291698871541192E-2</v>
      </c>
      <c r="Q16" s="39">
        <f t="shared" ref="Q16:Q24" si="5">SUMIFS(O:O,T:T,T16,B:B,B16,A:A,A16,G:G,G16,E:E,E16)</f>
        <v>388.14</v>
      </c>
      <c r="R16" s="41">
        <f t="shared" ref="R16:R24" si="6">U16-SUMIFS(Q:Q,A:A,A16,B:B,B16,G:G,G16,E:E,E16,T:T,"Fixed Price ( Base Price with GST)")</f>
        <v>4311.902</v>
      </c>
      <c r="S16" s="39">
        <f t="shared" ref="S16:S24" si="7">P16*R16</f>
        <v>333.27423094759621</v>
      </c>
      <c r="T16" s="35" t="s">
        <v>76</v>
      </c>
      <c r="U16" s="42">
        <v>4561</v>
      </c>
      <c r="V16" s="43">
        <v>490110</v>
      </c>
      <c r="W16" s="89">
        <v>235</v>
      </c>
      <c r="X16" s="90">
        <f t="shared" si="3"/>
        <v>-98.274230947596209</v>
      </c>
      <c r="Y16" s="50"/>
    </row>
    <row r="17" spans="1:25" ht="15" customHeight="1">
      <c r="A17" s="44" t="s">
        <v>242</v>
      </c>
      <c r="B17" s="45" t="s">
        <v>37</v>
      </c>
      <c r="C17" s="45" t="s">
        <v>71</v>
      </c>
      <c r="D17" s="45" t="s">
        <v>108</v>
      </c>
      <c r="E17" s="46" t="s">
        <v>73</v>
      </c>
      <c r="F17" s="47" t="s">
        <v>74</v>
      </c>
      <c r="G17" s="48" t="s">
        <v>24</v>
      </c>
      <c r="H17" s="49" t="s">
        <v>75</v>
      </c>
      <c r="I17" s="48">
        <v>4000011854</v>
      </c>
      <c r="J17" s="52">
        <v>43.03</v>
      </c>
      <c r="K17" s="50"/>
      <c r="L17" s="52">
        <f t="shared" si="0"/>
        <v>43.03</v>
      </c>
      <c r="M17" s="51">
        <v>0</v>
      </c>
      <c r="N17" s="52">
        <f t="shared" si="1"/>
        <v>0</v>
      </c>
      <c r="O17" s="52">
        <f t="shared" si="2"/>
        <v>43.03</v>
      </c>
      <c r="P17" s="53">
        <f t="shared" si="4"/>
        <v>0.11086206008141393</v>
      </c>
      <c r="Q17" s="52">
        <f t="shared" si="5"/>
        <v>388.14</v>
      </c>
      <c r="R17" s="54">
        <f t="shared" si="6"/>
        <v>4311.902</v>
      </c>
      <c r="S17" s="52">
        <f t="shared" si="7"/>
        <v>478.02633858916892</v>
      </c>
      <c r="T17" s="48" t="s">
        <v>76</v>
      </c>
      <c r="U17" s="55">
        <v>4561</v>
      </c>
      <c r="V17" s="56">
        <v>490110</v>
      </c>
      <c r="W17" s="89">
        <v>365</v>
      </c>
      <c r="X17" s="90">
        <f t="shared" si="3"/>
        <v>-113.02633858916892</v>
      </c>
      <c r="Y17" s="50"/>
    </row>
    <row r="18" spans="1:25" ht="15" customHeight="1">
      <c r="A18" s="44" t="s">
        <v>242</v>
      </c>
      <c r="B18" s="45" t="s">
        <v>37</v>
      </c>
      <c r="C18" s="45" t="s">
        <v>78</v>
      </c>
      <c r="D18" s="45" t="s">
        <v>110</v>
      </c>
      <c r="E18" s="46" t="s">
        <v>73</v>
      </c>
      <c r="F18" s="47" t="s">
        <v>74</v>
      </c>
      <c r="G18" s="48" t="s">
        <v>24</v>
      </c>
      <c r="H18" s="49" t="s">
        <v>75</v>
      </c>
      <c r="I18" s="48">
        <v>4000011857</v>
      </c>
      <c r="J18" s="52">
        <v>28.34</v>
      </c>
      <c r="K18" s="50"/>
      <c r="L18" s="52">
        <f t="shared" si="0"/>
        <v>28.34</v>
      </c>
      <c r="M18" s="51">
        <v>0</v>
      </c>
      <c r="N18" s="52">
        <f t="shared" si="1"/>
        <v>0</v>
      </c>
      <c r="O18" s="52">
        <f t="shared" si="2"/>
        <v>28.34</v>
      </c>
      <c r="P18" s="53">
        <f t="shared" si="4"/>
        <v>7.3014891533982593E-2</v>
      </c>
      <c r="Q18" s="52">
        <f t="shared" si="5"/>
        <v>388.14</v>
      </c>
      <c r="R18" s="54">
        <f t="shared" si="6"/>
        <v>4311.902</v>
      </c>
      <c r="S18" s="52">
        <f t="shared" si="7"/>
        <v>314.83305683516261</v>
      </c>
      <c r="T18" s="48" t="s">
        <v>76</v>
      </c>
      <c r="U18" s="55">
        <v>4561</v>
      </c>
      <c r="V18" s="56">
        <v>490110</v>
      </c>
      <c r="W18" s="89">
        <v>160</v>
      </c>
      <c r="X18" s="90">
        <f t="shared" si="3"/>
        <v>-154.83305683516261</v>
      </c>
      <c r="Y18" s="50"/>
    </row>
    <row r="19" spans="1:25" ht="15" customHeight="1">
      <c r="A19" s="44" t="s">
        <v>242</v>
      </c>
      <c r="B19" s="45" t="s">
        <v>37</v>
      </c>
      <c r="C19" s="45" t="s">
        <v>78</v>
      </c>
      <c r="D19" s="45" t="s">
        <v>111</v>
      </c>
      <c r="E19" s="46" t="s">
        <v>73</v>
      </c>
      <c r="F19" s="47" t="s">
        <v>74</v>
      </c>
      <c r="G19" s="48" t="s">
        <v>24</v>
      </c>
      <c r="H19" s="49" t="s">
        <v>75</v>
      </c>
      <c r="I19" s="48">
        <v>4000011856</v>
      </c>
      <c r="J19" s="52">
        <v>65.83</v>
      </c>
      <c r="K19" s="50"/>
      <c r="L19" s="52">
        <f t="shared" si="0"/>
        <v>65.83</v>
      </c>
      <c r="M19" s="51">
        <v>0</v>
      </c>
      <c r="N19" s="52">
        <f t="shared" si="1"/>
        <v>0</v>
      </c>
      <c r="O19" s="52">
        <f t="shared" si="2"/>
        <v>65.83</v>
      </c>
      <c r="P19" s="53">
        <f t="shared" si="4"/>
        <v>0.16960375122378524</v>
      </c>
      <c r="Q19" s="52">
        <f t="shared" si="5"/>
        <v>388.14</v>
      </c>
      <c r="R19" s="54">
        <f t="shared" si="6"/>
        <v>4311.902</v>
      </c>
      <c r="S19" s="52">
        <f t="shared" si="7"/>
        <v>731.31475410934206</v>
      </c>
      <c r="T19" s="48" t="s">
        <v>76</v>
      </c>
      <c r="U19" s="55">
        <v>4561</v>
      </c>
      <c r="V19" s="56">
        <v>490110</v>
      </c>
      <c r="W19" s="89">
        <v>505</v>
      </c>
      <c r="X19" s="90">
        <f t="shared" si="3"/>
        <v>-226.31475410934206</v>
      </c>
      <c r="Y19" s="50"/>
    </row>
    <row r="20" spans="1:25" ht="15" customHeight="1">
      <c r="A20" s="44" t="s">
        <v>242</v>
      </c>
      <c r="B20" s="45" t="s">
        <v>37</v>
      </c>
      <c r="C20" s="45" t="s">
        <v>113</v>
      </c>
      <c r="D20" s="45" t="s">
        <v>114</v>
      </c>
      <c r="E20" s="46" t="s">
        <v>73</v>
      </c>
      <c r="F20" s="47" t="s">
        <v>74</v>
      </c>
      <c r="G20" s="48" t="s">
        <v>24</v>
      </c>
      <c r="H20" s="49" t="s">
        <v>75</v>
      </c>
      <c r="I20" s="48">
        <v>4000011859</v>
      </c>
      <c r="J20" s="52">
        <v>54.55</v>
      </c>
      <c r="K20" s="50"/>
      <c r="L20" s="52">
        <f t="shared" si="0"/>
        <v>54.55</v>
      </c>
      <c r="M20" s="51">
        <v>0</v>
      </c>
      <c r="N20" s="52">
        <f t="shared" si="1"/>
        <v>0</v>
      </c>
      <c r="O20" s="52">
        <f t="shared" si="2"/>
        <v>54.55</v>
      </c>
      <c r="P20" s="53">
        <f t="shared" si="4"/>
        <v>0.14054207244808575</v>
      </c>
      <c r="Q20" s="52">
        <f t="shared" si="5"/>
        <v>388.14</v>
      </c>
      <c r="R20" s="54">
        <f t="shared" si="6"/>
        <v>4311.902</v>
      </c>
      <c r="S20" s="52">
        <f t="shared" si="7"/>
        <v>606.0036432730459</v>
      </c>
      <c r="T20" s="48" t="s">
        <v>76</v>
      </c>
      <c r="U20" s="55">
        <v>4561</v>
      </c>
      <c r="V20" s="56">
        <v>490110</v>
      </c>
      <c r="W20" s="89">
        <v>260</v>
      </c>
      <c r="X20" s="90">
        <f t="shared" si="3"/>
        <v>-346.0036432730459</v>
      </c>
      <c r="Y20" s="50"/>
    </row>
    <row r="21" spans="1:25" ht="15" customHeight="1">
      <c r="A21" s="44" t="s">
        <v>242</v>
      </c>
      <c r="B21" s="45" t="s">
        <v>37</v>
      </c>
      <c r="C21" s="45" t="s">
        <v>105</v>
      </c>
      <c r="D21" s="45" t="s">
        <v>115</v>
      </c>
      <c r="E21" s="46" t="s">
        <v>73</v>
      </c>
      <c r="F21" s="47" t="s">
        <v>74</v>
      </c>
      <c r="G21" s="48" t="s">
        <v>24</v>
      </c>
      <c r="H21" s="57" t="s">
        <v>84</v>
      </c>
      <c r="I21" s="48">
        <v>4000011780</v>
      </c>
      <c r="J21" s="52">
        <v>32.14</v>
      </c>
      <c r="K21" s="50"/>
      <c r="L21" s="52">
        <f t="shared" si="0"/>
        <v>32.14</v>
      </c>
      <c r="M21" s="51">
        <v>0</v>
      </c>
      <c r="N21" s="52">
        <f t="shared" si="1"/>
        <v>0</v>
      </c>
      <c r="O21" s="52">
        <f t="shared" si="2"/>
        <v>32.14</v>
      </c>
      <c r="P21" s="53">
        <f t="shared" si="4"/>
        <v>8.280517339104447E-2</v>
      </c>
      <c r="Q21" s="52">
        <f t="shared" si="5"/>
        <v>388.14</v>
      </c>
      <c r="R21" s="54">
        <f t="shared" si="6"/>
        <v>4311.902</v>
      </c>
      <c r="S21" s="52">
        <f t="shared" si="7"/>
        <v>357.04779275519144</v>
      </c>
      <c r="T21" s="48" t="s">
        <v>76</v>
      </c>
      <c r="U21" s="55">
        <v>4561</v>
      </c>
      <c r="V21" s="56">
        <v>490110</v>
      </c>
      <c r="W21" s="89">
        <v>271</v>
      </c>
      <c r="X21" s="90">
        <f t="shared" si="3"/>
        <v>-86.047792755191438</v>
      </c>
      <c r="Y21" s="50"/>
    </row>
    <row r="22" spans="1:25" ht="15" customHeight="1">
      <c r="A22" s="44" t="s">
        <v>242</v>
      </c>
      <c r="B22" s="45" t="s">
        <v>37</v>
      </c>
      <c r="C22" s="45" t="s">
        <v>71</v>
      </c>
      <c r="D22" s="45" t="s">
        <v>117</v>
      </c>
      <c r="E22" s="46" t="s">
        <v>73</v>
      </c>
      <c r="F22" s="47" t="s">
        <v>74</v>
      </c>
      <c r="G22" s="48" t="s">
        <v>24</v>
      </c>
      <c r="H22" s="57" t="s">
        <v>84</v>
      </c>
      <c r="I22" s="48">
        <v>4000011782</v>
      </c>
      <c r="J22" s="52">
        <v>43.03</v>
      </c>
      <c r="K22" s="50"/>
      <c r="L22" s="52">
        <f t="shared" si="0"/>
        <v>43.03</v>
      </c>
      <c r="M22" s="51">
        <v>0</v>
      </c>
      <c r="N22" s="52">
        <f t="shared" si="1"/>
        <v>0</v>
      </c>
      <c r="O22" s="52">
        <f t="shared" si="2"/>
        <v>43.03</v>
      </c>
      <c r="P22" s="53">
        <f t="shared" si="4"/>
        <v>0.11086206008141393</v>
      </c>
      <c r="Q22" s="52">
        <f t="shared" si="5"/>
        <v>388.14</v>
      </c>
      <c r="R22" s="54">
        <f t="shared" si="6"/>
        <v>4311.902</v>
      </c>
      <c r="S22" s="52">
        <f t="shared" si="7"/>
        <v>478.02633858916892</v>
      </c>
      <c r="T22" s="48" t="s">
        <v>76</v>
      </c>
      <c r="U22" s="55">
        <v>4561</v>
      </c>
      <c r="V22" s="56">
        <v>490110</v>
      </c>
      <c r="W22" s="89">
        <v>365</v>
      </c>
      <c r="X22" s="90">
        <f t="shared" si="3"/>
        <v>-113.02633858916892</v>
      </c>
      <c r="Y22" s="50"/>
    </row>
    <row r="23" spans="1:25" ht="15" customHeight="1">
      <c r="A23" s="44" t="s">
        <v>242</v>
      </c>
      <c r="B23" s="45" t="s">
        <v>37</v>
      </c>
      <c r="C23" s="45" t="s">
        <v>78</v>
      </c>
      <c r="D23" s="45" t="s">
        <v>119</v>
      </c>
      <c r="E23" s="46" t="s">
        <v>73</v>
      </c>
      <c r="F23" s="47" t="s">
        <v>74</v>
      </c>
      <c r="G23" s="48" t="s">
        <v>24</v>
      </c>
      <c r="H23" s="57" t="s">
        <v>84</v>
      </c>
      <c r="I23" s="48">
        <v>4000011785</v>
      </c>
      <c r="J23" s="52">
        <v>53.56</v>
      </c>
      <c r="K23" s="50"/>
      <c r="L23" s="52">
        <f t="shared" si="0"/>
        <v>53.56</v>
      </c>
      <c r="M23" s="51">
        <v>0</v>
      </c>
      <c r="N23" s="52">
        <f t="shared" si="1"/>
        <v>0</v>
      </c>
      <c r="O23" s="52">
        <f t="shared" si="2"/>
        <v>53.56</v>
      </c>
      <c r="P23" s="53">
        <f t="shared" si="4"/>
        <v>0.1379914463853249</v>
      </c>
      <c r="Q23" s="52">
        <f t="shared" si="5"/>
        <v>388.14</v>
      </c>
      <c r="R23" s="54">
        <f t="shared" si="6"/>
        <v>4311.902</v>
      </c>
      <c r="S23" s="52">
        <f t="shared" si="7"/>
        <v>595.00559365177526</v>
      </c>
      <c r="T23" s="48" t="s">
        <v>76</v>
      </c>
      <c r="U23" s="55">
        <v>4561</v>
      </c>
      <c r="V23" s="56">
        <v>490110</v>
      </c>
      <c r="W23" s="89">
        <v>440</v>
      </c>
      <c r="X23" s="90">
        <f t="shared" si="3"/>
        <v>-155.00559365177526</v>
      </c>
      <c r="Y23" s="50"/>
    </row>
    <row r="24" spans="1:25" ht="15" customHeight="1">
      <c r="A24" s="44" t="s">
        <v>242</v>
      </c>
      <c r="B24" s="45" t="s">
        <v>37</v>
      </c>
      <c r="C24" s="45" t="s">
        <v>113</v>
      </c>
      <c r="D24" s="45" t="s">
        <v>121</v>
      </c>
      <c r="E24" s="46" t="s">
        <v>73</v>
      </c>
      <c r="F24" s="47" t="s">
        <v>74</v>
      </c>
      <c r="G24" s="48" t="s">
        <v>24</v>
      </c>
      <c r="H24" s="57" t="s">
        <v>84</v>
      </c>
      <c r="I24" s="48">
        <v>4000011787</v>
      </c>
      <c r="J24" s="52">
        <v>37.659999999999997</v>
      </c>
      <c r="K24" s="50"/>
      <c r="L24" s="52">
        <f t="shared" si="0"/>
        <v>37.659999999999997</v>
      </c>
      <c r="M24" s="51">
        <v>0</v>
      </c>
      <c r="N24" s="52">
        <f t="shared" si="1"/>
        <v>0</v>
      </c>
      <c r="O24" s="52">
        <f t="shared" si="2"/>
        <v>37.659999999999997</v>
      </c>
      <c r="P24" s="53">
        <f t="shared" si="4"/>
        <v>9.702684598340805E-2</v>
      </c>
      <c r="Q24" s="52">
        <f t="shared" si="5"/>
        <v>388.14</v>
      </c>
      <c r="R24" s="54">
        <f t="shared" si="6"/>
        <v>4311.902</v>
      </c>
      <c r="S24" s="52">
        <f t="shared" si="7"/>
        <v>418.37025124954914</v>
      </c>
      <c r="T24" s="48" t="s">
        <v>76</v>
      </c>
      <c r="U24" s="55">
        <v>4561</v>
      </c>
      <c r="V24" s="56">
        <v>490110</v>
      </c>
      <c r="W24" s="89">
        <v>260</v>
      </c>
      <c r="X24" s="90">
        <f t="shared" si="3"/>
        <v>-158.37025124954914</v>
      </c>
      <c r="Y24" s="50"/>
    </row>
    <row r="25" spans="1:25" ht="15" customHeight="1">
      <c r="A25" s="44" t="s">
        <v>242</v>
      </c>
      <c r="B25" s="45" t="s">
        <v>37</v>
      </c>
      <c r="C25" s="45" t="s">
        <v>243</v>
      </c>
      <c r="D25" s="45" t="s">
        <v>246</v>
      </c>
      <c r="E25" s="46" t="s">
        <v>73</v>
      </c>
      <c r="F25" s="58" t="s">
        <v>90</v>
      </c>
      <c r="G25" s="48" t="s">
        <v>24</v>
      </c>
      <c r="H25" s="59" t="s">
        <v>75</v>
      </c>
      <c r="I25" s="60">
        <v>7000001003</v>
      </c>
      <c r="J25" s="61">
        <v>105.1</v>
      </c>
      <c r="K25" s="60">
        <v>10</v>
      </c>
      <c r="L25" s="61">
        <f t="shared" si="0"/>
        <v>115.1</v>
      </c>
      <c r="M25" s="62">
        <v>0.18</v>
      </c>
      <c r="N25" s="61">
        <f t="shared" si="1"/>
        <v>20.718</v>
      </c>
      <c r="O25" s="61">
        <f t="shared" si="2"/>
        <v>135.81799999999998</v>
      </c>
      <c r="P25" s="63">
        <v>0</v>
      </c>
      <c r="Q25" s="61">
        <f>O25</f>
        <v>135.81799999999998</v>
      </c>
      <c r="R25" s="64">
        <f>Q25</f>
        <v>135.81799999999998</v>
      </c>
      <c r="S25" s="61">
        <f>Q25</f>
        <v>135.81799999999998</v>
      </c>
      <c r="T25" s="60" t="s">
        <v>91</v>
      </c>
      <c r="U25" s="55">
        <v>4561</v>
      </c>
      <c r="V25" s="56">
        <v>49119990</v>
      </c>
      <c r="W25" s="50"/>
      <c r="X25" s="90">
        <f t="shared" si="3"/>
        <v>-135.81799999999998</v>
      </c>
      <c r="Y25" s="50"/>
    </row>
    <row r="26" spans="1:25" ht="15" customHeight="1">
      <c r="A26" s="44" t="s">
        <v>242</v>
      </c>
      <c r="B26" s="66" t="s">
        <v>37</v>
      </c>
      <c r="C26" s="66" t="s">
        <v>92</v>
      </c>
      <c r="D26" s="66" t="s">
        <v>93</v>
      </c>
      <c r="E26" s="67" t="s">
        <v>73</v>
      </c>
      <c r="F26" s="68" t="s">
        <v>94</v>
      </c>
      <c r="G26" s="69" t="s">
        <v>24</v>
      </c>
      <c r="H26" s="70" t="s">
        <v>75</v>
      </c>
      <c r="I26" s="71">
        <v>8400007</v>
      </c>
      <c r="J26" s="72">
        <v>96</v>
      </c>
      <c r="K26" s="73"/>
      <c r="L26" s="72">
        <f t="shared" si="0"/>
        <v>96</v>
      </c>
      <c r="M26" s="74">
        <v>0.18</v>
      </c>
      <c r="N26" s="72">
        <f t="shared" si="1"/>
        <v>17.28</v>
      </c>
      <c r="O26" s="72">
        <f t="shared" si="2"/>
        <v>113.28</v>
      </c>
      <c r="P26" s="75">
        <v>0</v>
      </c>
      <c r="Q26" s="72">
        <f>O26</f>
        <v>113.28</v>
      </c>
      <c r="R26" s="76">
        <f>Q26</f>
        <v>113.28</v>
      </c>
      <c r="S26" s="72">
        <f>Q26</f>
        <v>113.28</v>
      </c>
      <c r="T26" s="71" t="s">
        <v>91</v>
      </c>
      <c r="U26" s="55">
        <v>4561</v>
      </c>
      <c r="V26" s="78">
        <v>999299</v>
      </c>
      <c r="W26" s="50"/>
      <c r="X26" s="90">
        <f t="shared" si="3"/>
        <v>-113.28</v>
      </c>
      <c r="Y26" s="50"/>
    </row>
    <row r="27" spans="1:25" ht="15" customHeight="1">
      <c r="A27" s="44" t="s">
        <v>242</v>
      </c>
      <c r="B27" s="32" t="s">
        <v>38</v>
      </c>
      <c r="C27" s="32" t="s">
        <v>105</v>
      </c>
      <c r="D27" s="32" t="s">
        <v>123</v>
      </c>
      <c r="E27" s="33" t="s">
        <v>73</v>
      </c>
      <c r="F27" s="34" t="s">
        <v>74</v>
      </c>
      <c r="G27" s="35" t="s">
        <v>24</v>
      </c>
      <c r="H27" s="36" t="s">
        <v>75</v>
      </c>
      <c r="I27" s="35">
        <v>4000011788</v>
      </c>
      <c r="J27" s="39">
        <v>34.78</v>
      </c>
      <c r="K27" s="37"/>
      <c r="L27" s="39">
        <f t="shared" si="0"/>
        <v>34.78</v>
      </c>
      <c r="M27" s="38">
        <v>0</v>
      </c>
      <c r="N27" s="39">
        <f t="shared" si="1"/>
        <v>0</v>
      </c>
      <c r="O27" s="39">
        <f t="shared" si="2"/>
        <v>34.78</v>
      </c>
      <c r="P27" s="40">
        <f t="shared" ref="P27:P35" si="8">IFERROR(O27/Q27,"")</f>
        <v>8.1128994634942844E-2</v>
      </c>
      <c r="Q27" s="39">
        <f t="shared" ref="Q27:Q35" si="9">SUMIFS(O:O,T:T,T27,B:B,B27,A:A,A27,G:G,G27,E:E,E27)</f>
        <v>428.70000000000005</v>
      </c>
      <c r="R27" s="41">
        <f t="shared" ref="R27:R35" si="10">U27-SUMIFS(Q:Q,A:A,A27,B:B,B27,G:G,G27,E:E,E27,T:T,"Fixed Price ( Base Price with GST)")</f>
        <v>4259.0600000000004</v>
      </c>
      <c r="S27" s="39">
        <f t="shared" ref="S27:S35" si="11">P27*R27</f>
        <v>345.53325588989969</v>
      </c>
      <c r="T27" s="35" t="s">
        <v>76</v>
      </c>
      <c r="U27" s="42">
        <v>4534</v>
      </c>
      <c r="V27" s="43">
        <v>490110</v>
      </c>
      <c r="W27" s="89">
        <v>260</v>
      </c>
      <c r="X27" s="90">
        <f t="shared" si="3"/>
        <v>-85.533255889899692</v>
      </c>
      <c r="Y27" s="50"/>
    </row>
    <row r="28" spans="1:25" ht="15" customHeight="1">
      <c r="A28" s="44" t="s">
        <v>242</v>
      </c>
      <c r="B28" s="45" t="s">
        <v>38</v>
      </c>
      <c r="C28" s="45" t="s">
        <v>71</v>
      </c>
      <c r="D28" s="45" t="s">
        <v>125</v>
      </c>
      <c r="E28" s="46" t="s">
        <v>73</v>
      </c>
      <c r="F28" s="47" t="s">
        <v>74</v>
      </c>
      <c r="G28" s="48" t="s">
        <v>24</v>
      </c>
      <c r="H28" s="49" t="s">
        <v>75</v>
      </c>
      <c r="I28" s="48">
        <v>4000011790</v>
      </c>
      <c r="J28" s="52">
        <v>45.67</v>
      </c>
      <c r="K28" s="50"/>
      <c r="L28" s="52">
        <f t="shared" si="0"/>
        <v>45.67</v>
      </c>
      <c r="M28" s="51">
        <v>0</v>
      </c>
      <c r="N28" s="52">
        <f t="shared" si="1"/>
        <v>0</v>
      </c>
      <c r="O28" s="52">
        <f t="shared" si="2"/>
        <v>45.67</v>
      </c>
      <c r="P28" s="53">
        <f t="shared" si="8"/>
        <v>0.10653137392115698</v>
      </c>
      <c r="Q28" s="52">
        <f t="shared" si="9"/>
        <v>428.70000000000005</v>
      </c>
      <c r="R28" s="54">
        <f t="shared" si="10"/>
        <v>4259.0600000000004</v>
      </c>
      <c r="S28" s="52">
        <f t="shared" si="11"/>
        <v>453.72351341264289</v>
      </c>
      <c r="T28" s="48" t="s">
        <v>76</v>
      </c>
      <c r="U28" s="55">
        <v>4534</v>
      </c>
      <c r="V28" s="56">
        <v>490110</v>
      </c>
      <c r="W28" s="89">
        <v>330</v>
      </c>
      <c r="X28" s="90">
        <f t="shared" si="3"/>
        <v>-123.72351341264289</v>
      </c>
      <c r="Y28" s="50"/>
    </row>
    <row r="29" spans="1:25" ht="15" customHeight="1">
      <c r="A29" s="44" t="s">
        <v>242</v>
      </c>
      <c r="B29" s="45" t="s">
        <v>38</v>
      </c>
      <c r="C29" s="45" t="s">
        <v>78</v>
      </c>
      <c r="D29" s="45" t="s">
        <v>127</v>
      </c>
      <c r="E29" s="46" t="s">
        <v>73</v>
      </c>
      <c r="F29" s="47" t="s">
        <v>74</v>
      </c>
      <c r="G29" s="48" t="s">
        <v>24</v>
      </c>
      <c r="H29" s="49" t="s">
        <v>75</v>
      </c>
      <c r="I29" s="48">
        <v>4000011793</v>
      </c>
      <c r="J29" s="52">
        <v>30.65</v>
      </c>
      <c r="K29" s="50"/>
      <c r="L29" s="52">
        <f t="shared" si="0"/>
        <v>30.65</v>
      </c>
      <c r="M29" s="51">
        <v>0</v>
      </c>
      <c r="N29" s="52">
        <f t="shared" si="1"/>
        <v>0</v>
      </c>
      <c r="O29" s="52">
        <f t="shared" si="2"/>
        <v>30.65</v>
      </c>
      <c r="P29" s="53">
        <f t="shared" si="8"/>
        <v>7.1495218101236283E-2</v>
      </c>
      <c r="Q29" s="52">
        <f t="shared" si="9"/>
        <v>428.70000000000005</v>
      </c>
      <c r="R29" s="54">
        <f t="shared" si="10"/>
        <v>4259.0600000000004</v>
      </c>
      <c r="S29" s="52">
        <f t="shared" si="11"/>
        <v>304.50242360625145</v>
      </c>
      <c r="T29" s="48" t="s">
        <v>76</v>
      </c>
      <c r="U29" s="55">
        <v>4534</v>
      </c>
      <c r="V29" s="56">
        <v>490110</v>
      </c>
      <c r="W29" s="89">
        <v>150</v>
      </c>
      <c r="X29" s="90">
        <f t="shared" si="3"/>
        <v>-154.50242360625145</v>
      </c>
      <c r="Y29" s="50"/>
    </row>
    <row r="30" spans="1:25" ht="15" customHeight="1">
      <c r="A30" s="44" t="s">
        <v>242</v>
      </c>
      <c r="B30" s="45" t="s">
        <v>38</v>
      </c>
      <c r="C30" s="45" t="s">
        <v>78</v>
      </c>
      <c r="D30" s="45" t="s">
        <v>128</v>
      </c>
      <c r="E30" s="46" t="s">
        <v>73</v>
      </c>
      <c r="F30" s="47" t="s">
        <v>74</v>
      </c>
      <c r="G30" s="48" t="s">
        <v>24</v>
      </c>
      <c r="H30" s="49" t="s">
        <v>75</v>
      </c>
      <c r="I30" s="48">
        <v>4000011792</v>
      </c>
      <c r="J30" s="52">
        <v>60.27</v>
      </c>
      <c r="K30" s="50"/>
      <c r="L30" s="52">
        <f t="shared" si="0"/>
        <v>60.27</v>
      </c>
      <c r="M30" s="51">
        <v>0</v>
      </c>
      <c r="N30" s="52">
        <f t="shared" si="1"/>
        <v>0</v>
      </c>
      <c r="O30" s="52">
        <f t="shared" si="2"/>
        <v>60.27</v>
      </c>
      <c r="P30" s="53">
        <f t="shared" si="8"/>
        <v>0.14058782365290412</v>
      </c>
      <c r="Q30" s="52">
        <f t="shared" si="9"/>
        <v>428.70000000000005</v>
      </c>
      <c r="R30" s="54">
        <f t="shared" si="10"/>
        <v>4259.0600000000004</v>
      </c>
      <c r="S30" s="52">
        <f t="shared" si="11"/>
        <v>598.77197620713787</v>
      </c>
      <c r="T30" s="48" t="s">
        <v>76</v>
      </c>
      <c r="U30" s="55">
        <v>4534</v>
      </c>
      <c r="V30" s="56">
        <v>490110</v>
      </c>
      <c r="W30" s="89">
        <v>430</v>
      </c>
      <c r="X30" s="90">
        <f t="shared" si="3"/>
        <v>-168.77197620713787</v>
      </c>
      <c r="Y30" s="50"/>
    </row>
    <row r="31" spans="1:25" ht="15" customHeight="1">
      <c r="A31" s="44" t="s">
        <v>242</v>
      </c>
      <c r="B31" s="45" t="s">
        <v>38</v>
      </c>
      <c r="C31" s="45" t="s">
        <v>113</v>
      </c>
      <c r="D31" s="45" t="s">
        <v>130</v>
      </c>
      <c r="E31" s="46" t="s">
        <v>73</v>
      </c>
      <c r="F31" s="47" t="s">
        <v>74</v>
      </c>
      <c r="G31" s="48" t="s">
        <v>24</v>
      </c>
      <c r="H31" s="49" t="s">
        <v>75</v>
      </c>
      <c r="I31" s="48">
        <v>4000011796</v>
      </c>
      <c r="J31" s="52">
        <v>57.61</v>
      </c>
      <c r="K31" s="50"/>
      <c r="L31" s="52">
        <f t="shared" si="0"/>
        <v>57.61</v>
      </c>
      <c r="M31" s="51">
        <v>0</v>
      </c>
      <c r="N31" s="52">
        <f t="shared" si="1"/>
        <v>0</v>
      </c>
      <c r="O31" s="52">
        <f t="shared" si="2"/>
        <v>57.61</v>
      </c>
      <c r="P31" s="53">
        <f t="shared" si="8"/>
        <v>0.13438301842780498</v>
      </c>
      <c r="Q31" s="52">
        <f t="shared" si="9"/>
        <v>428.70000000000005</v>
      </c>
      <c r="R31" s="54">
        <f t="shared" si="10"/>
        <v>4259.0600000000004</v>
      </c>
      <c r="S31" s="52">
        <f t="shared" si="11"/>
        <v>572.34533846512716</v>
      </c>
      <c r="T31" s="48" t="s">
        <v>76</v>
      </c>
      <c r="U31" s="55">
        <v>4534</v>
      </c>
      <c r="V31" s="56">
        <v>490110</v>
      </c>
      <c r="W31" s="89">
        <v>249</v>
      </c>
      <c r="X31" s="90">
        <f t="shared" si="3"/>
        <v>-323.34533846512716</v>
      </c>
      <c r="Y31" s="50"/>
    </row>
    <row r="32" spans="1:25" ht="15" customHeight="1">
      <c r="A32" s="44" t="s">
        <v>242</v>
      </c>
      <c r="B32" s="45" t="s">
        <v>38</v>
      </c>
      <c r="C32" s="45" t="s">
        <v>105</v>
      </c>
      <c r="D32" s="45" t="s">
        <v>131</v>
      </c>
      <c r="E32" s="46" t="s">
        <v>73</v>
      </c>
      <c r="F32" s="47" t="s">
        <v>74</v>
      </c>
      <c r="G32" s="48" t="s">
        <v>24</v>
      </c>
      <c r="H32" s="57" t="s">
        <v>84</v>
      </c>
      <c r="I32" s="48">
        <v>4000011797</v>
      </c>
      <c r="J32" s="52">
        <v>39.18</v>
      </c>
      <c r="K32" s="50"/>
      <c r="L32" s="52">
        <f t="shared" si="0"/>
        <v>39.18</v>
      </c>
      <c r="M32" s="51">
        <v>0</v>
      </c>
      <c r="N32" s="52">
        <f t="shared" si="1"/>
        <v>0</v>
      </c>
      <c r="O32" s="52">
        <f t="shared" si="2"/>
        <v>39.18</v>
      </c>
      <c r="P32" s="53">
        <f t="shared" si="8"/>
        <v>9.1392582225332392E-2</v>
      </c>
      <c r="Q32" s="52">
        <f t="shared" si="9"/>
        <v>428.70000000000005</v>
      </c>
      <c r="R32" s="54">
        <f t="shared" si="10"/>
        <v>4259.0600000000004</v>
      </c>
      <c r="S32" s="52">
        <f t="shared" si="11"/>
        <v>389.2464912526242</v>
      </c>
      <c r="T32" s="48" t="s">
        <v>76</v>
      </c>
      <c r="U32" s="55">
        <v>4534</v>
      </c>
      <c r="V32" s="56">
        <v>490110</v>
      </c>
      <c r="W32" s="89">
        <v>285</v>
      </c>
      <c r="X32" s="90">
        <f t="shared" si="3"/>
        <v>-104.2464912526242</v>
      </c>
      <c r="Y32" s="50"/>
    </row>
    <row r="33" spans="1:25" ht="15" customHeight="1">
      <c r="A33" s="44" t="s">
        <v>242</v>
      </c>
      <c r="B33" s="45" t="s">
        <v>38</v>
      </c>
      <c r="C33" s="45" t="s">
        <v>71</v>
      </c>
      <c r="D33" s="45" t="s">
        <v>133</v>
      </c>
      <c r="E33" s="46" t="s">
        <v>73</v>
      </c>
      <c r="F33" s="47" t="s">
        <v>74</v>
      </c>
      <c r="G33" s="48" t="s">
        <v>24</v>
      </c>
      <c r="H33" s="57" t="s">
        <v>84</v>
      </c>
      <c r="I33" s="48">
        <v>4000011799</v>
      </c>
      <c r="J33" s="52">
        <v>50.05</v>
      </c>
      <c r="K33" s="50"/>
      <c r="L33" s="52">
        <f t="shared" si="0"/>
        <v>50.05</v>
      </c>
      <c r="M33" s="51">
        <v>0</v>
      </c>
      <c r="N33" s="52">
        <f t="shared" si="1"/>
        <v>0</v>
      </c>
      <c r="O33" s="52">
        <f t="shared" si="2"/>
        <v>50.05</v>
      </c>
      <c r="P33" s="53">
        <f t="shared" si="8"/>
        <v>0.1167483088406811</v>
      </c>
      <c r="Q33" s="52">
        <f t="shared" si="9"/>
        <v>428.70000000000005</v>
      </c>
      <c r="R33" s="54">
        <f t="shared" si="10"/>
        <v>4259.0600000000004</v>
      </c>
      <c r="S33" s="52">
        <f t="shared" si="11"/>
        <v>497.2380522509913</v>
      </c>
      <c r="T33" s="48" t="s">
        <v>76</v>
      </c>
      <c r="U33" s="55">
        <v>4534</v>
      </c>
      <c r="V33" s="56">
        <v>490110</v>
      </c>
      <c r="W33" s="89">
        <v>385</v>
      </c>
      <c r="X33" s="90">
        <f t="shared" si="3"/>
        <v>-112.2380522509913</v>
      </c>
      <c r="Y33" s="50"/>
    </row>
    <row r="34" spans="1:25" ht="15" customHeight="1">
      <c r="A34" s="44" t="s">
        <v>242</v>
      </c>
      <c r="B34" s="45" t="s">
        <v>38</v>
      </c>
      <c r="C34" s="45" t="s">
        <v>78</v>
      </c>
      <c r="D34" s="45" t="s">
        <v>135</v>
      </c>
      <c r="E34" s="46" t="s">
        <v>73</v>
      </c>
      <c r="F34" s="47" t="s">
        <v>74</v>
      </c>
      <c r="G34" s="48" t="s">
        <v>24</v>
      </c>
      <c r="H34" s="57" t="s">
        <v>84</v>
      </c>
      <c r="I34" s="48">
        <v>4000011801</v>
      </c>
      <c r="J34" s="52">
        <v>65.510000000000005</v>
      </c>
      <c r="K34" s="50"/>
      <c r="L34" s="52">
        <f t="shared" ref="L34:L65" si="12">J34+K34</f>
        <v>65.510000000000005</v>
      </c>
      <c r="M34" s="51">
        <v>0</v>
      </c>
      <c r="N34" s="52">
        <f t="shared" ref="N34:N65" si="13">M34*L34</f>
        <v>0</v>
      </c>
      <c r="O34" s="52">
        <f t="shared" ref="O34:O65" si="14">L34+N34</f>
        <v>65.510000000000005</v>
      </c>
      <c r="P34" s="53">
        <f t="shared" si="8"/>
        <v>0.15281082341964078</v>
      </c>
      <c r="Q34" s="52">
        <f t="shared" si="9"/>
        <v>428.70000000000005</v>
      </c>
      <c r="R34" s="54">
        <f t="shared" si="10"/>
        <v>4259.0600000000004</v>
      </c>
      <c r="S34" s="52">
        <f t="shared" si="11"/>
        <v>650.83046559365528</v>
      </c>
      <c r="T34" s="48" t="s">
        <v>76</v>
      </c>
      <c r="U34" s="55">
        <v>4534</v>
      </c>
      <c r="V34" s="56">
        <v>490110</v>
      </c>
      <c r="W34" s="89">
        <v>475</v>
      </c>
      <c r="X34" s="90">
        <f t="shared" ref="X34:X65" si="15">W34-S34</f>
        <v>-175.83046559365528</v>
      </c>
      <c r="Y34" s="50"/>
    </row>
    <row r="35" spans="1:25" ht="15" customHeight="1">
      <c r="A35" s="44" t="s">
        <v>242</v>
      </c>
      <c r="B35" s="45" t="s">
        <v>38</v>
      </c>
      <c r="C35" s="45" t="s">
        <v>113</v>
      </c>
      <c r="D35" s="45" t="s">
        <v>137</v>
      </c>
      <c r="E35" s="46" t="s">
        <v>73</v>
      </c>
      <c r="F35" s="47" t="s">
        <v>74</v>
      </c>
      <c r="G35" s="48" t="s">
        <v>24</v>
      </c>
      <c r="H35" s="57" t="s">
        <v>84</v>
      </c>
      <c r="I35" s="48">
        <v>4000011803</v>
      </c>
      <c r="J35" s="52">
        <v>44.98</v>
      </c>
      <c r="K35" s="50"/>
      <c r="L35" s="52">
        <f t="shared" si="12"/>
        <v>44.98</v>
      </c>
      <c r="M35" s="51">
        <v>0</v>
      </c>
      <c r="N35" s="52">
        <f t="shared" si="13"/>
        <v>0</v>
      </c>
      <c r="O35" s="52">
        <f t="shared" si="14"/>
        <v>44.98</v>
      </c>
      <c r="P35" s="53">
        <f t="shared" si="8"/>
        <v>0.10492185677630042</v>
      </c>
      <c r="Q35" s="52">
        <f t="shared" si="9"/>
        <v>428.70000000000005</v>
      </c>
      <c r="R35" s="54">
        <f t="shared" si="10"/>
        <v>4259.0600000000004</v>
      </c>
      <c r="S35" s="52">
        <f t="shared" si="11"/>
        <v>446.86848332167011</v>
      </c>
      <c r="T35" s="48" t="s">
        <v>76</v>
      </c>
      <c r="U35" s="55">
        <v>4534</v>
      </c>
      <c r="V35" s="56">
        <v>490110</v>
      </c>
      <c r="W35" s="89">
        <v>270</v>
      </c>
      <c r="X35" s="90">
        <f t="shared" si="15"/>
        <v>-176.86848332167011</v>
      </c>
      <c r="Y35" s="50"/>
    </row>
    <row r="36" spans="1:25" ht="15" customHeight="1">
      <c r="A36" s="44" t="s">
        <v>242</v>
      </c>
      <c r="B36" s="45" t="s">
        <v>38</v>
      </c>
      <c r="C36" s="45" t="s">
        <v>243</v>
      </c>
      <c r="D36" s="45" t="s">
        <v>247</v>
      </c>
      <c r="E36" s="46" t="s">
        <v>73</v>
      </c>
      <c r="F36" s="58" t="s">
        <v>90</v>
      </c>
      <c r="G36" s="48" t="s">
        <v>24</v>
      </c>
      <c r="H36" s="59" t="s">
        <v>75</v>
      </c>
      <c r="I36" s="60">
        <v>7000001004</v>
      </c>
      <c r="J36" s="61">
        <v>127</v>
      </c>
      <c r="K36" s="60">
        <v>10</v>
      </c>
      <c r="L36" s="61">
        <f t="shared" si="12"/>
        <v>137</v>
      </c>
      <c r="M36" s="62">
        <v>0.18</v>
      </c>
      <c r="N36" s="61">
        <f t="shared" si="13"/>
        <v>24.66</v>
      </c>
      <c r="O36" s="61">
        <f t="shared" si="14"/>
        <v>161.66</v>
      </c>
      <c r="P36" s="63">
        <v>0</v>
      </c>
      <c r="Q36" s="61">
        <f>O36</f>
        <v>161.66</v>
      </c>
      <c r="R36" s="64">
        <f>Q36</f>
        <v>161.66</v>
      </c>
      <c r="S36" s="61">
        <f>Q36</f>
        <v>161.66</v>
      </c>
      <c r="T36" s="60" t="s">
        <v>91</v>
      </c>
      <c r="U36" s="55">
        <v>4534</v>
      </c>
      <c r="V36" s="56">
        <v>49119990</v>
      </c>
      <c r="W36" s="50"/>
      <c r="X36" s="90">
        <f t="shared" si="15"/>
        <v>-161.66</v>
      </c>
      <c r="Y36" s="50"/>
    </row>
    <row r="37" spans="1:25" ht="15" customHeight="1">
      <c r="A37" s="44" t="s">
        <v>242</v>
      </c>
      <c r="B37" s="66" t="s">
        <v>38</v>
      </c>
      <c r="C37" s="66" t="s">
        <v>92</v>
      </c>
      <c r="D37" s="66" t="s">
        <v>93</v>
      </c>
      <c r="E37" s="67" t="s">
        <v>73</v>
      </c>
      <c r="F37" s="68" t="s">
        <v>94</v>
      </c>
      <c r="G37" s="69" t="s">
        <v>24</v>
      </c>
      <c r="H37" s="70" t="s">
        <v>75</v>
      </c>
      <c r="I37" s="71">
        <v>8400007</v>
      </c>
      <c r="J37" s="72">
        <v>96</v>
      </c>
      <c r="K37" s="73"/>
      <c r="L37" s="72">
        <f t="shared" si="12"/>
        <v>96</v>
      </c>
      <c r="M37" s="74">
        <v>0.18</v>
      </c>
      <c r="N37" s="72">
        <f t="shared" si="13"/>
        <v>17.28</v>
      </c>
      <c r="O37" s="72">
        <f t="shared" si="14"/>
        <v>113.28</v>
      </c>
      <c r="P37" s="75">
        <v>0</v>
      </c>
      <c r="Q37" s="72">
        <f>O37</f>
        <v>113.28</v>
      </c>
      <c r="R37" s="76">
        <f>Q37</f>
        <v>113.28</v>
      </c>
      <c r="S37" s="72">
        <f>Q37</f>
        <v>113.28</v>
      </c>
      <c r="T37" s="71" t="s">
        <v>91</v>
      </c>
      <c r="U37" s="55">
        <v>4534</v>
      </c>
      <c r="V37" s="78">
        <v>999299</v>
      </c>
      <c r="W37" s="50"/>
      <c r="X37" s="90">
        <f t="shared" si="15"/>
        <v>-113.28</v>
      </c>
      <c r="Y37" s="50"/>
    </row>
    <row r="38" spans="1:25" ht="15" customHeight="1">
      <c r="A38" s="44" t="s">
        <v>242</v>
      </c>
      <c r="B38" s="32" t="s">
        <v>39</v>
      </c>
      <c r="C38" s="32" t="s">
        <v>105</v>
      </c>
      <c r="D38" s="32" t="s">
        <v>139</v>
      </c>
      <c r="E38" s="33" t="s">
        <v>73</v>
      </c>
      <c r="F38" s="34" t="s">
        <v>74</v>
      </c>
      <c r="G38" s="35" t="s">
        <v>24</v>
      </c>
      <c r="H38" s="36" t="s">
        <v>75</v>
      </c>
      <c r="I38" s="35">
        <v>4000011804</v>
      </c>
      <c r="J38" s="39">
        <v>39.65</v>
      </c>
      <c r="K38" s="37"/>
      <c r="L38" s="39">
        <f t="shared" si="12"/>
        <v>39.65</v>
      </c>
      <c r="M38" s="38">
        <v>0</v>
      </c>
      <c r="N38" s="39">
        <f t="shared" si="13"/>
        <v>0</v>
      </c>
      <c r="O38" s="39">
        <f t="shared" si="14"/>
        <v>39.65</v>
      </c>
      <c r="P38" s="40">
        <f t="shared" ref="P38:P46" si="16">IFERROR(O38/Q38,"")</f>
        <v>9.198468855121214E-2</v>
      </c>
      <c r="Q38" s="39">
        <f t="shared" ref="Q38:Q46" si="17">SUMIFS(O:O,T:T,T38,B:B,B38,A:A,A38,G:G,G38,E:E,E38)</f>
        <v>431.05000000000007</v>
      </c>
      <c r="R38" s="41">
        <f t="shared" ref="R38:R46" si="18">U38-SUMIFS(Q:Q,A:A,A38,B:B,B38,G:G,G38,E:E,E38,T:T,"Fixed Price ( Base Price with GST)")</f>
        <v>4246.17</v>
      </c>
      <c r="S38" s="39">
        <f t="shared" ref="S38:S46" si="19">P38*R38</f>
        <v>390.58262498550044</v>
      </c>
      <c r="T38" s="35" t="s">
        <v>76</v>
      </c>
      <c r="U38" s="42">
        <v>4504</v>
      </c>
      <c r="V38" s="43">
        <v>490110</v>
      </c>
      <c r="W38" s="89">
        <v>299</v>
      </c>
      <c r="X38" s="90">
        <f t="shared" si="15"/>
        <v>-91.582624985500445</v>
      </c>
      <c r="Y38" s="50"/>
    </row>
    <row r="39" spans="1:25" ht="15" customHeight="1">
      <c r="A39" s="44" t="s">
        <v>242</v>
      </c>
      <c r="B39" s="45" t="s">
        <v>39</v>
      </c>
      <c r="C39" s="45" t="s">
        <v>71</v>
      </c>
      <c r="D39" s="45" t="s">
        <v>141</v>
      </c>
      <c r="E39" s="46" t="s">
        <v>73</v>
      </c>
      <c r="F39" s="47" t="s">
        <v>74</v>
      </c>
      <c r="G39" s="48" t="s">
        <v>24</v>
      </c>
      <c r="H39" s="49" t="s">
        <v>75</v>
      </c>
      <c r="I39" s="48">
        <v>4000011807</v>
      </c>
      <c r="J39" s="52">
        <v>48.5</v>
      </c>
      <c r="K39" s="50"/>
      <c r="L39" s="52">
        <f t="shared" si="12"/>
        <v>48.5</v>
      </c>
      <c r="M39" s="51">
        <v>0</v>
      </c>
      <c r="N39" s="52">
        <f t="shared" si="13"/>
        <v>0</v>
      </c>
      <c r="O39" s="52">
        <f t="shared" si="14"/>
        <v>48.5</v>
      </c>
      <c r="P39" s="53">
        <f t="shared" si="16"/>
        <v>0.11251594942582065</v>
      </c>
      <c r="Q39" s="52">
        <f t="shared" si="17"/>
        <v>431.05000000000007</v>
      </c>
      <c r="R39" s="54">
        <f t="shared" si="18"/>
        <v>4246.17</v>
      </c>
      <c r="S39" s="52">
        <f t="shared" si="19"/>
        <v>477.76184897343688</v>
      </c>
      <c r="T39" s="48" t="s">
        <v>76</v>
      </c>
      <c r="U39" s="55">
        <v>4504</v>
      </c>
      <c r="V39" s="56">
        <v>490110</v>
      </c>
      <c r="W39" s="89">
        <v>365</v>
      </c>
      <c r="X39" s="90">
        <f t="shared" si="15"/>
        <v>-112.76184897343688</v>
      </c>
      <c r="Y39" s="50"/>
    </row>
    <row r="40" spans="1:25" ht="15" customHeight="1">
      <c r="A40" s="44" t="s">
        <v>242</v>
      </c>
      <c r="B40" s="45" t="s">
        <v>39</v>
      </c>
      <c r="C40" s="45" t="s">
        <v>78</v>
      </c>
      <c r="D40" s="45" t="s">
        <v>143</v>
      </c>
      <c r="E40" s="46" t="s">
        <v>73</v>
      </c>
      <c r="F40" s="47" t="s">
        <v>74</v>
      </c>
      <c r="G40" s="48" t="s">
        <v>24</v>
      </c>
      <c r="H40" s="49" t="s">
        <v>75</v>
      </c>
      <c r="I40" s="48">
        <v>4000011810</v>
      </c>
      <c r="J40" s="52">
        <v>40.619999999999997</v>
      </c>
      <c r="K40" s="50"/>
      <c r="L40" s="52">
        <f t="shared" si="12"/>
        <v>40.619999999999997</v>
      </c>
      <c r="M40" s="51">
        <v>0</v>
      </c>
      <c r="N40" s="52">
        <f t="shared" si="13"/>
        <v>0</v>
      </c>
      <c r="O40" s="52">
        <f t="shared" si="14"/>
        <v>40.619999999999997</v>
      </c>
      <c r="P40" s="53">
        <f t="shared" si="16"/>
        <v>9.4235007539728549E-2</v>
      </c>
      <c r="Q40" s="52">
        <f t="shared" si="17"/>
        <v>431.05000000000007</v>
      </c>
      <c r="R40" s="54">
        <f t="shared" si="18"/>
        <v>4246.17</v>
      </c>
      <c r="S40" s="52">
        <f t="shared" si="19"/>
        <v>400.1378619649692</v>
      </c>
      <c r="T40" s="48" t="s">
        <v>76</v>
      </c>
      <c r="U40" s="55">
        <v>4504</v>
      </c>
      <c r="V40" s="56">
        <v>490110</v>
      </c>
      <c r="W40" s="89">
        <v>175</v>
      </c>
      <c r="X40" s="90">
        <f t="shared" si="15"/>
        <v>-225.1378619649692</v>
      </c>
      <c r="Y40" s="50"/>
    </row>
    <row r="41" spans="1:25" ht="15" customHeight="1">
      <c r="A41" s="44" t="s">
        <v>242</v>
      </c>
      <c r="B41" s="45" t="s">
        <v>39</v>
      </c>
      <c r="C41" s="45" t="s">
        <v>78</v>
      </c>
      <c r="D41" s="45" t="s">
        <v>144</v>
      </c>
      <c r="E41" s="46" t="s">
        <v>73</v>
      </c>
      <c r="F41" s="47" t="s">
        <v>74</v>
      </c>
      <c r="G41" s="48" t="s">
        <v>24</v>
      </c>
      <c r="H41" s="49" t="s">
        <v>75</v>
      </c>
      <c r="I41" s="48">
        <v>4000011809</v>
      </c>
      <c r="J41" s="52">
        <v>55.07</v>
      </c>
      <c r="K41" s="50"/>
      <c r="L41" s="52">
        <f t="shared" si="12"/>
        <v>55.07</v>
      </c>
      <c r="M41" s="51">
        <v>0</v>
      </c>
      <c r="N41" s="52">
        <f t="shared" si="13"/>
        <v>0</v>
      </c>
      <c r="O41" s="52">
        <f t="shared" si="14"/>
        <v>55.07</v>
      </c>
      <c r="P41" s="53">
        <f t="shared" si="16"/>
        <v>0.12775780071917409</v>
      </c>
      <c r="Q41" s="52">
        <f t="shared" si="17"/>
        <v>431.05000000000007</v>
      </c>
      <c r="R41" s="54">
        <f t="shared" si="18"/>
        <v>4246.17</v>
      </c>
      <c r="S41" s="52">
        <f t="shared" si="19"/>
        <v>542.48134067973547</v>
      </c>
      <c r="T41" s="48" t="s">
        <v>76</v>
      </c>
      <c r="U41" s="55">
        <v>4504</v>
      </c>
      <c r="V41" s="56">
        <v>490110</v>
      </c>
      <c r="W41" s="89">
        <v>390</v>
      </c>
      <c r="X41" s="90">
        <f t="shared" si="15"/>
        <v>-152.48134067973547</v>
      </c>
      <c r="Y41" s="50"/>
    </row>
    <row r="42" spans="1:25" ht="15" customHeight="1">
      <c r="A42" s="44" t="s">
        <v>242</v>
      </c>
      <c r="B42" s="45" t="s">
        <v>39</v>
      </c>
      <c r="C42" s="45" t="s">
        <v>113</v>
      </c>
      <c r="D42" s="45" t="s">
        <v>146</v>
      </c>
      <c r="E42" s="46" t="s">
        <v>73</v>
      </c>
      <c r="F42" s="47" t="s">
        <v>74</v>
      </c>
      <c r="G42" s="48" t="s">
        <v>24</v>
      </c>
      <c r="H42" s="49" t="s">
        <v>75</v>
      </c>
      <c r="I42" s="48">
        <v>4000011812</v>
      </c>
      <c r="J42" s="52">
        <v>39.94</v>
      </c>
      <c r="K42" s="50"/>
      <c r="L42" s="52">
        <f t="shared" si="12"/>
        <v>39.94</v>
      </c>
      <c r="M42" s="51">
        <v>0</v>
      </c>
      <c r="N42" s="52">
        <f t="shared" si="13"/>
        <v>0</v>
      </c>
      <c r="O42" s="52">
        <f t="shared" si="14"/>
        <v>39.94</v>
      </c>
      <c r="P42" s="53">
        <f t="shared" si="16"/>
        <v>9.2657464331284051E-2</v>
      </c>
      <c r="Q42" s="52">
        <f t="shared" si="17"/>
        <v>431.05000000000007</v>
      </c>
      <c r="R42" s="54">
        <f t="shared" si="18"/>
        <v>4246.17</v>
      </c>
      <c r="S42" s="52">
        <f t="shared" si="19"/>
        <v>393.43934531956842</v>
      </c>
      <c r="T42" s="48" t="s">
        <v>76</v>
      </c>
      <c r="U42" s="55">
        <v>4504</v>
      </c>
      <c r="V42" s="56">
        <v>490110</v>
      </c>
      <c r="W42" s="89">
        <v>250</v>
      </c>
      <c r="X42" s="90">
        <f t="shared" si="15"/>
        <v>-143.43934531956842</v>
      </c>
      <c r="Y42" s="50"/>
    </row>
    <row r="43" spans="1:25" ht="15" customHeight="1">
      <c r="A43" s="44" t="s">
        <v>242</v>
      </c>
      <c r="B43" s="45" t="s">
        <v>39</v>
      </c>
      <c r="C43" s="45" t="s">
        <v>105</v>
      </c>
      <c r="D43" s="45" t="s">
        <v>147</v>
      </c>
      <c r="E43" s="46" t="s">
        <v>73</v>
      </c>
      <c r="F43" s="47" t="s">
        <v>74</v>
      </c>
      <c r="G43" s="48" t="s">
        <v>24</v>
      </c>
      <c r="H43" s="57" t="s">
        <v>84</v>
      </c>
      <c r="I43" s="48">
        <v>4000011813</v>
      </c>
      <c r="J43" s="52">
        <v>41.81</v>
      </c>
      <c r="K43" s="50"/>
      <c r="L43" s="52">
        <f t="shared" si="12"/>
        <v>41.81</v>
      </c>
      <c r="M43" s="51">
        <v>0</v>
      </c>
      <c r="N43" s="52">
        <f t="shared" si="13"/>
        <v>0</v>
      </c>
      <c r="O43" s="52">
        <f t="shared" si="14"/>
        <v>41.81</v>
      </c>
      <c r="P43" s="53">
        <f t="shared" si="16"/>
        <v>9.6995708154506421E-2</v>
      </c>
      <c r="Q43" s="52">
        <f t="shared" si="17"/>
        <v>431.05000000000007</v>
      </c>
      <c r="R43" s="54">
        <f t="shared" si="18"/>
        <v>4246.17</v>
      </c>
      <c r="S43" s="52">
        <f t="shared" si="19"/>
        <v>411.86026609442052</v>
      </c>
      <c r="T43" s="48" t="s">
        <v>76</v>
      </c>
      <c r="U43" s="55">
        <v>4504</v>
      </c>
      <c r="V43" s="56">
        <v>490110</v>
      </c>
      <c r="W43" s="89">
        <v>315</v>
      </c>
      <c r="X43" s="90">
        <f t="shared" si="15"/>
        <v>-96.860266094420524</v>
      </c>
      <c r="Y43" s="50"/>
    </row>
    <row r="44" spans="1:25" ht="15" customHeight="1">
      <c r="A44" s="44" t="s">
        <v>242</v>
      </c>
      <c r="B44" s="45" t="s">
        <v>39</v>
      </c>
      <c r="C44" s="45" t="s">
        <v>71</v>
      </c>
      <c r="D44" s="45" t="s">
        <v>149</v>
      </c>
      <c r="E44" s="46" t="s">
        <v>73</v>
      </c>
      <c r="F44" s="47" t="s">
        <v>74</v>
      </c>
      <c r="G44" s="48" t="s">
        <v>24</v>
      </c>
      <c r="H44" s="57" t="s">
        <v>84</v>
      </c>
      <c r="I44" s="48">
        <v>4000011815</v>
      </c>
      <c r="J44" s="52">
        <v>46.24</v>
      </c>
      <c r="K44" s="50"/>
      <c r="L44" s="52">
        <f t="shared" si="12"/>
        <v>46.24</v>
      </c>
      <c r="M44" s="51">
        <v>0</v>
      </c>
      <c r="N44" s="52">
        <f t="shared" si="13"/>
        <v>0</v>
      </c>
      <c r="O44" s="52">
        <f t="shared" si="14"/>
        <v>46.24</v>
      </c>
      <c r="P44" s="53">
        <f t="shared" si="16"/>
        <v>0.10727293817422572</v>
      </c>
      <c r="Q44" s="52">
        <f t="shared" si="17"/>
        <v>431.05000000000007</v>
      </c>
      <c r="R44" s="54">
        <f t="shared" si="18"/>
        <v>4246.17</v>
      </c>
      <c r="S44" s="52">
        <f t="shared" si="19"/>
        <v>455.49913188725202</v>
      </c>
      <c r="T44" s="48" t="s">
        <v>76</v>
      </c>
      <c r="U44" s="55">
        <v>4504</v>
      </c>
      <c r="V44" s="56">
        <v>490110</v>
      </c>
      <c r="W44" s="89">
        <v>355</v>
      </c>
      <c r="X44" s="90">
        <f t="shared" si="15"/>
        <v>-100.49913188725202</v>
      </c>
      <c r="Y44" s="50"/>
    </row>
    <row r="45" spans="1:25" ht="15" customHeight="1">
      <c r="A45" s="44" t="s">
        <v>242</v>
      </c>
      <c r="B45" s="45" t="s">
        <v>39</v>
      </c>
      <c r="C45" s="45" t="s">
        <v>78</v>
      </c>
      <c r="D45" s="45" t="s">
        <v>151</v>
      </c>
      <c r="E45" s="46" t="s">
        <v>73</v>
      </c>
      <c r="F45" s="47" t="s">
        <v>74</v>
      </c>
      <c r="G45" s="48" t="s">
        <v>24</v>
      </c>
      <c r="H45" s="57" t="s">
        <v>84</v>
      </c>
      <c r="I45" s="48">
        <v>4000011818</v>
      </c>
      <c r="J45" s="52">
        <v>75.930000000000007</v>
      </c>
      <c r="K45" s="50"/>
      <c r="L45" s="52">
        <f t="shared" si="12"/>
        <v>75.930000000000007</v>
      </c>
      <c r="M45" s="51">
        <v>0</v>
      </c>
      <c r="N45" s="52">
        <f t="shared" si="13"/>
        <v>0</v>
      </c>
      <c r="O45" s="52">
        <f t="shared" si="14"/>
        <v>75.930000000000007</v>
      </c>
      <c r="P45" s="53">
        <f t="shared" si="16"/>
        <v>0.17615125855469202</v>
      </c>
      <c r="Q45" s="52">
        <f t="shared" si="17"/>
        <v>431.05000000000007</v>
      </c>
      <c r="R45" s="54">
        <f t="shared" si="18"/>
        <v>4246.17</v>
      </c>
      <c r="S45" s="52">
        <f t="shared" si="19"/>
        <v>747.96818953717661</v>
      </c>
      <c r="T45" s="48" t="s">
        <v>76</v>
      </c>
      <c r="U45" s="55">
        <v>4504</v>
      </c>
      <c r="V45" s="56">
        <v>490110</v>
      </c>
      <c r="W45" s="89">
        <v>490</v>
      </c>
      <c r="X45" s="90">
        <f t="shared" si="15"/>
        <v>-257.96818953717661</v>
      </c>
      <c r="Y45" s="50"/>
    </row>
    <row r="46" spans="1:25" ht="15" customHeight="1">
      <c r="A46" s="44" t="s">
        <v>242</v>
      </c>
      <c r="B46" s="45" t="s">
        <v>39</v>
      </c>
      <c r="C46" s="45" t="s">
        <v>113</v>
      </c>
      <c r="D46" s="45" t="s">
        <v>153</v>
      </c>
      <c r="E46" s="46" t="s">
        <v>73</v>
      </c>
      <c r="F46" s="47" t="s">
        <v>74</v>
      </c>
      <c r="G46" s="48" t="s">
        <v>24</v>
      </c>
      <c r="H46" s="57" t="s">
        <v>84</v>
      </c>
      <c r="I46" s="48">
        <v>4000011740</v>
      </c>
      <c r="J46" s="52">
        <v>43.29</v>
      </c>
      <c r="K46" s="50"/>
      <c r="L46" s="52">
        <f t="shared" si="12"/>
        <v>43.29</v>
      </c>
      <c r="M46" s="51">
        <v>0</v>
      </c>
      <c r="N46" s="52">
        <f t="shared" si="13"/>
        <v>0</v>
      </c>
      <c r="O46" s="52">
        <f t="shared" si="14"/>
        <v>43.29</v>
      </c>
      <c r="P46" s="53">
        <f t="shared" si="16"/>
        <v>0.1004291845493562</v>
      </c>
      <c r="Q46" s="52">
        <f t="shared" si="17"/>
        <v>431.05000000000007</v>
      </c>
      <c r="R46" s="54">
        <f t="shared" si="18"/>
        <v>4246.17</v>
      </c>
      <c r="S46" s="52">
        <f t="shared" si="19"/>
        <v>426.43939055793982</v>
      </c>
      <c r="T46" s="48" t="s">
        <v>76</v>
      </c>
      <c r="U46" s="55">
        <v>4504</v>
      </c>
      <c r="V46" s="56">
        <v>490110</v>
      </c>
      <c r="W46" s="89">
        <v>265</v>
      </c>
      <c r="X46" s="90">
        <f t="shared" si="15"/>
        <v>-161.43939055793982</v>
      </c>
      <c r="Y46" s="50"/>
    </row>
    <row r="47" spans="1:25" ht="15" customHeight="1">
      <c r="A47" s="44" t="s">
        <v>242</v>
      </c>
      <c r="B47" s="45" t="s">
        <v>39</v>
      </c>
      <c r="C47" s="45" t="s">
        <v>243</v>
      </c>
      <c r="D47" s="45" t="s">
        <v>248</v>
      </c>
      <c r="E47" s="46" t="s">
        <v>73</v>
      </c>
      <c r="F47" s="58" t="s">
        <v>90</v>
      </c>
      <c r="G47" s="48" t="s">
        <v>24</v>
      </c>
      <c r="H47" s="59" t="s">
        <v>75</v>
      </c>
      <c r="I47" s="60">
        <v>7000001005</v>
      </c>
      <c r="J47" s="61">
        <v>112.5</v>
      </c>
      <c r="K47" s="60">
        <v>10</v>
      </c>
      <c r="L47" s="61">
        <f t="shared" si="12"/>
        <v>122.5</v>
      </c>
      <c r="M47" s="62">
        <v>0.18</v>
      </c>
      <c r="N47" s="61">
        <f t="shared" si="13"/>
        <v>22.05</v>
      </c>
      <c r="O47" s="61">
        <f t="shared" si="14"/>
        <v>144.55000000000001</v>
      </c>
      <c r="P47" s="63">
        <v>0</v>
      </c>
      <c r="Q47" s="61">
        <f>O47</f>
        <v>144.55000000000001</v>
      </c>
      <c r="R47" s="64">
        <f>Q47</f>
        <v>144.55000000000001</v>
      </c>
      <c r="S47" s="61">
        <f>Q47</f>
        <v>144.55000000000001</v>
      </c>
      <c r="T47" s="60" t="s">
        <v>91</v>
      </c>
      <c r="U47" s="55">
        <v>4504</v>
      </c>
      <c r="V47" s="56">
        <v>49119990</v>
      </c>
      <c r="W47" s="50"/>
      <c r="X47" s="90">
        <f t="shared" si="15"/>
        <v>-144.55000000000001</v>
      </c>
      <c r="Y47" s="50"/>
    </row>
    <row r="48" spans="1:25" ht="15" customHeight="1">
      <c r="A48" s="44" t="s">
        <v>242</v>
      </c>
      <c r="B48" s="66" t="s">
        <v>39</v>
      </c>
      <c r="C48" s="66" t="s">
        <v>92</v>
      </c>
      <c r="D48" s="66" t="s">
        <v>93</v>
      </c>
      <c r="E48" s="67" t="s">
        <v>73</v>
      </c>
      <c r="F48" s="68" t="s">
        <v>94</v>
      </c>
      <c r="G48" s="69" t="s">
        <v>24</v>
      </c>
      <c r="H48" s="70" t="s">
        <v>75</v>
      </c>
      <c r="I48" s="71">
        <v>8400007</v>
      </c>
      <c r="J48" s="72">
        <v>96</v>
      </c>
      <c r="K48" s="73"/>
      <c r="L48" s="72">
        <f t="shared" si="12"/>
        <v>96</v>
      </c>
      <c r="M48" s="74">
        <v>0.18</v>
      </c>
      <c r="N48" s="72">
        <f t="shared" si="13"/>
        <v>17.28</v>
      </c>
      <c r="O48" s="72">
        <f t="shared" si="14"/>
        <v>113.28</v>
      </c>
      <c r="P48" s="75">
        <v>0</v>
      </c>
      <c r="Q48" s="72">
        <f>O48</f>
        <v>113.28</v>
      </c>
      <c r="R48" s="76">
        <f>Q48</f>
        <v>113.28</v>
      </c>
      <c r="S48" s="72">
        <f>Q48</f>
        <v>113.28</v>
      </c>
      <c r="T48" s="71" t="s">
        <v>91</v>
      </c>
      <c r="U48" s="55">
        <v>4504</v>
      </c>
      <c r="V48" s="78">
        <v>999299</v>
      </c>
      <c r="W48" s="50"/>
      <c r="X48" s="90">
        <f t="shared" si="15"/>
        <v>-113.28</v>
      </c>
      <c r="Y48" s="50"/>
    </row>
    <row r="49" spans="1:25" ht="15" customHeight="1">
      <c r="A49" s="44" t="s">
        <v>242</v>
      </c>
      <c r="B49" s="32" t="s">
        <v>40</v>
      </c>
      <c r="C49" s="32" t="s">
        <v>105</v>
      </c>
      <c r="D49" s="32" t="s">
        <v>155</v>
      </c>
      <c r="E49" s="33" t="s">
        <v>73</v>
      </c>
      <c r="F49" s="34" t="s">
        <v>74</v>
      </c>
      <c r="G49" s="35" t="s">
        <v>24</v>
      </c>
      <c r="H49" s="36" t="s">
        <v>75</v>
      </c>
      <c r="I49" s="35">
        <v>4000011741</v>
      </c>
      <c r="J49" s="39">
        <v>52.4</v>
      </c>
      <c r="K49" s="37"/>
      <c r="L49" s="39">
        <f t="shared" si="12"/>
        <v>52.4</v>
      </c>
      <c r="M49" s="38">
        <v>0</v>
      </c>
      <c r="N49" s="39">
        <f t="shared" si="13"/>
        <v>0</v>
      </c>
      <c r="O49" s="39">
        <f t="shared" si="14"/>
        <v>52.4</v>
      </c>
      <c r="P49" s="40">
        <f t="shared" ref="P49:P57" si="20">IFERROR(O49/Q49,"")</f>
        <v>0.1084055692326789</v>
      </c>
      <c r="Q49" s="39">
        <f t="shared" ref="Q49:Q57" si="21">SUMIFS(O:O,T:T,T49,B:B,B49,A:A,A49,G:G,G49,E:E,E49)</f>
        <v>483.37</v>
      </c>
      <c r="R49" s="41">
        <f t="shared" ref="R49:R57" si="22">U49-SUMIFS(Q:Q,A:A,A49,B:B,B49,G:G,G49,E:E,E49,T:T,"Fixed Price ( Base Price with GST)")</f>
        <v>4826.0039999999999</v>
      </c>
      <c r="S49" s="39">
        <f t="shared" ref="S49:S57" si="23">P49*R49</f>
        <v>523.16571073918533</v>
      </c>
      <c r="T49" s="35" t="s">
        <v>76</v>
      </c>
      <c r="U49" s="42">
        <v>5100</v>
      </c>
      <c r="V49" s="43">
        <v>490110</v>
      </c>
      <c r="W49" s="89">
        <v>325</v>
      </c>
      <c r="X49" s="90">
        <f t="shared" si="15"/>
        <v>-198.16571073918533</v>
      </c>
      <c r="Y49" s="50"/>
    </row>
    <row r="50" spans="1:25" ht="15" customHeight="1">
      <c r="A50" s="44" t="s">
        <v>242</v>
      </c>
      <c r="B50" s="45" t="s">
        <v>40</v>
      </c>
      <c r="C50" s="45" t="s">
        <v>71</v>
      </c>
      <c r="D50" s="45" t="s">
        <v>157</v>
      </c>
      <c r="E50" s="46" t="s">
        <v>73</v>
      </c>
      <c r="F50" s="47" t="s">
        <v>74</v>
      </c>
      <c r="G50" s="48" t="s">
        <v>24</v>
      </c>
      <c r="H50" s="49" t="s">
        <v>75</v>
      </c>
      <c r="I50" s="48">
        <v>4000011743</v>
      </c>
      <c r="J50" s="52">
        <v>54.96</v>
      </c>
      <c r="K50" s="50"/>
      <c r="L50" s="52">
        <f t="shared" si="12"/>
        <v>54.96</v>
      </c>
      <c r="M50" s="51">
        <v>0</v>
      </c>
      <c r="N50" s="52">
        <f t="shared" si="13"/>
        <v>0</v>
      </c>
      <c r="O50" s="52">
        <f t="shared" si="14"/>
        <v>54.96</v>
      </c>
      <c r="P50" s="53">
        <f t="shared" si="20"/>
        <v>0.11370171917992428</v>
      </c>
      <c r="Q50" s="52">
        <f t="shared" si="21"/>
        <v>483.37</v>
      </c>
      <c r="R50" s="54">
        <f t="shared" si="22"/>
        <v>4826.0039999999999</v>
      </c>
      <c r="S50" s="52">
        <f t="shared" si="23"/>
        <v>548.72495156919126</v>
      </c>
      <c r="T50" s="48" t="s">
        <v>76</v>
      </c>
      <c r="U50" s="55">
        <v>5100</v>
      </c>
      <c r="V50" s="56">
        <v>490110</v>
      </c>
      <c r="W50" s="89">
        <v>355</v>
      </c>
      <c r="X50" s="90">
        <f t="shared" si="15"/>
        <v>-193.72495156919126</v>
      </c>
      <c r="Y50" s="50"/>
    </row>
    <row r="51" spans="1:25" ht="15" customHeight="1">
      <c r="A51" s="44" t="s">
        <v>242</v>
      </c>
      <c r="B51" s="45" t="s">
        <v>40</v>
      </c>
      <c r="C51" s="45" t="s">
        <v>78</v>
      </c>
      <c r="D51" s="45" t="s">
        <v>158</v>
      </c>
      <c r="E51" s="46" t="s">
        <v>73</v>
      </c>
      <c r="F51" s="47" t="s">
        <v>74</v>
      </c>
      <c r="G51" s="48" t="s">
        <v>24</v>
      </c>
      <c r="H51" s="49" t="s">
        <v>75</v>
      </c>
      <c r="I51" s="48">
        <v>4000011745</v>
      </c>
      <c r="J51" s="52">
        <v>19.91</v>
      </c>
      <c r="K51" s="50"/>
      <c r="L51" s="52">
        <f t="shared" si="12"/>
        <v>19.91</v>
      </c>
      <c r="M51" s="51">
        <v>0</v>
      </c>
      <c r="N51" s="52">
        <f t="shared" si="13"/>
        <v>0</v>
      </c>
      <c r="O51" s="52">
        <f t="shared" si="14"/>
        <v>19.91</v>
      </c>
      <c r="P51" s="53">
        <f t="shared" si="20"/>
        <v>4.1189978691271695E-2</v>
      </c>
      <c r="Q51" s="52">
        <f t="shared" si="21"/>
        <v>483.37</v>
      </c>
      <c r="R51" s="54">
        <f t="shared" si="22"/>
        <v>4826.0039999999999</v>
      </c>
      <c r="S51" s="52">
        <f t="shared" si="23"/>
        <v>198.78300192399195</v>
      </c>
      <c r="T51" s="48" t="s">
        <v>76</v>
      </c>
      <c r="U51" s="55">
        <v>5100</v>
      </c>
      <c r="V51" s="56">
        <v>490110</v>
      </c>
      <c r="W51" s="89">
        <v>125</v>
      </c>
      <c r="X51" s="90">
        <f t="shared" si="15"/>
        <v>-73.783001923991947</v>
      </c>
      <c r="Y51" s="50"/>
    </row>
    <row r="52" spans="1:25" ht="15" customHeight="1">
      <c r="A52" s="44" t="s">
        <v>242</v>
      </c>
      <c r="B52" s="45" t="s">
        <v>40</v>
      </c>
      <c r="C52" s="45" t="s">
        <v>78</v>
      </c>
      <c r="D52" s="45" t="s">
        <v>159</v>
      </c>
      <c r="E52" s="46" t="s">
        <v>73</v>
      </c>
      <c r="F52" s="47" t="s">
        <v>74</v>
      </c>
      <c r="G52" s="48" t="s">
        <v>24</v>
      </c>
      <c r="H52" s="49" t="s">
        <v>75</v>
      </c>
      <c r="I52" s="48">
        <v>4000011744</v>
      </c>
      <c r="J52" s="52">
        <v>57.51</v>
      </c>
      <c r="K52" s="50"/>
      <c r="L52" s="52">
        <f t="shared" si="12"/>
        <v>57.51</v>
      </c>
      <c r="M52" s="51">
        <v>0</v>
      </c>
      <c r="N52" s="52">
        <f t="shared" si="13"/>
        <v>0</v>
      </c>
      <c r="O52" s="52">
        <f t="shared" si="14"/>
        <v>57.51</v>
      </c>
      <c r="P52" s="53">
        <f t="shared" si="20"/>
        <v>0.11897718104143823</v>
      </c>
      <c r="Q52" s="52">
        <f t="shared" si="21"/>
        <v>483.37</v>
      </c>
      <c r="R52" s="54">
        <f t="shared" si="22"/>
        <v>4826.0039999999999</v>
      </c>
      <c r="S52" s="52">
        <f t="shared" si="23"/>
        <v>574.18435161470507</v>
      </c>
      <c r="T52" s="48" t="s">
        <v>76</v>
      </c>
      <c r="U52" s="55">
        <v>5100</v>
      </c>
      <c r="V52" s="56">
        <v>490110</v>
      </c>
      <c r="W52" s="89">
        <v>325</v>
      </c>
      <c r="X52" s="90">
        <f t="shared" si="15"/>
        <v>-249.18435161470507</v>
      </c>
      <c r="Y52" s="50"/>
    </row>
    <row r="53" spans="1:25" ht="15" customHeight="1">
      <c r="A53" s="44" t="s">
        <v>242</v>
      </c>
      <c r="B53" s="45" t="s">
        <v>40</v>
      </c>
      <c r="C53" s="45" t="s">
        <v>161</v>
      </c>
      <c r="D53" s="45" t="s">
        <v>162</v>
      </c>
      <c r="E53" s="46" t="s">
        <v>73</v>
      </c>
      <c r="F53" s="47" t="s">
        <v>74</v>
      </c>
      <c r="G53" s="48" t="s">
        <v>24</v>
      </c>
      <c r="H53" s="49" t="s">
        <v>75</v>
      </c>
      <c r="I53" s="48">
        <v>4000011748</v>
      </c>
      <c r="J53" s="52">
        <v>70.11</v>
      </c>
      <c r="K53" s="50"/>
      <c r="L53" s="52">
        <f t="shared" si="12"/>
        <v>70.11</v>
      </c>
      <c r="M53" s="51">
        <v>0</v>
      </c>
      <c r="N53" s="52">
        <f t="shared" si="13"/>
        <v>0</v>
      </c>
      <c r="O53" s="52">
        <f t="shared" si="14"/>
        <v>70.11</v>
      </c>
      <c r="P53" s="53">
        <f t="shared" si="20"/>
        <v>0.1450441690630366</v>
      </c>
      <c r="Q53" s="52">
        <f t="shared" si="21"/>
        <v>483.37</v>
      </c>
      <c r="R53" s="54">
        <f t="shared" si="22"/>
        <v>4826.0039999999999</v>
      </c>
      <c r="S53" s="52">
        <f t="shared" si="23"/>
        <v>699.98374007489087</v>
      </c>
      <c r="T53" s="48" t="s">
        <v>76</v>
      </c>
      <c r="U53" s="55">
        <v>5100</v>
      </c>
      <c r="V53" s="56">
        <v>490110</v>
      </c>
      <c r="W53" s="89">
        <v>575</v>
      </c>
      <c r="X53" s="90">
        <f t="shared" si="15"/>
        <v>-124.98374007489087</v>
      </c>
      <c r="Y53" s="50"/>
    </row>
    <row r="54" spans="1:25" ht="15" customHeight="1">
      <c r="A54" s="44" t="s">
        <v>242</v>
      </c>
      <c r="B54" s="45" t="s">
        <v>40</v>
      </c>
      <c r="C54" s="45" t="s">
        <v>105</v>
      </c>
      <c r="D54" s="45" t="s">
        <v>163</v>
      </c>
      <c r="E54" s="46" t="s">
        <v>73</v>
      </c>
      <c r="F54" s="47" t="s">
        <v>74</v>
      </c>
      <c r="G54" s="48" t="s">
        <v>24</v>
      </c>
      <c r="H54" s="57" t="s">
        <v>84</v>
      </c>
      <c r="I54" s="48">
        <v>4000011749</v>
      </c>
      <c r="J54" s="52">
        <v>54.96</v>
      </c>
      <c r="K54" s="50"/>
      <c r="L54" s="52">
        <f t="shared" si="12"/>
        <v>54.96</v>
      </c>
      <c r="M54" s="51">
        <v>0</v>
      </c>
      <c r="N54" s="52">
        <f t="shared" si="13"/>
        <v>0</v>
      </c>
      <c r="O54" s="52">
        <f t="shared" si="14"/>
        <v>54.96</v>
      </c>
      <c r="P54" s="53">
        <f t="shared" si="20"/>
        <v>0.11370171917992428</v>
      </c>
      <c r="Q54" s="52">
        <f t="shared" si="21"/>
        <v>483.37</v>
      </c>
      <c r="R54" s="54">
        <f t="shared" si="22"/>
        <v>4826.0039999999999</v>
      </c>
      <c r="S54" s="52">
        <f t="shared" si="23"/>
        <v>548.72495156919126</v>
      </c>
      <c r="T54" s="48" t="s">
        <v>76</v>
      </c>
      <c r="U54" s="55">
        <v>5100</v>
      </c>
      <c r="V54" s="56">
        <v>490110</v>
      </c>
      <c r="W54" s="89">
        <v>380</v>
      </c>
      <c r="X54" s="90">
        <f t="shared" si="15"/>
        <v>-168.72495156919126</v>
      </c>
      <c r="Y54" s="50"/>
    </row>
    <row r="55" spans="1:25" ht="15" customHeight="1">
      <c r="A55" s="44" t="s">
        <v>242</v>
      </c>
      <c r="B55" s="45" t="s">
        <v>40</v>
      </c>
      <c r="C55" s="45" t="s">
        <v>71</v>
      </c>
      <c r="D55" s="45" t="s">
        <v>165</v>
      </c>
      <c r="E55" s="46" t="s">
        <v>73</v>
      </c>
      <c r="F55" s="47" t="s">
        <v>74</v>
      </c>
      <c r="G55" s="48" t="s">
        <v>24</v>
      </c>
      <c r="H55" s="57" t="s">
        <v>84</v>
      </c>
      <c r="I55" s="48">
        <v>4000011751</v>
      </c>
      <c r="J55" s="52">
        <v>60.05</v>
      </c>
      <c r="K55" s="50"/>
      <c r="L55" s="52">
        <f t="shared" si="12"/>
        <v>60.05</v>
      </c>
      <c r="M55" s="51">
        <v>0</v>
      </c>
      <c r="N55" s="52">
        <f t="shared" si="13"/>
        <v>0</v>
      </c>
      <c r="O55" s="52">
        <f t="shared" si="14"/>
        <v>60.05</v>
      </c>
      <c r="P55" s="53">
        <f t="shared" si="20"/>
        <v>0.12423195481722075</v>
      </c>
      <c r="Q55" s="52">
        <f t="shared" si="21"/>
        <v>483.37</v>
      </c>
      <c r="R55" s="54">
        <f t="shared" si="22"/>
        <v>4826.0039999999999</v>
      </c>
      <c r="S55" s="52">
        <f t="shared" si="23"/>
        <v>599.54391087572662</v>
      </c>
      <c r="T55" s="48" t="s">
        <v>76</v>
      </c>
      <c r="U55" s="55">
        <v>5100</v>
      </c>
      <c r="V55" s="56">
        <v>490110</v>
      </c>
      <c r="W55" s="89">
        <v>385</v>
      </c>
      <c r="X55" s="90">
        <f t="shared" si="15"/>
        <v>-214.54391087572662</v>
      </c>
      <c r="Y55" s="50"/>
    </row>
    <row r="56" spans="1:25" ht="15" customHeight="1">
      <c r="A56" s="44" t="s">
        <v>242</v>
      </c>
      <c r="B56" s="45" t="s">
        <v>40</v>
      </c>
      <c r="C56" s="45" t="s">
        <v>78</v>
      </c>
      <c r="D56" s="45" t="s">
        <v>166</v>
      </c>
      <c r="E56" s="46" t="s">
        <v>73</v>
      </c>
      <c r="F56" s="47" t="s">
        <v>74</v>
      </c>
      <c r="G56" s="48" t="s">
        <v>24</v>
      </c>
      <c r="H56" s="57" t="s">
        <v>84</v>
      </c>
      <c r="I56" s="48">
        <v>4000011752</v>
      </c>
      <c r="J56" s="52">
        <v>53.42</v>
      </c>
      <c r="K56" s="50"/>
      <c r="L56" s="52">
        <f t="shared" si="12"/>
        <v>53.42</v>
      </c>
      <c r="M56" s="51">
        <v>0</v>
      </c>
      <c r="N56" s="52">
        <f t="shared" si="13"/>
        <v>0</v>
      </c>
      <c r="O56" s="52">
        <f t="shared" si="14"/>
        <v>53.42</v>
      </c>
      <c r="P56" s="53">
        <f t="shared" si="20"/>
        <v>0.11051575397728448</v>
      </c>
      <c r="Q56" s="52">
        <f t="shared" si="21"/>
        <v>483.37</v>
      </c>
      <c r="R56" s="54">
        <f t="shared" si="22"/>
        <v>4826.0039999999999</v>
      </c>
      <c r="S56" s="52">
        <f t="shared" si="23"/>
        <v>533.3494707573908</v>
      </c>
      <c r="T56" s="48" t="s">
        <v>76</v>
      </c>
      <c r="U56" s="55">
        <v>5100</v>
      </c>
      <c r="V56" s="56">
        <v>490110</v>
      </c>
      <c r="W56" s="89">
        <v>375</v>
      </c>
      <c r="X56" s="90">
        <f t="shared" si="15"/>
        <v>-158.3494707573908</v>
      </c>
      <c r="Y56" s="50"/>
    </row>
    <row r="57" spans="1:25" ht="15" customHeight="1">
      <c r="A57" s="44" t="s">
        <v>242</v>
      </c>
      <c r="B57" s="45" t="s">
        <v>40</v>
      </c>
      <c r="C57" s="45" t="s">
        <v>161</v>
      </c>
      <c r="D57" s="45" t="s">
        <v>168</v>
      </c>
      <c r="E57" s="46" t="s">
        <v>73</v>
      </c>
      <c r="F57" s="47" t="s">
        <v>74</v>
      </c>
      <c r="G57" s="48" t="s">
        <v>24</v>
      </c>
      <c r="H57" s="57" t="s">
        <v>84</v>
      </c>
      <c r="I57" s="48">
        <v>4000011754</v>
      </c>
      <c r="J57" s="52">
        <v>60.05</v>
      </c>
      <c r="K57" s="50"/>
      <c r="L57" s="52">
        <f t="shared" si="12"/>
        <v>60.05</v>
      </c>
      <c r="M57" s="51">
        <v>0</v>
      </c>
      <c r="N57" s="52">
        <f t="shared" si="13"/>
        <v>0</v>
      </c>
      <c r="O57" s="52">
        <f t="shared" si="14"/>
        <v>60.05</v>
      </c>
      <c r="P57" s="53">
        <f t="shared" si="20"/>
        <v>0.12423195481722075</v>
      </c>
      <c r="Q57" s="52">
        <f t="shared" si="21"/>
        <v>483.37</v>
      </c>
      <c r="R57" s="54">
        <f t="shared" si="22"/>
        <v>4826.0039999999999</v>
      </c>
      <c r="S57" s="52">
        <f t="shared" si="23"/>
        <v>599.54391087572662</v>
      </c>
      <c r="T57" s="48" t="s">
        <v>76</v>
      </c>
      <c r="U57" s="55">
        <v>5100</v>
      </c>
      <c r="V57" s="56">
        <v>490110</v>
      </c>
      <c r="W57" s="89">
        <v>655</v>
      </c>
      <c r="X57" s="90">
        <f t="shared" si="15"/>
        <v>55.456089124273376</v>
      </c>
      <c r="Y57" s="50"/>
    </row>
    <row r="58" spans="1:25" ht="15" customHeight="1">
      <c r="A58" s="44" t="s">
        <v>242</v>
      </c>
      <c r="B58" s="45" t="s">
        <v>40</v>
      </c>
      <c r="C58" s="45" t="s">
        <v>243</v>
      </c>
      <c r="D58" s="45" t="s">
        <v>249</v>
      </c>
      <c r="E58" s="46" t="s">
        <v>73</v>
      </c>
      <c r="F58" s="58" t="s">
        <v>90</v>
      </c>
      <c r="G58" s="48" t="s">
        <v>24</v>
      </c>
      <c r="H58" s="59" t="s">
        <v>75</v>
      </c>
      <c r="I58" s="60">
        <v>7000001006</v>
      </c>
      <c r="J58" s="61">
        <v>126.2</v>
      </c>
      <c r="K58" s="60">
        <v>10</v>
      </c>
      <c r="L58" s="61">
        <f t="shared" si="12"/>
        <v>136.19999999999999</v>
      </c>
      <c r="M58" s="62">
        <v>0.18</v>
      </c>
      <c r="N58" s="61">
        <f t="shared" si="13"/>
        <v>24.515999999999998</v>
      </c>
      <c r="O58" s="61">
        <f t="shared" si="14"/>
        <v>160.71599999999998</v>
      </c>
      <c r="P58" s="63">
        <v>0</v>
      </c>
      <c r="Q58" s="61">
        <f>O58</f>
        <v>160.71599999999998</v>
      </c>
      <c r="R58" s="64">
        <f>Q58</f>
        <v>160.71599999999998</v>
      </c>
      <c r="S58" s="61">
        <f>Q58</f>
        <v>160.71599999999998</v>
      </c>
      <c r="T58" s="60" t="s">
        <v>91</v>
      </c>
      <c r="U58" s="55">
        <v>5100</v>
      </c>
      <c r="V58" s="56">
        <v>49119990</v>
      </c>
      <c r="W58" s="50"/>
      <c r="X58" s="90">
        <f t="shared" si="15"/>
        <v>-160.71599999999998</v>
      </c>
      <c r="Y58" s="50"/>
    </row>
    <row r="59" spans="1:25" ht="15" customHeight="1">
      <c r="A59" s="44" t="s">
        <v>242</v>
      </c>
      <c r="B59" s="66" t="s">
        <v>40</v>
      </c>
      <c r="C59" s="66" t="s">
        <v>92</v>
      </c>
      <c r="D59" s="66" t="s">
        <v>93</v>
      </c>
      <c r="E59" s="67" t="s">
        <v>73</v>
      </c>
      <c r="F59" s="68" t="s">
        <v>94</v>
      </c>
      <c r="G59" s="69" t="s">
        <v>24</v>
      </c>
      <c r="H59" s="70" t="s">
        <v>75</v>
      </c>
      <c r="I59" s="71">
        <v>8400007</v>
      </c>
      <c r="J59" s="72">
        <v>96</v>
      </c>
      <c r="K59" s="73"/>
      <c r="L59" s="72">
        <f t="shared" si="12"/>
        <v>96</v>
      </c>
      <c r="M59" s="74">
        <v>0.18</v>
      </c>
      <c r="N59" s="72">
        <f t="shared" si="13"/>
        <v>17.28</v>
      </c>
      <c r="O59" s="72">
        <f t="shared" si="14"/>
        <v>113.28</v>
      </c>
      <c r="P59" s="75">
        <v>0</v>
      </c>
      <c r="Q59" s="72">
        <f>O59</f>
        <v>113.28</v>
      </c>
      <c r="R59" s="76">
        <f>Q59</f>
        <v>113.28</v>
      </c>
      <c r="S59" s="72">
        <f>Q59</f>
        <v>113.28</v>
      </c>
      <c r="T59" s="71" t="s">
        <v>91</v>
      </c>
      <c r="U59" s="55">
        <v>5100</v>
      </c>
      <c r="V59" s="78">
        <v>999299</v>
      </c>
      <c r="W59" s="50"/>
      <c r="X59" s="90">
        <f t="shared" si="15"/>
        <v>-113.28</v>
      </c>
      <c r="Y59" s="50"/>
    </row>
    <row r="60" spans="1:25" ht="15" customHeight="1">
      <c r="A60" s="44" t="s">
        <v>242</v>
      </c>
      <c r="B60" s="32" t="s">
        <v>41</v>
      </c>
      <c r="C60" s="32" t="s">
        <v>105</v>
      </c>
      <c r="D60" s="32" t="s">
        <v>170</v>
      </c>
      <c r="E60" s="33" t="s">
        <v>73</v>
      </c>
      <c r="F60" s="34" t="s">
        <v>74</v>
      </c>
      <c r="G60" s="35" t="s">
        <v>24</v>
      </c>
      <c r="H60" s="36" t="s">
        <v>75</v>
      </c>
      <c r="I60" s="35">
        <v>4000011755</v>
      </c>
      <c r="J60" s="39">
        <v>51.85</v>
      </c>
      <c r="K60" s="37"/>
      <c r="L60" s="39">
        <f t="shared" si="12"/>
        <v>51.85</v>
      </c>
      <c r="M60" s="38">
        <v>0</v>
      </c>
      <c r="N60" s="39">
        <f t="shared" si="13"/>
        <v>0</v>
      </c>
      <c r="O60" s="39">
        <f t="shared" si="14"/>
        <v>51.85</v>
      </c>
      <c r="P60" s="40">
        <f t="shared" ref="P60:P68" si="24">IFERROR(O60/Q60,"")</f>
        <v>8.7210280216638084E-2</v>
      </c>
      <c r="Q60" s="39">
        <f t="shared" ref="Q60:Q68" si="25">SUMIFS(O:O,T:T,T60,B:B,B60,A:A,A60,G:G,G60,E:E,E60)</f>
        <v>594.54</v>
      </c>
      <c r="R60" s="41">
        <f t="shared" ref="R60:R68" si="26">U60-SUMIFS(Q:Q,A:A,A60,B:B,B60,G:G,G60,E:E,E60,T:T,"Fixed Price ( Base Price with GST)")</f>
        <v>4730.5200000000004</v>
      </c>
      <c r="S60" s="39">
        <f t="shared" ref="S60:S68" si="27">P60*R60</f>
        <v>412.54997477041081</v>
      </c>
      <c r="T60" s="35" t="s">
        <v>76</v>
      </c>
      <c r="U60" s="42">
        <v>5009</v>
      </c>
      <c r="V60" s="43">
        <v>490110</v>
      </c>
      <c r="W60" s="89">
        <v>365</v>
      </c>
      <c r="X60" s="90">
        <f t="shared" si="15"/>
        <v>-47.549974770410813</v>
      </c>
      <c r="Y60" s="50"/>
    </row>
    <row r="61" spans="1:25" ht="15" customHeight="1">
      <c r="A61" s="44" t="s">
        <v>242</v>
      </c>
      <c r="B61" s="45" t="s">
        <v>41</v>
      </c>
      <c r="C61" s="45" t="s">
        <v>71</v>
      </c>
      <c r="D61" s="45" t="s">
        <v>172</v>
      </c>
      <c r="E61" s="46" t="s">
        <v>73</v>
      </c>
      <c r="F61" s="47" t="s">
        <v>74</v>
      </c>
      <c r="G61" s="48" t="s">
        <v>24</v>
      </c>
      <c r="H61" s="49" t="s">
        <v>75</v>
      </c>
      <c r="I61" s="48">
        <v>4000011757</v>
      </c>
      <c r="J61" s="52">
        <v>72.88</v>
      </c>
      <c r="K61" s="50"/>
      <c r="L61" s="52">
        <f t="shared" si="12"/>
        <v>72.88</v>
      </c>
      <c r="M61" s="51">
        <v>0</v>
      </c>
      <c r="N61" s="52">
        <f t="shared" si="13"/>
        <v>0</v>
      </c>
      <c r="O61" s="52">
        <f t="shared" si="14"/>
        <v>72.88</v>
      </c>
      <c r="P61" s="53">
        <f t="shared" si="24"/>
        <v>0.12258216436236417</v>
      </c>
      <c r="Q61" s="52">
        <f t="shared" si="25"/>
        <v>594.54</v>
      </c>
      <c r="R61" s="54">
        <f t="shared" si="26"/>
        <v>4730.5200000000004</v>
      </c>
      <c r="S61" s="52">
        <f t="shared" si="27"/>
        <v>579.87738015945104</v>
      </c>
      <c r="T61" s="48" t="s">
        <v>76</v>
      </c>
      <c r="U61" s="55">
        <v>5009</v>
      </c>
      <c r="V61" s="56">
        <v>490110</v>
      </c>
      <c r="W61" s="89">
        <v>425</v>
      </c>
      <c r="X61" s="90">
        <f t="shared" si="15"/>
        <v>-154.87738015945104</v>
      </c>
      <c r="Y61" s="50"/>
    </row>
    <row r="62" spans="1:25" ht="15" customHeight="1">
      <c r="A62" s="44" t="s">
        <v>242</v>
      </c>
      <c r="B62" s="45" t="s">
        <v>41</v>
      </c>
      <c r="C62" s="45" t="s">
        <v>78</v>
      </c>
      <c r="D62" s="45" t="s">
        <v>173</v>
      </c>
      <c r="E62" s="46" t="s">
        <v>73</v>
      </c>
      <c r="F62" s="47" t="s">
        <v>74</v>
      </c>
      <c r="G62" s="48" t="s">
        <v>24</v>
      </c>
      <c r="H62" s="49" t="s">
        <v>75</v>
      </c>
      <c r="I62" s="48">
        <v>4000011760</v>
      </c>
      <c r="J62" s="52">
        <v>18.559999999999999</v>
      </c>
      <c r="K62" s="50"/>
      <c r="L62" s="52">
        <f t="shared" si="12"/>
        <v>18.559999999999999</v>
      </c>
      <c r="M62" s="51">
        <v>0</v>
      </c>
      <c r="N62" s="52">
        <f t="shared" si="13"/>
        <v>0</v>
      </c>
      <c r="O62" s="52">
        <f t="shared" si="14"/>
        <v>18.559999999999999</v>
      </c>
      <c r="P62" s="53">
        <f t="shared" si="24"/>
        <v>3.1217411780536213E-2</v>
      </c>
      <c r="Q62" s="52">
        <f t="shared" si="25"/>
        <v>594.54</v>
      </c>
      <c r="R62" s="54">
        <f t="shared" si="26"/>
        <v>4730.5200000000004</v>
      </c>
      <c r="S62" s="52">
        <f t="shared" si="27"/>
        <v>147.67459077606219</v>
      </c>
      <c r="T62" s="48" t="s">
        <v>76</v>
      </c>
      <c r="U62" s="55">
        <v>5009</v>
      </c>
      <c r="V62" s="56">
        <v>490110</v>
      </c>
      <c r="W62" s="89">
        <v>135</v>
      </c>
      <c r="X62" s="90">
        <f t="shared" si="15"/>
        <v>-12.674590776062189</v>
      </c>
      <c r="Y62" s="50"/>
    </row>
    <row r="63" spans="1:25" ht="15" customHeight="1">
      <c r="A63" s="44" t="s">
        <v>242</v>
      </c>
      <c r="B63" s="45" t="s">
        <v>41</v>
      </c>
      <c r="C63" s="45" t="s">
        <v>78</v>
      </c>
      <c r="D63" s="45" t="s">
        <v>174</v>
      </c>
      <c r="E63" s="46" t="s">
        <v>73</v>
      </c>
      <c r="F63" s="47" t="s">
        <v>74</v>
      </c>
      <c r="G63" s="48" t="s">
        <v>24</v>
      </c>
      <c r="H63" s="49" t="s">
        <v>75</v>
      </c>
      <c r="I63" s="48">
        <v>4000011759</v>
      </c>
      <c r="J63" s="52">
        <v>59.69</v>
      </c>
      <c r="K63" s="50"/>
      <c r="L63" s="52">
        <f t="shared" si="12"/>
        <v>59.69</v>
      </c>
      <c r="M63" s="51">
        <v>0</v>
      </c>
      <c r="N63" s="52">
        <f t="shared" si="13"/>
        <v>0</v>
      </c>
      <c r="O63" s="52">
        <f t="shared" si="14"/>
        <v>59.69</v>
      </c>
      <c r="P63" s="53">
        <f t="shared" si="24"/>
        <v>0.10039694553772664</v>
      </c>
      <c r="Q63" s="52">
        <f t="shared" si="25"/>
        <v>594.54</v>
      </c>
      <c r="R63" s="54">
        <f t="shared" si="26"/>
        <v>4730.5200000000004</v>
      </c>
      <c r="S63" s="52">
        <f t="shared" si="27"/>
        <v>474.92975880512665</v>
      </c>
      <c r="T63" s="48" t="s">
        <v>76</v>
      </c>
      <c r="U63" s="55">
        <v>5009</v>
      </c>
      <c r="V63" s="56">
        <v>490110</v>
      </c>
      <c r="W63" s="89">
        <v>390</v>
      </c>
      <c r="X63" s="90">
        <f t="shared" si="15"/>
        <v>-84.929758805126653</v>
      </c>
      <c r="Y63" s="50"/>
    </row>
    <row r="64" spans="1:25" ht="15" customHeight="1">
      <c r="A64" s="44" t="s">
        <v>242</v>
      </c>
      <c r="B64" s="45" t="s">
        <v>41</v>
      </c>
      <c r="C64" s="45" t="s">
        <v>161</v>
      </c>
      <c r="D64" s="45" t="s">
        <v>176</v>
      </c>
      <c r="E64" s="46" t="s">
        <v>73</v>
      </c>
      <c r="F64" s="47" t="s">
        <v>74</v>
      </c>
      <c r="G64" s="48" t="s">
        <v>24</v>
      </c>
      <c r="H64" s="49" t="s">
        <v>75</v>
      </c>
      <c r="I64" s="48">
        <v>4000011762</v>
      </c>
      <c r="J64" s="52">
        <v>101.74</v>
      </c>
      <c r="K64" s="50"/>
      <c r="L64" s="52">
        <f t="shared" si="12"/>
        <v>101.74</v>
      </c>
      <c r="M64" s="51">
        <v>0</v>
      </c>
      <c r="N64" s="52">
        <f t="shared" si="13"/>
        <v>0</v>
      </c>
      <c r="O64" s="52">
        <f t="shared" si="14"/>
        <v>101.74</v>
      </c>
      <c r="P64" s="53">
        <f t="shared" si="24"/>
        <v>0.17112389410300399</v>
      </c>
      <c r="Q64" s="52">
        <f t="shared" si="25"/>
        <v>594.54</v>
      </c>
      <c r="R64" s="54">
        <f t="shared" si="26"/>
        <v>4730.5200000000004</v>
      </c>
      <c r="S64" s="52">
        <f t="shared" si="27"/>
        <v>809.5050035321425</v>
      </c>
      <c r="T64" s="48" t="s">
        <v>76</v>
      </c>
      <c r="U64" s="55">
        <v>5009</v>
      </c>
      <c r="V64" s="56">
        <v>490110</v>
      </c>
      <c r="W64" s="89">
        <v>505</v>
      </c>
      <c r="X64" s="90">
        <f t="shared" si="15"/>
        <v>-304.5050035321425</v>
      </c>
      <c r="Y64" s="50"/>
    </row>
    <row r="65" spans="1:25" ht="15" customHeight="1">
      <c r="A65" s="44" t="s">
        <v>242</v>
      </c>
      <c r="B65" s="45" t="s">
        <v>41</v>
      </c>
      <c r="C65" s="45" t="s">
        <v>105</v>
      </c>
      <c r="D65" s="45" t="s">
        <v>177</v>
      </c>
      <c r="E65" s="46" t="s">
        <v>73</v>
      </c>
      <c r="F65" s="47" t="s">
        <v>74</v>
      </c>
      <c r="G65" s="48" t="s">
        <v>24</v>
      </c>
      <c r="H65" s="57" t="s">
        <v>84</v>
      </c>
      <c r="I65" s="48">
        <v>4000011763</v>
      </c>
      <c r="J65" s="52">
        <v>57.08</v>
      </c>
      <c r="K65" s="50"/>
      <c r="L65" s="52">
        <f t="shared" si="12"/>
        <v>57.08</v>
      </c>
      <c r="M65" s="51">
        <v>0</v>
      </c>
      <c r="N65" s="52">
        <f t="shared" si="13"/>
        <v>0</v>
      </c>
      <c r="O65" s="52">
        <f t="shared" si="14"/>
        <v>57.08</v>
      </c>
      <c r="P65" s="53">
        <f t="shared" si="24"/>
        <v>9.6006997006088737E-2</v>
      </c>
      <c r="Q65" s="52">
        <f t="shared" si="25"/>
        <v>594.54</v>
      </c>
      <c r="R65" s="54">
        <f t="shared" si="26"/>
        <v>4730.5200000000004</v>
      </c>
      <c r="S65" s="52">
        <f t="shared" si="27"/>
        <v>454.16301947724293</v>
      </c>
      <c r="T65" s="48" t="s">
        <v>76</v>
      </c>
      <c r="U65" s="55">
        <v>5009</v>
      </c>
      <c r="V65" s="56">
        <v>490110</v>
      </c>
      <c r="W65" s="89">
        <v>369</v>
      </c>
      <c r="X65" s="90">
        <f t="shared" si="15"/>
        <v>-85.163019477242926</v>
      </c>
      <c r="Y65" s="50"/>
    </row>
    <row r="66" spans="1:25" ht="15" customHeight="1">
      <c r="A66" s="44" t="s">
        <v>242</v>
      </c>
      <c r="B66" s="45" t="s">
        <v>41</v>
      </c>
      <c r="C66" s="45" t="s">
        <v>71</v>
      </c>
      <c r="D66" s="45" t="s">
        <v>179</v>
      </c>
      <c r="E66" s="46" t="s">
        <v>73</v>
      </c>
      <c r="F66" s="47" t="s">
        <v>74</v>
      </c>
      <c r="G66" s="48" t="s">
        <v>24</v>
      </c>
      <c r="H66" s="57" t="s">
        <v>84</v>
      </c>
      <c r="I66" s="48">
        <v>4000011765</v>
      </c>
      <c r="J66" s="52">
        <v>78.069999999999993</v>
      </c>
      <c r="K66" s="50"/>
      <c r="L66" s="52">
        <f t="shared" ref="L66:L87" si="28">J66+K66</f>
        <v>78.069999999999993</v>
      </c>
      <c r="M66" s="51">
        <v>0</v>
      </c>
      <c r="N66" s="52">
        <f t="shared" ref="N66:N87" si="29">M66*L66</f>
        <v>0</v>
      </c>
      <c r="O66" s="52">
        <f t="shared" ref="O66:O87" si="30">L66+N66</f>
        <v>78.069999999999993</v>
      </c>
      <c r="P66" s="53">
        <f t="shared" si="24"/>
        <v>0.13131160224711541</v>
      </c>
      <c r="Q66" s="52">
        <f t="shared" si="25"/>
        <v>594.54</v>
      </c>
      <c r="R66" s="54">
        <f t="shared" si="26"/>
        <v>4730.5200000000004</v>
      </c>
      <c r="S66" s="52">
        <f t="shared" si="27"/>
        <v>621.17216066202445</v>
      </c>
      <c r="T66" s="48" t="s">
        <v>76</v>
      </c>
      <c r="U66" s="55">
        <v>5009</v>
      </c>
      <c r="V66" s="56">
        <v>490110</v>
      </c>
      <c r="W66" s="89">
        <v>450</v>
      </c>
      <c r="X66" s="90">
        <f t="shared" ref="X66:X97" si="31">W66-S66</f>
        <v>-171.17216066202445</v>
      </c>
      <c r="Y66" s="50"/>
    </row>
    <row r="67" spans="1:25" ht="15" customHeight="1">
      <c r="A67" s="44" t="s">
        <v>242</v>
      </c>
      <c r="B67" s="45" t="s">
        <v>41</v>
      </c>
      <c r="C67" s="45" t="s">
        <v>78</v>
      </c>
      <c r="D67" s="45" t="s">
        <v>180</v>
      </c>
      <c r="E67" s="46" t="s">
        <v>73</v>
      </c>
      <c r="F67" s="47" t="s">
        <v>74</v>
      </c>
      <c r="G67" s="48" t="s">
        <v>24</v>
      </c>
      <c r="H67" s="57" t="s">
        <v>84</v>
      </c>
      <c r="I67" s="48">
        <v>4000011766</v>
      </c>
      <c r="J67" s="52">
        <v>63.45</v>
      </c>
      <c r="K67" s="50"/>
      <c r="L67" s="52">
        <f t="shared" si="28"/>
        <v>63.45</v>
      </c>
      <c r="M67" s="51">
        <v>0</v>
      </c>
      <c r="N67" s="52">
        <f t="shared" si="29"/>
        <v>0</v>
      </c>
      <c r="O67" s="52">
        <f t="shared" si="30"/>
        <v>63.45</v>
      </c>
      <c r="P67" s="53">
        <f t="shared" si="24"/>
        <v>0.10672116257947321</v>
      </c>
      <c r="Q67" s="52">
        <f t="shared" si="25"/>
        <v>594.54</v>
      </c>
      <c r="R67" s="54">
        <f t="shared" si="26"/>
        <v>4730.5200000000004</v>
      </c>
      <c r="S67" s="52">
        <f t="shared" si="27"/>
        <v>504.84659400544967</v>
      </c>
      <c r="T67" s="48" t="s">
        <v>76</v>
      </c>
      <c r="U67" s="55">
        <v>5009</v>
      </c>
      <c r="V67" s="56">
        <v>490110</v>
      </c>
      <c r="W67" s="89">
        <v>410</v>
      </c>
      <c r="X67" s="90">
        <f t="shared" si="31"/>
        <v>-94.846594005449674</v>
      </c>
      <c r="Y67" s="50"/>
    </row>
    <row r="68" spans="1:25" ht="15" customHeight="1">
      <c r="A68" s="44" t="s">
        <v>242</v>
      </c>
      <c r="B68" s="45" t="s">
        <v>41</v>
      </c>
      <c r="C68" s="45" t="s">
        <v>161</v>
      </c>
      <c r="D68" s="45" t="s">
        <v>182</v>
      </c>
      <c r="E68" s="46" t="s">
        <v>73</v>
      </c>
      <c r="F68" s="47" t="s">
        <v>74</v>
      </c>
      <c r="G68" s="48" t="s">
        <v>24</v>
      </c>
      <c r="H68" s="57" t="s">
        <v>84</v>
      </c>
      <c r="I68" s="48">
        <v>4000011768</v>
      </c>
      <c r="J68" s="52">
        <v>91.22</v>
      </c>
      <c r="K68" s="50"/>
      <c r="L68" s="52">
        <f t="shared" si="28"/>
        <v>91.22</v>
      </c>
      <c r="M68" s="51">
        <v>0</v>
      </c>
      <c r="N68" s="52">
        <f t="shared" si="29"/>
        <v>0</v>
      </c>
      <c r="O68" s="52">
        <f t="shared" si="30"/>
        <v>91.22</v>
      </c>
      <c r="P68" s="53">
        <f t="shared" si="24"/>
        <v>0.15342954216705354</v>
      </c>
      <c r="Q68" s="52">
        <f t="shared" si="25"/>
        <v>594.54</v>
      </c>
      <c r="R68" s="54">
        <f t="shared" si="26"/>
        <v>4730.5200000000004</v>
      </c>
      <c r="S68" s="52">
        <f t="shared" si="27"/>
        <v>725.8015178120902</v>
      </c>
      <c r="T68" s="48" t="s">
        <v>76</v>
      </c>
      <c r="U68" s="55">
        <v>5009</v>
      </c>
      <c r="V68" s="56">
        <v>490110</v>
      </c>
      <c r="W68" s="89">
        <v>460</v>
      </c>
      <c r="X68" s="90">
        <f t="shared" si="31"/>
        <v>-265.8015178120902</v>
      </c>
      <c r="Y68" s="50"/>
    </row>
    <row r="69" spans="1:25" ht="15" customHeight="1">
      <c r="A69" s="44" t="s">
        <v>242</v>
      </c>
      <c r="B69" s="45" t="s">
        <v>41</v>
      </c>
      <c r="C69" s="45" t="s">
        <v>243</v>
      </c>
      <c r="D69" s="45" t="s">
        <v>250</v>
      </c>
      <c r="E69" s="46" t="s">
        <v>73</v>
      </c>
      <c r="F69" s="58" t="s">
        <v>90</v>
      </c>
      <c r="G69" s="48" t="s">
        <v>24</v>
      </c>
      <c r="H69" s="59" t="s">
        <v>75</v>
      </c>
      <c r="I69" s="60">
        <v>7000001007</v>
      </c>
      <c r="J69" s="61">
        <v>130</v>
      </c>
      <c r="K69" s="60">
        <v>10</v>
      </c>
      <c r="L69" s="61">
        <f t="shared" si="28"/>
        <v>140</v>
      </c>
      <c r="M69" s="62">
        <v>0.18</v>
      </c>
      <c r="N69" s="61">
        <f t="shared" si="29"/>
        <v>25.2</v>
      </c>
      <c r="O69" s="61">
        <f t="shared" si="30"/>
        <v>165.2</v>
      </c>
      <c r="P69" s="63">
        <v>0</v>
      </c>
      <c r="Q69" s="61">
        <f>O69</f>
        <v>165.2</v>
      </c>
      <c r="R69" s="64">
        <f>Q69</f>
        <v>165.2</v>
      </c>
      <c r="S69" s="61">
        <f>Q69</f>
        <v>165.2</v>
      </c>
      <c r="T69" s="60" t="s">
        <v>91</v>
      </c>
      <c r="U69" s="55">
        <v>5009</v>
      </c>
      <c r="V69" s="56">
        <v>49119990</v>
      </c>
      <c r="W69" s="50"/>
      <c r="X69" s="90">
        <f t="shared" si="31"/>
        <v>-165.2</v>
      </c>
      <c r="Y69" s="50"/>
    </row>
    <row r="70" spans="1:25" ht="15" customHeight="1">
      <c r="A70" s="44" t="s">
        <v>242</v>
      </c>
      <c r="B70" s="66" t="s">
        <v>41</v>
      </c>
      <c r="C70" s="66" t="s">
        <v>92</v>
      </c>
      <c r="D70" s="66" t="s">
        <v>93</v>
      </c>
      <c r="E70" s="67" t="s">
        <v>73</v>
      </c>
      <c r="F70" s="68" t="s">
        <v>94</v>
      </c>
      <c r="G70" s="69" t="s">
        <v>24</v>
      </c>
      <c r="H70" s="70" t="s">
        <v>75</v>
      </c>
      <c r="I70" s="71">
        <v>8400007</v>
      </c>
      <c r="J70" s="72">
        <v>96</v>
      </c>
      <c r="K70" s="73"/>
      <c r="L70" s="72">
        <f t="shared" si="28"/>
        <v>96</v>
      </c>
      <c r="M70" s="74">
        <v>0.18</v>
      </c>
      <c r="N70" s="72">
        <f t="shared" si="29"/>
        <v>17.28</v>
      </c>
      <c r="O70" s="72">
        <f t="shared" si="30"/>
        <v>113.28</v>
      </c>
      <c r="P70" s="75">
        <v>0</v>
      </c>
      <c r="Q70" s="72">
        <f>O70</f>
        <v>113.28</v>
      </c>
      <c r="R70" s="76">
        <f>Q70</f>
        <v>113.28</v>
      </c>
      <c r="S70" s="72">
        <f>Q70</f>
        <v>113.28</v>
      </c>
      <c r="T70" s="71" t="s">
        <v>91</v>
      </c>
      <c r="U70" s="55">
        <v>5009</v>
      </c>
      <c r="V70" s="78">
        <v>999299</v>
      </c>
      <c r="W70" s="50"/>
      <c r="X70" s="90">
        <f t="shared" si="31"/>
        <v>-113.28</v>
      </c>
      <c r="Y70" s="50"/>
    </row>
    <row r="71" spans="1:25" ht="15" customHeight="1">
      <c r="A71" s="44" t="s">
        <v>242</v>
      </c>
      <c r="B71" s="32" t="s">
        <v>42</v>
      </c>
      <c r="C71" s="32" t="s">
        <v>105</v>
      </c>
      <c r="D71" s="32" t="s">
        <v>184</v>
      </c>
      <c r="E71" s="33" t="s">
        <v>73</v>
      </c>
      <c r="F71" s="34" t="s">
        <v>74</v>
      </c>
      <c r="G71" s="35" t="s">
        <v>24</v>
      </c>
      <c r="H71" s="36" t="s">
        <v>75</v>
      </c>
      <c r="I71" s="35">
        <v>4000011770</v>
      </c>
      <c r="J71" s="39">
        <v>51.97</v>
      </c>
      <c r="K71" s="37"/>
      <c r="L71" s="39">
        <f t="shared" si="28"/>
        <v>51.97</v>
      </c>
      <c r="M71" s="38">
        <v>0</v>
      </c>
      <c r="N71" s="39">
        <f t="shared" si="29"/>
        <v>0</v>
      </c>
      <c r="O71" s="39">
        <f t="shared" si="30"/>
        <v>51.97</v>
      </c>
      <c r="P71" s="40">
        <f t="shared" ref="P71:P79" si="32">IFERROR(O71/Q71,"")</f>
        <v>9.3604221825975747E-2</v>
      </c>
      <c r="Q71" s="39">
        <f t="shared" ref="Q71:Q79" si="33">SUMIFS(O:O,T:T,T71,B:B,B71,A:A,A71,G:G,G71,E:E,E71)</f>
        <v>555.21</v>
      </c>
      <c r="R71" s="41">
        <f t="shared" ref="R71:R79" si="34">U71-SUMIFS(Q:Q,A:A,A71,B:B,B71,G:G,G71,E:E,E71,T:T,"Fixed Price ( Base Price with GST)")</f>
        <v>4767.848</v>
      </c>
      <c r="S71" s="39">
        <f t="shared" ref="S71:S79" si="35">P71*R71</f>
        <v>446.29070182453484</v>
      </c>
      <c r="T71" s="35" t="s">
        <v>76</v>
      </c>
      <c r="U71" s="42">
        <v>5035</v>
      </c>
      <c r="V71" s="43">
        <v>490110</v>
      </c>
      <c r="W71" s="89">
        <v>305</v>
      </c>
      <c r="X71" s="90">
        <f t="shared" si="31"/>
        <v>-141.29070182453484</v>
      </c>
      <c r="Y71" s="50"/>
    </row>
    <row r="72" spans="1:25" ht="15" customHeight="1">
      <c r="A72" s="44" t="s">
        <v>242</v>
      </c>
      <c r="B72" s="45" t="s">
        <v>42</v>
      </c>
      <c r="C72" s="45" t="s">
        <v>71</v>
      </c>
      <c r="D72" s="45" t="s">
        <v>186</v>
      </c>
      <c r="E72" s="46" t="s">
        <v>73</v>
      </c>
      <c r="F72" s="47" t="s">
        <v>74</v>
      </c>
      <c r="G72" s="48" t="s">
        <v>24</v>
      </c>
      <c r="H72" s="49" t="s">
        <v>75</v>
      </c>
      <c r="I72" s="48">
        <v>4000011772</v>
      </c>
      <c r="J72" s="52">
        <v>68.62</v>
      </c>
      <c r="K72" s="50"/>
      <c r="L72" s="52">
        <f t="shared" si="28"/>
        <v>68.62</v>
      </c>
      <c r="M72" s="51">
        <v>0</v>
      </c>
      <c r="N72" s="52">
        <f t="shared" si="29"/>
        <v>0</v>
      </c>
      <c r="O72" s="52">
        <f t="shared" si="30"/>
        <v>68.62</v>
      </c>
      <c r="P72" s="53">
        <f t="shared" si="32"/>
        <v>0.12359287476810576</v>
      </c>
      <c r="Q72" s="52">
        <f t="shared" si="33"/>
        <v>555.21</v>
      </c>
      <c r="R72" s="54">
        <f t="shared" si="34"/>
        <v>4767.848</v>
      </c>
      <c r="S72" s="52">
        <f t="shared" si="35"/>
        <v>589.27204077736349</v>
      </c>
      <c r="T72" s="48" t="s">
        <v>76</v>
      </c>
      <c r="U72" s="55">
        <v>5035</v>
      </c>
      <c r="V72" s="56">
        <v>490110</v>
      </c>
      <c r="W72" s="89">
        <v>390</v>
      </c>
      <c r="X72" s="90">
        <f t="shared" si="31"/>
        <v>-199.27204077736349</v>
      </c>
      <c r="Y72" s="50"/>
    </row>
    <row r="73" spans="1:25" ht="15" customHeight="1">
      <c r="A73" s="44" t="s">
        <v>242</v>
      </c>
      <c r="B73" s="45" t="s">
        <v>42</v>
      </c>
      <c r="C73" s="45" t="s">
        <v>78</v>
      </c>
      <c r="D73" s="45" t="s">
        <v>187</v>
      </c>
      <c r="E73" s="46" t="s">
        <v>73</v>
      </c>
      <c r="F73" s="47" t="s">
        <v>74</v>
      </c>
      <c r="G73" s="48" t="s">
        <v>24</v>
      </c>
      <c r="H73" s="49" t="s">
        <v>75</v>
      </c>
      <c r="I73" s="48">
        <v>4000011774</v>
      </c>
      <c r="J73" s="52">
        <v>21.8</v>
      </c>
      <c r="K73" s="50"/>
      <c r="L73" s="52">
        <f t="shared" si="28"/>
        <v>21.8</v>
      </c>
      <c r="M73" s="51">
        <v>0</v>
      </c>
      <c r="N73" s="52">
        <f t="shared" si="29"/>
        <v>0</v>
      </c>
      <c r="O73" s="52">
        <f t="shared" si="30"/>
        <v>21.8</v>
      </c>
      <c r="P73" s="53">
        <f t="shared" si="32"/>
        <v>3.9264422470776821E-2</v>
      </c>
      <c r="Q73" s="52">
        <f t="shared" si="33"/>
        <v>555.21</v>
      </c>
      <c r="R73" s="54">
        <f t="shared" si="34"/>
        <v>4767.848</v>
      </c>
      <c r="S73" s="52">
        <f t="shared" si="35"/>
        <v>187.20679814844831</v>
      </c>
      <c r="T73" s="48" t="s">
        <v>76</v>
      </c>
      <c r="U73" s="55">
        <v>5035</v>
      </c>
      <c r="V73" s="56">
        <v>490110</v>
      </c>
      <c r="W73" s="89">
        <v>180</v>
      </c>
      <c r="X73" s="90">
        <f t="shared" si="31"/>
        <v>-7.2067981484483141</v>
      </c>
      <c r="Y73" s="50"/>
    </row>
    <row r="74" spans="1:25" ht="15" customHeight="1">
      <c r="A74" s="44" t="s">
        <v>242</v>
      </c>
      <c r="B74" s="45" t="s">
        <v>42</v>
      </c>
      <c r="C74" s="45" t="s">
        <v>78</v>
      </c>
      <c r="D74" s="45" t="s">
        <v>188</v>
      </c>
      <c r="E74" s="46" t="s">
        <v>73</v>
      </c>
      <c r="F74" s="47" t="s">
        <v>74</v>
      </c>
      <c r="G74" s="48" t="s">
        <v>24</v>
      </c>
      <c r="H74" s="49" t="s">
        <v>75</v>
      </c>
      <c r="I74" s="48">
        <v>4000011773</v>
      </c>
      <c r="J74" s="52">
        <v>60.31</v>
      </c>
      <c r="K74" s="50"/>
      <c r="L74" s="52">
        <f t="shared" si="28"/>
        <v>60.31</v>
      </c>
      <c r="M74" s="51">
        <v>0</v>
      </c>
      <c r="N74" s="52">
        <f t="shared" si="29"/>
        <v>0</v>
      </c>
      <c r="O74" s="52">
        <f t="shared" si="30"/>
        <v>60.31</v>
      </c>
      <c r="P74" s="53">
        <f t="shared" si="32"/>
        <v>0.10862556510149313</v>
      </c>
      <c r="Q74" s="52">
        <f t="shared" si="33"/>
        <v>555.21</v>
      </c>
      <c r="R74" s="54">
        <f t="shared" si="34"/>
        <v>4767.848</v>
      </c>
      <c r="S74" s="52">
        <f t="shared" si="35"/>
        <v>517.91018331802377</v>
      </c>
      <c r="T74" s="48" t="s">
        <v>76</v>
      </c>
      <c r="U74" s="55">
        <v>5035</v>
      </c>
      <c r="V74" s="56">
        <v>490110</v>
      </c>
      <c r="W74" s="89">
        <v>335</v>
      </c>
      <c r="X74" s="90">
        <f t="shared" si="31"/>
        <v>-182.91018331802377</v>
      </c>
      <c r="Y74" s="50"/>
    </row>
    <row r="75" spans="1:25" ht="15" customHeight="1">
      <c r="A75" s="44" t="s">
        <v>242</v>
      </c>
      <c r="B75" s="45" t="s">
        <v>42</v>
      </c>
      <c r="C75" s="45" t="s">
        <v>161</v>
      </c>
      <c r="D75" s="45" t="s">
        <v>190</v>
      </c>
      <c r="E75" s="46" t="s">
        <v>73</v>
      </c>
      <c r="F75" s="47" t="s">
        <v>74</v>
      </c>
      <c r="G75" s="48" t="s">
        <v>24</v>
      </c>
      <c r="H75" s="49" t="s">
        <v>75</v>
      </c>
      <c r="I75" s="48">
        <v>4000011776</v>
      </c>
      <c r="J75" s="52">
        <v>85.28</v>
      </c>
      <c r="K75" s="50"/>
      <c r="L75" s="52">
        <f t="shared" si="28"/>
        <v>85.28</v>
      </c>
      <c r="M75" s="51">
        <v>0</v>
      </c>
      <c r="N75" s="52">
        <f t="shared" si="29"/>
        <v>0</v>
      </c>
      <c r="O75" s="52">
        <f t="shared" si="30"/>
        <v>85.28</v>
      </c>
      <c r="P75" s="53">
        <f t="shared" si="32"/>
        <v>0.15359953891320399</v>
      </c>
      <c r="Q75" s="52">
        <f t="shared" si="33"/>
        <v>555.21</v>
      </c>
      <c r="R75" s="54">
        <f t="shared" si="34"/>
        <v>4767.848</v>
      </c>
      <c r="S75" s="52">
        <f t="shared" si="35"/>
        <v>732.3392544082418</v>
      </c>
      <c r="T75" s="48" t="s">
        <v>76</v>
      </c>
      <c r="U75" s="55">
        <v>5035</v>
      </c>
      <c r="V75" s="56">
        <v>490110</v>
      </c>
      <c r="W75" s="89">
        <v>615</v>
      </c>
      <c r="X75" s="90">
        <f t="shared" si="31"/>
        <v>-117.3392544082418</v>
      </c>
      <c r="Y75" s="50"/>
    </row>
    <row r="76" spans="1:25" ht="15" customHeight="1">
      <c r="A76" s="44" t="s">
        <v>242</v>
      </c>
      <c r="B76" s="45" t="s">
        <v>42</v>
      </c>
      <c r="C76" s="45" t="s">
        <v>105</v>
      </c>
      <c r="D76" s="45" t="s">
        <v>191</v>
      </c>
      <c r="E76" s="46" t="s">
        <v>73</v>
      </c>
      <c r="F76" s="47" t="s">
        <v>74</v>
      </c>
      <c r="G76" s="48" t="s">
        <v>24</v>
      </c>
      <c r="H76" s="57" t="s">
        <v>84</v>
      </c>
      <c r="I76" s="48">
        <v>4000011777</v>
      </c>
      <c r="J76" s="52">
        <v>57.48</v>
      </c>
      <c r="K76" s="50"/>
      <c r="L76" s="52">
        <f t="shared" si="28"/>
        <v>57.48</v>
      </c>
      <c r="M76" s="51">
        <v>0</v>
      </c>
      <c r="N76" s="52">
        <f t="shared" si="29"/>
        <v>0</v>
      </c>
      <c r="O76" s="52">
        <f t="shared" si="30"/>
        <v>57.48</v>
      </c>
      <c r="P76" s="53">
        <f t="shared" si="32"/>
        <v>0.10352839466147942</v>
      </c>
      <c r="Q76" s="52">
        <f t="shared" si="33"/>
        <v>555.21</v>
      </c>
      <c r="R76" s="54">
        <f t="shared" si="34"/>
        <v>4767.848</v>
      </c>
      <c r="S76" s="52">
        <f t="shared" si="35"/>
        <v>493.60764942994535</v>
      </c>
      <c r="T76" s="48" t="s">
        <v>76</v>
      </c>
      <c r="U76" s="55">
        <v>5035</v>
      </c>
      <c r="V76" s="56">
        <v>490110</v>
      </c>
      <c r="W76" s="89">
        <v>325</v>
      </c>
      <c r="X76" s="90">
        <f t="shared" si="31"/>
        <v>-168.60764942994535</v>
      </c>
      <c r="Y76" s="50"/>
    </row>
    <row r="77" spans="1:25" ht="15" customHeight="1">
      <c r="A77" s="44" t="s">
        <v>242</v>
      </c>
      <c r="B77" s="45" t="s">
        <v>42</v>
      </c>
      <c r="C77" s="45" t="s">
        <v>71</v>
      </c>
      <c r="D77" s="45" t="s">
        <v>193</v>
      </c>
      <c r="E77" s="46" t="s">
        <v>73</v>
      </c>
      <c r="F77" s="47" t="s">
        <v>74</v>
      </c>
      <c r="G77" s="48" t="s">
        <v>24</v>
      </c>
      <c r="H77" s="57" t="s">
        <v>84</v>
      </c>
      <c r="I77" s="48">
        <v>4000011779</v>
      </c>
      <c r="J77" s="52">
        <v>68.62</v>
      </c>
      <c r="K77" s="50"/>
      <c r="L77" s="52">
        <f t="shared" si="28"/>
        <v>68.62</v>
      </c>
      <c r="M77" s="51">
        <v>0</v>
      </c>
      <c r="N77" s="52">
        <f t="shared" si="29"/>
        <v>0</v>
      </c>
      <c r="O77" s="52">
        <f t="shared" si="30"/>
        <v>68.62</v>
      </c>
      <c r="P77" s="53">
        <f t="shared" si="32"/>
        <v>0.12359287476810576</v>
      </c>
      <c r="Q77" s="52">
        <f t="shared" si="33"/>
        <v>555.21</v>
      </c>
      <c r="R77" s="54">
        <f t="shared" si="34"/>
        <v>4767.848</v>
      </c>
      <c r="S77" s="52">
        <f t="shared" si="35"/>
        <v>589.27204077736349</v>
      </c>
      <c r="T77" s="48" t="s">
        <v>76</v>
      </c>
      <c r="U77" s="55">
        <v>5035</v>
      </c>
      <c r="V77" s="56">
        <v>490110</v>
      </c>
      <c r="W77" s="89">
        <v>390</v>
      </c>
      <c r="X77" s="90">
        <f t="shared" si="31"/>
        <v>-199.27204077736349</v>
      </c>
      <c r="Y77" s="50"/>
    </row>
    <row r="78" spans="1:25" ht="15" customHeight="1">
      <c r="A78" s="44" t="s">
        <v>242</v>
      </c>
      <c r="B78" s="45" t="s">
        <v>42</v>
      </c>
      <c r="C78" s="45" t="s">
        <v>78</v>
      </c>
      <c r="D78" s="45" t="s">
        <v>194</v>
      </c>
      <c r="E78" s="46" t="s">
        <v>73</v>
      </c>
      <c r="F78" s="47" t="s">
        <v>74</v>
      </c>
      <c r="G78" s="48" t="s">
        <v>24</v>
      </c>
      <c r="H78" s="57" t="s">
        <v>84</v>
      </c>
      <c r="I78" s="48">
        <v>4000011862</v>
      </c>
      <c r="J78" s="52">
        <v>64.13</v>
      </c>
      <c r="K78" s="50"/>
      <c r="L78" s="52">
        <f t="shared" si="28"/>
        <v>64.13</v>
      </c>
      <c r="M78" s="51">
        <v>0</v>
      </c>
      <c r="N78" s="52">
        <f t="shared" si="29"/>
        <v>0</v>
      </c>
      <c r="O78" s="52">
        <f t="shared" si="30"/>
        <v>64.13</v>
      </c>
      <c r="P78" s="53">
        <f t="shared" si="32"/>
        <v>0.11550584463536318</v>
      </c>
      <c r="Q78" s="52">
        <f t="shared" si="33"/>
        <v>555.21</v>
      </c>
      <c r="R78" s="54">
        <f t="shared" si="34"/>
        <v>4767.848</v>
      </c>
      <c r="S78" s="52">
        <f t="shared" si="35"/>
        <v>550.71431033302702</v>
      </c>
      <c r="T78" s="48" t="s">
        <v>76</v>
      </c>
      <c r="U78" s="55">
        <v>5035</v>
      </c>
      <c r="V78" s="56">
        <v>490110</v>
      </c>
      <c r="W78" s="89">
        <v>355</v>
      </c>
      <c r="X78" s="90">
        <f t="shared" si="31"/>
        <v>-195.71431033302702</v>
      </c>
      <c r="Y78" s="50"/>
    </row>
    <row r="79" spans="1:25" ht="15" customHeight="1">
      <c r="A79" s="44" t="s">
        <v>242</v>
      </c>
      <c r="B79" s="45" t="s">
        <v>42</v>
      </c>
      <c r="C79" s="45" t="s">
        <v>161</v>
      </c>
      <c r="D79" s="45" t="s">
        <v>196</v>
      </c>
      <c r="E79" s="46" t="s">
        <v>73</v>
      </c>
      <c r="F79" s="47" t="s">
        <v>74</v>
      </c>
      <c r="G79" s="48" t="s">
        <v>24</v>
      </c>
      <c r="H79" s="57" t="s">
        <v>84</v>
      </c>
      <c r="I79" s="48">
        <v>4000011864</v>
      </c>
      <c r="J79" s="52">
        <v>77</v>
      </c>
      <c r="K79" s="50"/>
      <c r="L79" s="52">
        <f t="shared" si="28"/>
        <v>77</v>
      </c>
      <c r="M79" s="51">
        <v>0</v>
      </c>
      <c r="N79" s="52">
        <f t="shared" si="29"/>
        <v>0</v>
      </c>
      <c r="O79" s="52">
        <f t="shared" si="30"/>
        <v>77</v>
      </c>
      <c r="P79" s="53">
        <f t="shared" si="32"/>
        <v>0.13868626285549612</v>
      </c>
      <c r="Q79" s="52">
        <f t="shared" si="33"/>
        <v>555.21</v>
      </c>
      <c r="R79" s="54">
        <f t="shared" si="34"/>
        <v>4767.848</v>
      </c>
      <c r="S79" s="52">
        <f t="shared" si="35"/>
        <v>661.23502098305153</v>
      </c>
      <c r="T79" s="48" t="s">
        <v>76</v>
      </c>
      <c r="U79" s="55">
        <v>5035</v>
      </c>
      <c r="V79" s="56">
        <v>490110</v>
      </c>
      <c r="W79" s="89">
        <v>640</v>
      </c>
      <c r="X79" s="90">
        <f t="shared" si="31"/>
        <v>-21.235020983051527</v>
      </c>
      <c r="Y79" s="50"/>
    </row>
    <row r="80" spans="1:25" ht="15" customHeight="1">
      <c r="A80" s="44" t="s">
        <v>242</v>
      </c>
      <c r="B80" s="45" t="s">
        <v>42</v>
      </c>
      <c r="C80" s="45" t="s">
        <v>243</v>
      </c>
      <c r="D80" s="45" t="s">
        <v>251</v>
      </c>
      <c r="E80" s="46" t="s">
        <v>73</v>
      </c>
      <c r="F80" s="58" t="s">
        <v>90</v>
      </c>
      <c r="G80" s="48" t="s">
        <v>24</v>
      </c>
      <c r="H80" s="59" t="s">
        <v>75</v>
      </c>
      <c r="I80" s="60">
        <v>7000001008</v>
      </c>
      <c r="J80" s="61">
        <v>120.4</v>
      </c>
      <c r="K80" s="60">
        <v>10</v>
      </c>
      <c r="L80" s="61">
        <f t="shared" si="28"/>
        <v>130.4</v>
      </c>
      <c r="M80" s="62">
        <v>0.18</v>
      </c>
      <c r="N80" s="61">
        <f t="shared" si="29"/>
        <v>23.472000000000001</v>
      </c>
      <c r="O80" s="61">
        <f t="shared" si="30"/>
        <v>153.87200000000001</v>
      </c>
      <c r="P80" s="63">
        <v>0</v>
      </c>
      <c r="Q80" s="61">
        <f>O80</f>
        <v>153.87200000000001</v>
      </c>
      <c r="R80" s="64">
        <f>Q80</f>
        <v>153.87200000000001</v>
      </c>
      <c r="S80" s="61">
        <f>Q80</f>
        <v>153.87200000000001</v>
      </c>
      <c r="T80" s="60" t="s">
        <v>91</v>
      </c>
      <c r="U80" s="55">
        <v>5035</v>
      </c>
      <c r="V80" s="56">
        <v>49119990</v>
      </c>
      <c r="W80" s="50"/>
      <c r="X80" s="90">
        <f t="shared" si="31"/>
        <v>-153.87200000000001</v>
      </c>
      <c r="Y80" s="50"/>
    </row>
    <row r="81" spans="1:25" ht="15" customHeight="1">
      <c r="A81" s="44" t="s">
        <v>242</v>
      </c>
      <c r="B81" s="66" t="s">
        <v>42</v>
      </c>
      <c r="C81" s="66" t="s">
        <v>92</v>
      </c>
      <c r="D81" s="66" t="s">
        <v>93</v>
      </c>
      <c r="E81" s="67" t="s">
        <v>73</v>
      </c>
      <c r="F81" s="68" t="s">
        <v>94</v>
      </c>
      <c r="G81" s="69" t="s">
        <v>24</v>
      </c>
      <c r="H81" s="70" t="s">
        <v>75</v>
      </c>
      <c r="I81" s="71">
        <v>8400007</v>
      </c>
      <c r="J81" s="72">
        <v>96</v>
      </c>
      <c r="K81" s="73"/>
      <c r="L81" s="72">
        <f t="shared" si="28"/>
        <v>96</v>
      </c>
      <c r="M81" s="74">
        <v>0.18</v>
      </c>
      <c r="N81" s="72">
        <f t="shared" si="29"/>
        <v>17.28</v>
      </c>
      <c r="O81" s="72">
        <f t="shared" si="30"/>
        <v>113.28</v>
      </c>
      <c r="P81" s="75">
        <v>0</v>
      </c>
      <c r="Q81" s="72">
        <f>O81</f>
        <v>113.28</v>
      </c>
      <c r="R81" s="76">
        <f>Q81</f>
        <v>113.28</v>
      </c>
      <c r="S81" s="72">
        <f>Q81</f>
        <v>113.28</v>
      </c>
      <c r="T81" s="71" t="s">
        <v>91</v>
      </c>
      <c r="U81" s="55">
        <v>5035</v>
      </c>
      <c r="V81" s="78">
        <v>999299</v>
      </c>
      <c r="W81" s="50"/>
      <c r="X81" s="90">
        <f t="shared" si="31"/>
        <v>-113.28</v>
      </c>
      <c r="Y81" s="50"/>
    </row>
    <row r="82" spans="1:25" ht="15" customHeight="1">
      <c r="A82" s="44" t="s">
        <v>242</v>
      </c>
      <c r="B82" s="32" t="s">
        <v>43</v>
      </c>
      <c r="C82" s="32" t="s">
        <v>198</v>
      </c>
      <c r="D82" s="32" t="s">
        <v>199</v>
      </c>
      <c r="E82" s="33" t="s">
        <v>73</v>
      </c>
      <c r="F82" s="34" t="s">
        <v>74</v>
      </c>
      <c r="G82" s="35" t="s">
        <v>24</v>
      </c>
      <c r="H82" s="36" t="s">
        <v>75</v>
      </c>
      <c r="I82" s="35">
        <v>4000011865</v>
      </c>
      <c r="J82" s="39">
        <v>22.9</v>
      </c>
      <c r="K82" s="37"/>
      <c r="L82" s="39">
        <f t="shared" si="28"/>
        <v>22.9</v>
      </c>
      <c r="M82" s="38">
        <v>0</v>
      </c>
      <c r="N82" s="39">
        <f t="shared" si="29"/>
        <v>0</v>
      </c>
      <c r="O82" s="39">
        <f t="shared" si="30"/>
        <v>22.9</v>
      </c>
      <c r="P82" s="40">
        <f t="shared" ref="P82:P87" si="36">IFERROR(O82/Q82,"")</f>
        <v>0.11356310438879247</v>
      </c>
      <c r="Q82" s="39">
        <f t="shared" ref="Q82:Q87" si="37">SUMIFS(O:O,T:T,T82,B:B,B82,A:A,A82,G:G,G82,E:E,E82)</f>
        <v>201.64999999999998</v>
      </c>
      <c r="R82" s="41">
        <f t="shared" ref="R82:R87" si="38">U82-SUMIFS(Q:Q,A:A,A82,B:B,B82,G:G,G82,E:E,E82,T:T,"Fixed Price ( Base Price with GST)")</f>
        <v>2805.188528014397</v>
      </c>
      <c r="S82" s="39">
        <f t="shared" ref="S82:S87" si="39">P82*R82</f>
        <v>318.56591763714204</v>
      </c>
      <c r="T82" s="35" t="s">
        <v>76</v>
      </c>
      <c r="U82" s="42">
        <v>3214</v>
      </c>
      <c r="V82" s="43">
        <v>490110</v>
      </c>
      <c r="W82" s="89">
        <v>165</v>
      </c>
      <c r="X82" s="90">
        <f t="shared" si="31"/>
        <v>-153.56591763714204</v>
      </c>
      <c r="Y82" s="50"/>
    </row>
    <row r="83" spans="1:25" ht="15" customHeight="1">
      <c r="A83" s="44" t="s">
        <v>242</v>
      </c>
      <c r="B83" s="45" t="s">
        <v>43</v>
      </c>
      <c r="C83" s="45" t="s">
        <v>200</v>
      </c>
      <c r="D83" s="45" t="s">
        <v>201</v>
      </c>
      <c r="E83" s="46" t="s">
        <v>73</v>
      </c>
      <c r="F83" s="47" t="s">
        <v>74</v>
      </c>
      <c r="G83" s="48" t="s">
        <v>24</v>
      </c>
      <c r="H83" s="49" t="s">
        <v>75</v>
      </c>
      <c r="I83" s="48">
        <v>4000011866</v>
      </c>
      <c r="J83" s="52">
        <v>12.46</v>
      </c>
      <c r="K83" s="50"/>
      <c r="L83" s="52">
        <f t="shared" si="28"/>
        <v>12.46</v>
      </c>
      <c r="M83" s="51">
        <v>0</v>
      </c>
      <c r="N83" s="52">
        <f t="shared" si="29"/>
        <v>0</v>
      </c>
      <c r="O83" s="52">
        <f t="shared" si="30"/>
        <v>12.46</v>
      </c>
      <c r="P83" s="53">
        <f t="shared" si="36"/>
        <v>6.1790230597570057E-2</v>
      </c>
      <c r="Q83" s="52">
        <f t="shared" si="37"/>
        <v>201.64999999999998</v>
      </c>
      <c r="R83" s="54">
        <f t="shared" si="38"/>
        <v>2805.188528014397</v>
      </c>
      <c r="S83" s="52">
        <f t="shared" si="39"/>
        <v>173.3332460156677</v>
      </c>
      <c r="T83" s="48" t="s">
        <v>76</v>
      </c>
      <c r="U83" s="55">
        <v>3214</v>
      </c>
      <c r="V83" s="56">
        <v>490110</v>
      </c>
      <c r="W83" s="89">
        <v>95</v>
      </c>
      <c r="X83" s="90">
        <f t="shared" si="31"/>
        <v>-78.333246015667697</v>
      </c>
      <c r="Y83" s="50"/>
    </row>
    <row r="84" spans="1:25" ht="15" customHeight="1">
      <c r="A84" s="44" t="s">
        <v>242</v>
      </c>
      <c r="B84" s="45" t="s">
        <v>43</v>
      </c>
      <c r="C84" s="45" t="s">
        <v>202</v>
      </c>
      <c r="D84" s="45" t="s">
        <v>203</v>
      </c>
      <c r="E84" s="46" t="s">
        <v>73</v>
      </c>
      <c r="F84" s="47" t="s">
        <v>74</v>
      </c>
      <c r="G84" s="48" t="s">
        <v>24</v>
      </c>
      <c r="H84" s="49" t="s">
        <v>75</v>
      </c>
      <c r="I84" s="48">
        <v>4000011867</v>
      </c>
      <c r="J84" s="52">
        <v>42.11</v>
      </c>
      <c r="K84" s="50"/>
      <c r="L84" s="52">
        <f t="shared" si="28"/>
        <v>42.11</v>
      </c>
      <c r="M84" s="51">
        <v>0</v>
      </c>
      <c r="N84" s="52">
        <f t="shared" si="29"/>
        <v>0</v>
      </c>
      <c r="O84" s="52">
        <f t="shared" si="30"/>
        <v>42.11</v>
      </c>
      <c r="P84" s="53">
        <f t="shared" si="36"/>
        <v>0.20882717579965288</v>
      </c>
      <c r="Q84" s="52">
        <f t="shared" si="37"/>
        <v>201.64999999999998</v>
      </c>
      <c r="R84" s="54">
        <f t="shared" si="38"/>
        <v>2805.188528014397</v>
      </c>
      <c r="S84" s="52">
        <f t="shared" si="39"/>
        <v>585.79959789083193</v>
      </c>
      <c r="T84" s="48" t="s">
        <v>76</v>
      </c>
      <c r="U84" s="55">
        <v>3214</v>
      </c>
      <c r="V84" s="56">
        <v>490110</v>
      </c>
      <c r="W84" s="89">
        <v>380</v>
      </c>
      <c r="X84" s="90">
        <f t="shared" si="31"/>
        <v>-205.79959789083193</v>
      </c>
      <c r="Y84" s="50"/>
    </row>
    <row r="85" spans="1:25" ht="15" customHeight="1">
      <c r="A85" s="44" t="s">
        <v>242</v>
      </c>
      <c r="B85" s="45" t="s">
        <v>43</v>
      </c>
      <c r="C85" s="45" t="s">
        <v>205</v>
      </c>
      <c r="D85" s="45" t="s">
        <v>206</v>
      </c>
      <c r="E85" s="46" t="s">
        <v>73</v>
      </c>
      <c r="F85" s="47" t="s">
        <v>74</v>
      </c>
      <c r="G85" s="48" t="s">
        <v>24</v>
      </c>
      <c r="H85" s="49" t="s">
        <v>75</v>
      </c>
      <c r="I85" s="48">
        <v>4000011869</v>
      </c>
      <c r="J85" s="52">
        <v>37.69</v>
      </c>
      <c r="K85" s="50"/>
      <c r="L85" s="52">
        <f t="shared" si="28"/>
        <v>37.69</v>
      </c>
      <c r="M85" s="51">
        <v>0</v>
      </c>
      <c r="N85" s="52">
        <f t="shared" si="29"/>
        <v>0</v>
      </c>
      <c r="O85" s="52">
        <f t="shared" si="30"/>
        <v>37.69</v>
      </c>
      <c r="P85" s="53">
        <f t="shared" si="36"/>
        <v>0.18690800892635756</v>
      </c>
      <c r="Q85" s="52">
        <f t="shared" si="37"/>
        <v>201.64999999999998</v>
      </c>
      <c r="R85" s="54">
        <f t="shared" si="38"/>
        <v>2805.188528014397</v>
      </c>
      <c r="S85" s="52">
        <f t="shared" si="39"/>
        <v>524.3122024342307</v>
      </c>
      <c r="T85" s="48" t="s">
        <v>76</v>
      </c>
      <c r="U85" s="55">
        <v>3214</v>
      </c>
      <c r="V85" s="56">
        <v>490110</v>
      </c>
      <c r="W85" s="89">
        <v>355</v>
      </c>
      <c r="X85" s="90">
        <f t="shared" si="31"/>
        <v>-169.3122024342307</v>
      </c>
      <c r="Y85" s="50"/>
    </row>
    <row r="86" spans="1:25" ht="15" customHeight="1">
      <c r="A86" s="44" t="s">
        <v>242</v>
      </c>
      <c r="B86" s="45" t="s">
        <v>43</v>
      </c>
      <c r="C86" s="45" t="s">
        <v>202</v>
      </c>
      <c r="D86" s="45" t="s">
        <v>208</v>
      </c>
      <c r="E86" s="46" t="s">
        <v>73</v>
      </c>
      <c r="F86" s="47" t="s">
        <v>74</v>
      </c>
      <c r="G86" s="48" t="s">
        <v>24</v>
      </c>
      <c r="H86" s="57" t="s">
        <v>84</v>
      </c>
      <c r="I86" s="48">
        <v>4000011871</v>
      </c>
      <c r="J86" s="52">
        <v>42.11</v>
      </c>
      <c r="K86" s="50"/>
      <c r="L86" s="52">
        <f t="shared" si="28"/>
        <v>42.11</v>
      </c>
      <c r="M86" s="51">
        <v>0</v>
      </c>
      <c r="N86" s="52">
        <f t="shared" si="29"/>
        <v>0</v>
      </c>
      <c r="O86" s="52">
        <f t="shared" si="30"/>
        <v>42.11</v>
      </c>
      <c r="P86" s="53">
        <f t="shared" si="36"/>
        <v>0.20882717579965288</v>
      </c>
      <c r="Q86" s="52">
        <f t="shared" si="37"/>
        <v>201.64999999999998</v>
      </c>
      <c r="R86" s="54">
        <f t="shared" si="38"/>
        <v>2805.188528014397</v>
      </c>
      <c r="S86" s="52">
        <f t="shared" si="39"/>
        <v>585.79959789083193</v>
      </c>
      <c r="T86" s="48" t="s">
        <v>76</v>
      </c>
      <c r="U86" s="55">
        <v>3214</v>
      </c>
      <c r="V86" s="56">
        <v>490110</v>
      </c>
      <c r="W86" s="89">
        <v>399</v>
      </c>
      <c r="X86" s="90">
        <f t="shared" si="31"/>
        <v>-186.79959789083193</v>
      </c>
      <c r="Y86" s="50"/>
    </row>
    <row r="87" spans="1:25" ht="15" customHeight="1">
      <c r="A87" s="44" t="s">
        <v>242</v>
      </c>
      <c r="B87" s="45" t="s">
        <v>43</v>
      </c>
      <c r="C87" s="45" t="s">
        <v>205</v>
      </c>
      <c r="D87" s="45" t="s">
        <v>210</v>
      </c>
      <c r="E87" s="46" t="s">
        <v>73</v>
      </c>
      <c r="F87" s="47" t="s">
        <v>74</v>
      </c>
      <c r="G87" s="48" t="s">
        <v>24</v>
      </c>
      <c r="H87" s="57" t="s">
        <v>84</v>
      </c>
      <c r="I87" s="48">
        <v>4000011874</v>
      </c>
      <c r="J87" s="52">
        <v>44.38</v>
      </c>
      <c r="K87" s="50"/>
      <c r="L87" s="52">
        <f t="shared" si="28"/>
        <v>44.38</v>
      </c>
      <c r="M87" s="51">
        <v>0</v>
      </c>
      <c r="N87" s="52">
        <f t="shared" si="29"/>
        <v>0</v>
      </c>
      <c r="O87" s="52">
        <f t="shared" si="30"/>
        <v>44.38</v>
      </c>
      <c r="P87" s="53">
        <f t="shared" si="36"/>
        <v>0.22008430448797425</v>
      </c>
      <c r="Q87" s="52">
        <f t="shared" si="37"/>
        <v>201.64999999999998</v>
      </c>
      <c r="R87" s="54">
        <f t="shared" si="38"/>
        <v>2805.188528014397</v>
      </c>
      <c r="S87" s="52">
        <f t="shared" si="39"/>
        <v>617.37796614569288</v>
      </c>
      <c r="T87" s="48" t="s">
        <v>76</v>
      </c>
      <c r="U87" s="55">
        <v>3214</v>
      </c>
      <c r="V87" s="56">
        <v>490110</v>
      </c>
      <c r="W87" s="89">
        <v>420</v>
      </c>
      <c r="X87" s="90">
        <f t="shared" si="31"/>
        <v>-197.37796614569288</v>
      </c>
      <c r="Y87" s="50"/>
    </row>
    <row r="88" spans="1:25" ht="15" customHeight="1">
      <c r="A88" s="44" t="s">
        <v>242</v>
      </c>
      <c r="B88" s="45" t="s">
        <v>43</v>
      </c>
      <c r="C88" s="45" t="s">
        <v>243</v>
      </c>
      <c r="D88" s="45" t="s">
        <v>252</v>
      </c>
      <c r="E88" s="46" t="s">
        <v>73</v>
      </c>
      <c r="F88" s="58" t="s">
        <v>90</v>
      </c>
      <c r="G88" s="48" t="s">
        <v>24</v>
      </c>
      <c r="H88" s="59" t="s">
        <v>75</v>
      </c>
      <c r="I88" s="60">
        <v>7000001010</v>
      </c>
      <c r="J88" s="61">
        <v>215.1</v>
      </c>
      <c r="K88" s="60">
        <v>10</v>
      </c>
      <c r="L88" s="61">
        <v>250.45039998780001</v>
      </c>
      <c r="M88" s="62">
        <v>0.18</v>
      </c>
      <c r="N88" s="61">
        <v>45.081071997803903</v>
      </c>
      <c r="O88" s="61">
        <v>295.53147198560299</v>
      </c>
      <c r="P88" s="63">
        <v>0</v>
      </c>
      <c r="Q88" s="61">
        <v>295.53147198560299</v>
      </c>
      <c r="R88" s="64">
        <v>295.53147198560299</v>
      </c>
      <c r="S88" s="61">
        <v>295.53147198560299</v>
      </c>
      <c r="T88" s="60" t="s">
        <v>91</v>
      </c>
      <c r="U88" s="55">
        <v>3214</v>
      </c>
      <c r="V88" s="56">
        <v>49119990</v>
      </c>
      <c r="W88" s="50"/>
      <c r="X88" s="90">
        <f t="shared" si="31"/>
        <v>-295.53147198560299</v>
      </c>
      <c r="Y88" s="50"/>
    </row>
    <row r="89" spans="1:25" ht="15" customHeight="1">
      <c r="A89" s="44" t="s">
        <v>242</v>
      </c>
      <c r="B89" s="66" t="s">
        <v>43</v>
      </c>
      <c r="C89" s="66" t="s">
        <v>92</v>
      </c>
      <c r="D89" s="66" t="s">
        <v>93</v>
      </c>
      <c r="E89" s="67" t="s">
        <v>73</v>
      </c>
      <c r="F89" s="68" t="s">
        <v>94</v>
      </c>
      <c r="G89" s="69" t="s">
        <v>24</v>
      </c>
      <c r="H89" s="70" t="s">
        <v>75</v>
      </c>
      <c r="I89" s="71">
        <v>8400007</v>
      </c>
      <c r="J89" s="72">
        <v>96</v>
      </c>
      <c r="K89" s="73"/>
      <c r="L89" s="72">
        <f t="shared" ref="L89:L112" si="40">J89+K89</f>
        <v>96</v>
      </c>
      <c r="M89" s="74">
        <v>0.18</v>
      </c>
      <c r="N89" s="72">
        <f t="shared" ref="N89:N112" si="41">M89*L89</f>
        <v>17.28</v>
      </c>
      <c r="O89" s="72">
        <f t="shared" ref="O89:O112" si="42">L89+N89</f>
        <v>113.28</v>
      </c>
      <c r="P89" s="75">
        <v>0</v>
      </c>
      <c r="Q89" s="72">
        <f>O89</f>
        <v>113.28</v>
      </c>
      <c r="R89" s="76">
        <f>Q89</f>
        <v>113.28</v>
      </c>
      <c r="S89" s="72">
        <f>Q89</f>
        <v>113.28</v>
      </c>
      <c r="T89" s="71" t="s">
        <v>91</v>
      </c>
      <c r="U89" s="55">
        <v>3214</v>
      </c>
      <c r="V89" s="78">
        <v>999299</v>
      </c>
      <c r="W89" s="50"/>
      <c r="X89" s="90">
        <f t="shared" si="31"/>
        <v>-113.28</v>
      </c>
      <c r="Y89" s="50"/>
    </row>
    <row r="90" spans="1:25" ht="15" customHeight="1">
      <c r="A90" s="44" t="s">
        <v>242</v>
      </c>
      <c r="B90" s="45" t="s">
        <v>44</v>
      </c>
      <c r="C90" s="45" t="s">
        <v>213</v>
      </c>
      <c r="D90" s="45" t="s">
        <v>214</v>
      </c>
      <c r="E90" s="46" t="s">
        <v>73</v>
      </c>
      <c r="F90" s="47" t="s">
        <v>74</v>
      </c>
      <c r="G90" s="48" t="s">
        <v>24</v>
      </c>
      <c r="H90" s="49" t="s">
        <v>75</v>
      </c>
      <c r="I90" s="48">
        <v>4000011876</v>
      </c>
      <c r="J90" s="52">
        <v>40.57</v>
      </c>
      <c r="K90" s="50"/>
      <c r="L90" s="52">
        <f t="shared" si="40"/>
        <v>40.57</v>
      </c>
      <c r="M90" s="51">
        <v>0</v>
      </c>
      <c r="N90" s="52">
        <f t="shared" si="41"/>
        <v>0</v>
      </c>
      <c r="O90" s="52">
        <f t="shared" si="42"/>
        <v>40.57</v>
      </c>
      <c r="P90" s="53">
        <f t="shared" ref="P90:P95" si="43">IFERROR(O90/Q90,"")</f>
        <v>0.16678314491264132</v>
      </c>
      <c r="Q90" s="52">
        <f t="shared" ref="Q90:Q95" si="44">SUMIFS(O:O,T:T,T90,B:B,B90,A:A,A90,G:G,G90,E:E,E90)</f>
        <v>243.25</v>
      </c>
      <c r="R90" s="54">
        <f t="shared" ref="R90:R95" si="45">U90-SUMIFS(Q:Q,A:A,A90,B:B,B90,G:G,G90,E:E,E90,T:T,"Fixed Price ( Base Price with GST)")</f>
        <v>2901.5459999999998</v>
      </c>
      <c r="S90" s="52">
        <f t="shared" ref="S90:S95" si="46">P90*R90</f>
        <v>483.92896698869475</v>
      </c>
      <c r="T90" s="48" t="s">
        <v>76</v>
      </c>
      <c r="U90" s="42">
        <v>3250</v>
      </c>
      <c r="V90" s="80">
        <v>490110</v>
      </c>
      <c r="W90" s="89">
        <v>250</v>
      </c>
      <c r="X90" s="90">
        <f t="shared" si="31"/>
        <v>-233.92896698869475</v>
      </c>
      <c r="Y90" s="50"/>
    </row>
    <row r="91" spans="1:25" ht="15" customHeight="1">
      <c r="A91" s="44" t="s">
        <v>242</v>
      </c>
      <c r="B91" s="45" t="s">
        <v>44</v>
      </c>
      <c r="C91" s="45" t="s">
        <v>200</v>
      </c>
      <c r="D91" s="45" t="s">
        <v>215</v>
      </c>
      <c r="E91" s="46" t="s">
        <v>73</v>
      </c>
      <c r="F91" s="47" t="s">
        <v>74</v>
      </c>
      <c r="G91" s="48" t="s">
        <v>24</v>
      </c>
      <c r="H91" s="49" t="s">
        <v>75</v>
      </c>
      <c r="I91" s="48">
        <v>4000011820</v>
      </c>
      <c r="J91" s="52">
        <v>12.36</v>
      </c>
      <c r="K91" s="50"/>
      <c r="L91" s="52">
        <f t="shared" si="40"/>
        <v>12.36</v>
      </c>
      <c r="M91" s="51">
        <v>0</v>
      </c>
      <c r="N91" s="52">
        <f t="shared" si="41"/>
        <v>0</v>
      </c>
      <c r="O91" s="52">
        <f t="shared" si="42"/>
        <v>12.36</v>
      </c>
      <c r="P91" s="53">
        <f t="shared" si="43"/>
        <v>5.0811921891058577E-2</v>
      </c>
      <c r="Q91" s="52">
        <f t="shared" si="44"/>
        <v>243.25</v>
      </c>
      <c r="R91" s="54">
        <f t="shared" si="45"/>
        <v>2901.5459999999998</v>
      </c>
      <c r="S91" s="52">
        <f t="shared" si="46"/>
        <v>147.43312871531344</v>
      </c>
      <c r="T91" s="48" t="s">
        <v>76</v>
      </c>
      <c r="U91" s="55">
        <v>3250</v>
      </c>
      <c r="V91" s="80">
        <v>490110</v>
      </c>
      <c r="W91" s="89">
        <v>85</v>
      </c>
      <c r="X91" s="90">
        <f t="shared" si="31"/>
        <v>-62.433128715313444</v>
      </c>
      <c r="Y91" s="50"/>
    </row>
    <row r="92" spans="1:25" ht="15" customHeight="1">
      <c r="A92" s="44" t="s">
        <v>242</v>
      </c>
      <c r="B92" s="45" t="s">
        <v>44</v>
      </c>
      <c r="C92" s="45" t="s">
        <v>205</v>
      </c>
      <c r="D92" s="45" t="s">
        <v>216</v>
      </c>
      <c r="E92" s="46" t="s">
        <v>73</v>
      </c>
      <c r="F92" s="47" t="s">
        <v>74</v>
      </c>
      <c r="G92" s="48" t="s">
        <v>24</v>
      </c>
      <c r="H92" s="49" t="s">
        <v>75</v>
      </c>
      <c r="I92" s="48">
        <v>4000011821</v>
      </c>
      <c r="J92" s="52">
        <v>46.45</v>
      </c>
      <c r="K92" s="50"/>
      <c r="L92" s="52">
        <f t="shared" si="40"/>
        <v>46.45</v>
      </c>
      <c r="M92" s="51">
        <v>0</v>
      </c>
      <c r="N92" s="52">
        <f t="shared" si="41"/>
        <v>0</v>
      </c>
      <c r="O92" s="52">
        <f t="shared" si="42"/>
        <v>46.45</v>
      </c>
      <c r="P92" s="53">
        <f t="shared" si="43"/>
        <v>0.19095580678314492</v>
      </c>
      <c r="Q92" s="52">
        <f t="shared" si="44"/>
        <v>243.25</v>
      </c>
      <c r="R92" s="54">
        <f t="shared" si="45"/>
        <v>2901.5459999999998</v>
      </c>
      <c r="S92" s="52">
        <f t="shared" si="46"/>
        <v>554.06705734840693</v>
      </c>
      <c r="T92" s="48" t="s">
        <v>76</v>
      </c>
      <c r="U92" s="55">
        <v>3250</v>
      </c>
      <c r="V92" s="80">
        <v>490110</v>
      </c>
      <c r="W92" s="89">
        <v>400</v>
      </c>
      <c r="X92" s="90">
        <f t="shared" si="31"/>
        <v>-154.06705734840693</v>
      </c>
      <c r="Y92" s="50"/>
    </row>
    <row r="93" spans="1:25" ht="15" customHeight="1">
      <c r="A93" s="44" t="s">
        <v>242</v>
      </c>
      <c r="B93" s="45" t="s">
        <v>44</v>
      </c>
      <c r="C93" s="45" t="s">
        <v>202</v>
      </c>
      <c r="D93" s="45" t="s">
        <v>218</v>
      </c>
      <c r="E93" s="46" t="s">
        <v>73</v>
      </c>
      <c r="F93" s="47" t="s">
        <v>74</v>
      </c>
      <c r="G93" s="48" t="s">
        <v>24</v>
      </c>
      <c r="H93" s="49" t="s">
        <v>75</v>
      </c>
      <c r="I93" s="48">
        <v>4000011823</v>
      </c>
      <c r="J93" s="52">
        <v>46.45</v>
      </c>
      <c r="K93" s="50"/>
      <c r="L93" s="52">
        <f t="shared" si="40"/>
        <v>46.45</v>
      </c>
      <c r="M93" s="51">
        <v>0</v>
      </c>
      <c r="N93" s="52">
        <f t="shared" si="41"/>
        <v>0</v>
      </c>
      <c r="O93" s="52">
        <f t="shared" si="42"/>
        <v>46.45</v>
      </c>
      <c r="P93" s="53">
        <f t="shared" si="43"/>
        <v>0.19095580678314492</v>
      </c>
      <c r="Q93" s="52">
        <f t="shared" si="44"/>
        <v>243.25</v>
      </c>
      <c r="R93" s="54">
        <f t="shared" si="45"/>
        <v>2901.5459999999998</v>
      </c>
      <c r="S93" s="52">
        <f t="shared" si="46"/>
        <v>554.06705734840693</v>
      </c>
      <c r="T93" s="48" t="s">
        <v>76</v>
      </c>
      <c r="U93" s="55">
        <v>3250</v>
      </c>
      <c r="V93" s="80">
        <v>490110</v>
      </c>
      <c r="W93" s="89">
        <v>400</v>
      </c>
      <c r="X93" s="90">
        <f t="shared" si="31"/>
        <v>-154.06705734840693</v>
      </c>
      <c r="Y93" s="50"/>
    </row>
    <row r="94" spans="1:25" ht="15" customHeight="1">
      <c r="A94" s="44" t="s">
        <v>242</v>
      </c>
      <c r="B94" s="45" t="s">
        <v>44</v>
      </c>
      <c r="C94" s="45" t="s">
        <v>202</v>
      </c>
      <c r="D94" s="45" t="s">
        <v>220</v>
      </c>
      <c r="E94" s="46" t="s">
        <v>73</v>
      </c>
      <c r="F94" s="47" t="s">
        <v>74</v>
      </c>
      <c r="G94" s="48" t="s">
        <v>24</v>
      </c>
      <c r="H94" s="57" t="s">
        <v>84</v>
      </c>
      <c r="I94" s="48">
        <v>4000011825</v>
      </c>
      <c r="J94" s="52">
        <v>48.71</v>
      </c>
      <c r="K94" s="50"/>
      <c r="L94" s="52">
        <f t="shared" si="40"/>
        <v>48.71</v>
      </c>
      <c r="M94" s="51">
        <v>0</v>
      </c>
      <c r="N94" s="52">
        <f t="shared" si="41"/>
        <v>0</v>
      </c>
      <c r="O94" s="52">
        <f t="shared" si="42"/>
        <v>48.71</v>
      </c>
      <c r="P94" s="53">
        <f t="shared" si="43"/>
        <v>0.20024665981500514</v>
      </c>
      <c r="Q94" s="52">
        <f t="shared" si="44"/>
        <v>243.25</v>
      </c>
      <c r="R94" s="54">
        <f t="shared" si="45"/>
        <v>2901.5459999999998</v>
      </c>
      <c r="S94" s="52">
        <f t="shared" si="46"/>
        <v>581.02489479958888</v>
      </c>
      <c r="T94" s="48" t="s">
        <v>76</v>
      </c>
      <c r="U94" s="55">
        <v>3250</v>
      </c>
      <c r="V94" s="80">
        <v>490110</v>
      </c>
      <c r="W94" s="89">
        <v>405</v>
      </c>
      <c r="X94" s="90">
        <f t="shared" si="31"/>
        <v>-176.02489479958888</v>
      </c>
      <c r="Y94" s="50"/>
    </row>
    <row r="95" spans="1:25" ht="15" customHeight="1">
      <c r="A95" s="44" t="s">
        <v>242</v>
      </c>
      <c r="B95" s="45" t="s">
        <v>44</v>
      </c>
      <c r="C95" s="45" t="s">
        <v>205</v>
      </c>
      <c r="D95" s="45" t="s">
        <v>222</v>
      </c>
      <c r="E95" s="46" t="s">
        <v>73</v>
      </c>
      <c r="F95" s="47" t="s">
        <v>74</v>
      </c>
      <c r="G95" s="48" t="s">
        <v>24</v>
      </c>
      <c r="H95" s="57" t="s">
        <v>84</v>
      </c>
      <c r="I95" s="48">
        <v>4000011828</v>
      </c>
      <c r="J95" s="52">
        <v>48.71</v>
      </c>
      <c r="K95" s="50"/>
      <c r="L95" s="52">
        <f t="shared" si="40"/>
        <v>48.71</v>
      </c>
      <c r="M95" s="51">
        <v>0</v>
      </c>
      <c r="N95" s="52">
        <f t="shared" si="41"/>
        <v>0</v>
      </c>
      <c r="O95" s="52">
        <f t="shared" si="42"/>
        <v>48.71</v>
      </c>
      <c r="P95" s="53">
        <f t="shared" si="43"/>
        <v>0.20024665981500514</v>
      </c>
      <c r="Q95" s="52">
        <f t="shared" si="44"/>
        <v>243.25</v>
      </c>
      <c r="R95" s="54">
        <f t="shared" si="45"/>
        <v>2901.5459999999998</v>
      </c>
      <c r="S95" s="52">
        <f t="shared" si="46"/>
        <v>581.02489479958888</v>
      </c>
      <c r="T95" s="48" t="s">
        <v>76</v>
      </c>
      <c r="U95" s="55">
        <v>3250</v>
      </c>
      <c r="V95" s="80">
        <v>490110</v>
      </c>
      <c r="W95" s="89">
        <v>410</v>
      </c>
      <c r="X95" s="90">
        <f t="shared" si="31"/>
        <v>-171.02489479958888</v>
      </c>
      <c r="Y95" s="50"/>
    </row>
    <row r="96" spans="1:25" ht="15" customHeight="1">
      <c r="A96" s="44" t="s">
        <v>242</v>
      </c>
      <c r="B96" s="45" t="s">
        <v>44</v>
      </c>
      <c r="C96" s="45" t="s">
        <v>243</v>
      </c>
      <c r="D96" s="45" t="s">
        <v>253</v>
      </c>
      <c r="E96" s="46" t="s">
        <v>73</v>
      </c>
      <c r="F96" s="58" t="s">
        <v>90</v>
      </c>
      <c r="G96" s="48" t="s">
        <v>24</v>
      </c>
      <c r="H96" s="59" t="s">
        <v>75</v>
      </c>
      <c r="I96" s="60">
        <v>7000001009</v>
      </c>
      <c r="J96" s="61">
        <v>189.3</v>
      </c>
      <c r="K96" s="60">
        <v>10</v>
      </c>
      <c r="L96" s="61">
        <f t="shared" si="40"/>
        <v>199.3</v>
      </c>
      <c r="M96" s="62">
        <v>0.18</v>
      </c>
      <c r="N96" s="61">
        <f t="shared" si="41"/>
        <v>35.874000000000002</v>
      </c>
      <c r="O96" s="61">
        <f t="shared" si="42"/>
        <v>235.17400000000001</v>
      </c>
      <c r="P96" s="63">
        <v>0</v>
      </c>
      <c r="Q96" s="61">
        <f>O96</f>
        <v>235.17400000000001</v>
      </c>
      <c r="R96" s="64">
        <f>Q96</f>
        <v>235.17400000000001</v>
      </c>
      <c r="S96" s="61">
        <f>Q96</f>
        <v>235.17400000000001</v>
      </c>
      <c r="T96" s="60" t="s">
        <v>91</v>
      </c>
      <c r="U96" s="55">
        <v>3250</v>
      </c>
      <c r="V96" s="80">
        <v>49119990</v>
      </c>
      <c r="W96" s="50"/>
      <c r="X96" s="90">
        <f t="shared" si="31"/>
        <v>-235.17400000000001</v>
      </c>
      <c r="Y96" s="50"/>
    </row>
    <row r="97" spans="1:25" ht="15" customHeight="1">
      <c r="A97" s="44" t="s">
        <v>242</v>
      </c>
      <c r="B97" s="45" t="s">
        <v>44</v>
      </c>
      <c r="C97" s="45" t="s">
        <v>92</v>
      </c>
      <c r="D97" s="45" t="s">
        <v>93</v>
      </c>
      <c r="E97" s="46" t="s">
        <v>73</v>
      </c>
      <c r="F97" s="81" t="s">
        <v>94</v>
      </c>
      <c r="G97" s="48" t="s">
        <v>24</v>
      </c>
      <c r="H97" s="59" t="s">
        <v>75</v>
      </c>
      <c r="I97" s="60">
        <v>8400007</v>
      </c>
      <c r="J97" s="61">
        <v>96</v>
      </c>
      <c r="K97" s="82"/>
      <c r="L97" s="61">
        <f t="shared" si="40"/>
        <v>96</v>
      </c>
      <c r="M97" s="62">
        <v>0.18</v>
      </c>
      <c r="N97" s="61">
        <f t="shared" si="41"/>
        <v>17.28</v>
      </c>
      <c r="O97" s="61">
        <f t="shared" si="42"/>
        <v>113.28</v>
      </c>
      <c r="P97" s="63">
        <v>0</v>
      </c>
      <c r="Q97" s="61">
        <f>O97</f>
        <v>113.28</v>
      </c>
      <c r="R97" s="64">
        <f>Q97</f>
        <v>113.28</v>
      </c>
      <c r="S97" s="61">
        <f>Q97</f>
        <v>113.28</v>
      </c>
      <c r="T97" s="60" t="s">
        <v>91</v>
      </c>
      <c r="U97" s="55">
        <v>3250</v>
      </c>
      <c r="V97" s="80">
        <v>999299</v>
      </c>
      <c r="W97" s="50"/>
      <c r="X97" s="90">
        <f t="shared" si="31"/>
        <v>-113.28</v>
      </c>
      <c r="Y97" s="50"/>
    </row>
    <row r="98" spans="1:25" ht="15" customHeight="1">
      <c r="A98" s="44" t="s">
        <v>242</v>
      </c>
      <c r="B98" s="32" t="s">
        <v>45</v>
      </c>
      <c r="C98" s="32" t="s">
        <v>198</v>
      </c>
      <c r="D98" s="32" t="s">
        <v>225</v>
      </c>
      <c r="E98" s="33" t="s">
        <v>73</v>
      </c>
      <c r="F98" s="34" t="s">
        <v>74</v>
      </c>
      <c r="G98" s="35" t="s">
        <v>24</v>
      </c>
      <c r="H98" s="36" t="s">
        <v>75</v>
      </c>
      <c r="I98" s="35">
        <v>4000011830</v>
      </c>
      <c r="J98" s="39">
        <v>16.68</v>
      </c>
      <c r="K98" s="83"/>
      <c r="L98" s="84">
        <f t="shared" si="40"/>
        <v>16.68</v>
      </c>
      <c r="M98" s="85">
        <v>0</v>
      </c>
      <c r="N98" s="84">
        <f t="shared" si="41"/>
        <v>0</v>
      </c>
      <c r="O98" s="84">
        <f t="shared" si="42"/>
        <v>16.68</v>
      </c>
      <c r="P98" s="86">
        <f t="shared" ref="P98:P103" si="47">IFERROR(O98/Q98,"")</f>
        <v>8.5376465168654339E-2</v>
      </c>
      <c r="Q98" s="87">
        <f t="shared" ref="Q98:Q103" si="48">SUMIFS(O:O,T:T,T98,B:B,B98,A:A,A98,G:G,G98,E:E,E98)</f>
        <v>195.37</v>
      </c>
      <c r="R98" s="88">
        <f t="shared" ref="R98:R103" si="49">U98-SUMIFS(Q:Q,A:A,A98,B:B,B98,G:G,G98,E:E,E98,T:T,"Fixed Price ( Base Price with GST)")</f>
        <v>3049.75</v>
      </c>
      <c r="S98" s="87">
        <f t="shared" ref="S98:S103" si="50">P98*R98</f>
        <v>260.37687464810358</v>
      </c>
      <c r="T98" s="35" t="s">
        <v>76</v>
      </c>
      <c r="U98" s="42">
        <v>3389</v>
      </c>
      <c r="V98" s="43">
        <v>490110</v>
      </c>
      <c r="W98" s="89">
        <v>120</v>
      </c>
      <c r="X98" s="90">
        <f t="shared" ref="X98:X112" si="51">W98-S98</f>
        <v>-140.37687464810358</v>
      </c>
      <c r="Y98" s="50"/>
    </row>
    <row r="99" spans="1:25" ht="15" customHeight="1">
      <c r="A99" s="44" t="s">
        <v>242</v>
      </c>
      <c r="B99" s="45" t="s">
        <v>45</v>
      </c>
      <c r="C99" s="45" t="s">
        <v>200</v>
      </c>
      <c r="D99" s="45" t="s">
        <v>226</v>
      </c>
      <c r="E99" s="46" t="s">
        <v>73</v>
      </c>
      <c r="F99" s="47" t="s">
        <v>74</v>
      </c>
      <c r="G99" s="48" t="s">
        <v>24</v>
      </c>
      <c r="H99" s="49" t="s">
        <v>75</v>
      </c>
      <c r="I99" s="48">
        <v>4000011831</v>
      </c>
      <c r="J99" s="52">
        <v>14.95</v>
      </c>
      <c r="K99" s="50"/>
      <c r="L99" s="52">
        <f t="shared" si="40"/>
        <v>14.95</v>
      </c>
      <c r="M99" s="51">
        <v>0</v>
      </c>
      <c r="N99" s="52">
        <f t="shared" si="41"/>
        <v>0</v>
      </c>
      <c r="O99" s="52">
        <f t="shared" si="42"/>
        <v>14.95</v>
      </c>
      <c r="P99" s="53">
        <f t="shared" si="47"/>
        <v>7.6521472078620048E-2</v>
      </c>
      <c r="Q99" s="52">
        <f t="shared" si="48"/>
        <v>195.37</v>
      </c>
      <c r="R99" s="54">
        <f t="shared" si="49"/>
        <v>3049.75</v>
      </c>
      <c r="S99" s="52">
        <f t="shared" si="50"/>
        <v>233.37135947177148</v>
      </c>
      <c r="T99" s="48" t="s">
        <v>76</v>
      </c>
      <c r="U99" s="55">
        <v>3389</v>
      </c>
      <c r="V99" s="56">
        <v>490110</v>
      </c>
      <c r="W99" s="89">
        <v>108</v>
      </c>
      <c r="X99" s="90">
        <f t="shared" si="51"/>
        <v>-125.37135947177148</v>
      </c>
      <c r="Y99" s="50"/>
    </row>
    <row r="100" spans="1:25" ht="15" customHeight="1">
      <c r="A100" s="44" t="s">
        <v>242</v>
      </c>
      <c r="B100" s="45" t="s">
        <v>45</v>
      </c>
      <c r="C100" s="45" t="s">
        <v>202</v>
      </c>
      <c r="D100" s="45" t="s">
        <v>227</v>
      </c>
      <c r="E100" s="46" t="s">
        <v>73</v>
      </c>
      <c r="F100" s="47" t="s">
        <v>74</v>
      </c>
      <c r="G100" s="48" t="s">
        <v>24</v>
      </c>
      <c r="H100" s="49" t="s">
        <v>75</v>
      </c>
      <c r="I100" s="48">
        <v>4000011832</v>
      </c>
      <c r="J100" s="52">
        <v>29.82</v>
      </c>
      <c r="K100" s="50"/>
      <c r="L100" s="52">
        <f t="shared" si="40"/>
        <v>29.82</v>
      </c>
      <c r="M100" s="51">
        <v>0</v>
      </c>
      <c r="N100" s="52">
        <f t="shared" si="41"/>
        <v>0</v>
      </c>
      <c r="O100" s="52">
        <f t="shared" si="42"/>
        <v>29.82</v>
      </c>
      <c r="P100" s="53">
        <f t="shared" si="47"/>
        <v>0.15263346470798997</v>
      </c>
      <c r="Q100" s="52">
        <f t="shared" si="48"/>
        <v>195.37</v>
      </c>
      <c r="R100" s="54">
        <f t="shared" si="49"/>
        <v>3049.75</v>
      </c>
      <c r="S100" s="52">
        <f t="shared" si="50"/>
        <v>465.49390899319241</v>
      </c>
      <c r="T100" s="48" t="s">
        <v>76</v>
      </c>
      <c r="U100" s="55">
        <v>3389</v>
      </c>
      <c r="V100" s="56">
        <v>490110</v>
      </c>
      <c r="W100" s="89">
        <v>311</v>
      </c>
      <c r="X100" s="90">
        <f t="shared" si="51"/>
        <v>-154.49390899319241</v>
      </c>
      <c r="Y100" s="50"/>
    </row>
    <row r="101" spans="1:25" ht="15" customHeight="1">
      <c r="A101" s="44" t="s">
        <v>242</v>
      </c>
      <c r="B101" s="45" t="s">
        <v>45</v>
      </c>
      <c r="C101" s="45" t="s">
        <v>205</v>
      </c>
      <c r="D101" s="45" t="s">
        <v>229</v>
      </c>
      <c r="E101" s="46" t="s">
        <v>73</v>
      </c>
      <c r="F101" s="47" t="s">
        <v>74</v>
      </c>
      <c r="G101" s="48" t="s">
        <v>24</v>
      </c>
      <c r="H101" s="49" t="s">
        <v>75</v>
      </c>
      <c r="I101" s="48">
        <v>4000011834</v>
      </c>
      <c r="J101" s="52">
        <v>39.03</v>
      </c>
      <c r="K101" s="50"/>
      <c r="L101" s="52">
        <f t="shared" si="40"/>
        <v>39.03</v>
      </c>
      <c r="M101" s="51">
        <v>0</v>
      </c>
      <c r="N101" s="52">
        <f t="shared" si="41"/>
        <v>0</v>
      </c>
      <c r="O101" s="52">
        <f t="shared" si="42"/>
        <v>39.03</v>
      </c>
      <c r="P101" s="53">
        <f t="shared" si="47"/>
        <v>0.19977478630291243</v>
      </c>
      <c r="Q101" s="52">
        <f t="shared" si="48"/>
        <v>195.37</v>
      </c>
      <c r="R101" s="54">
        <f t="shared" si="49"/>
        <v>3049.75</v>
      </c>
      <c r="S101" s="52">
        <f t="shared" si="50"/>
        <v>609.26315452730717</v>
      </c>
      <c r="T101" s="48" t="s">
        <v>76</v>
      </c>
      <c r="U101" s="55">
        <v>3389</v>
      </c>
      <c r="V101" s="56">
        <v>490110</v>
      </c>
      <c r="W101" s="89">
        <v>430</v>
      </c>
      <c r="X101" s="90">
        <f t="shared" si="51"/>
        <v>-179.26315452730717</v>
      </c>
      <c r="Y101" s="50"/>
    </row>
    <row r="102" spans="1:25" ht="15" customHeight="1">
      <c r="A102" s="44" t="s">
        <v>242</v>
      </c>
      <c r="B102" s="45" t="s">
        <v>45</v>
      </c>
      <c r="C102" s="45" t="s">
        <v>202</v>
      </c>
      <c r="D102" s="45" t="s">
        <v>231</v>
      </c>
      <c r="E102" s="46" t="s">
        <v>73</v>
      </c>
      <c r="F102" s="47" t="s">
        <v>74</v>
      </c>
      <c r="G102" s="48" t="s">
        <v>24</v>
      </c>
      <c r="H102" s="57" t="s">
        <v>84</v>
      </c>
      <c r="I102" s="48">
        <v>4000011836</v>
      </c>
      <c r="J102" s="52">
        <v>36.79</v>
      </c>
      <c r="K102" s="50"/>
      <c r="L102" s="52">
        <f t="shared" si="40"/>
        <v>36.79</v>
      </c>
      <c r="M102" s="51">
        <v>0</v>
      </c>
      <c r="N102" s="52">
        <f t="shared" si="41"/>
        <v>0</v>
      </c>
      <c r="O102" s="52">
        <f t="shared" si="42"/>
        <v>36.79</v>
      </c>
      <c r="P102" s="53">
        <f t="shared" si="47"/>
        <v>0.18830936172390847</v>
      </c>
      <c r="Q102" s="52">
        <f t="shared" si="48"/>
        <v>195.37</v>
      </c>
      <c r="R102" s="54">
        <f t="shared" si="49"/>
        <v>3049.75</v>
      </c>
      <c r="S102" s="52">
        <f t="shared" si="50"/>
        <v>574.29647591748983</v>
      </c>
      <c r="T102" s="48" t="s">
        <v>76</v>
      </c>
      <c r="U102" s="55">
        <v>3389</v>
      </c>
      <c r="V102" s="56">
        <v>490110</v>
      </c>
      <c r="W102" s="89">
        <v>385</v>
      </c>
      <c r="X102" s="90">
        <f t="shared" si="51"/>
        <v>-189.29647591748983</v>
      </c>
      <c r="Y102" s="50"/>
    </row>
    <row r="103" spans="1:25" ht="15" customHeight="1">
      <c r="A103" s="44" t="s">
        <v>242</v>
      </c>
      <c r="B103" s="45" t="s">
        <v>45</v>
      </c>
      <c r="C103" s="45" t="s">
        <v>205</v>
      </c>
      <c r="D103" s="45" t="s">
        <v>233</v>
      </c>
      <c r="E103" s="46" t="s">
        <v>73</v>
      </c>
      <c r="F103" s="47" t="s">
        <v>74</v>
      </c>
      <c r="G103" s="48" t="s">
        <v>24</v>
      </c>
      <c r="H103" s="57" t="s">
        <v>84</v>
      </c>
      <c r="I103" s="48">
        <v>4000011839</v>
      </c>
      <c r="J103" s="52">
        <v>58.1</v>
      </c>
      <c r="K103" s="50"/>
      <c r="L103" s="52">
        <f t="shared" si="40"/>
        <v>58.1</v>
      </c>
      <c r="M103" s="51">
        <v>0</v>
      </c>
      <c r="N103" s="52">
        <f t="shared" si="41"/>
        <v>0</v>
      </c>
      <c r="O103" s="52">
        <f t="shared" si="42"/>
        <v>58.1</v>
      </c>
      <c r="P103" s="53">
        <f t="shared" si="47"/>
        <v>0.29738445001791475</v>
      </c>
      <c r="Q103" s="52">
        <f t="shared" si="48"/>
        <v>195.37</v>
      </c>
      <c r="R103" s="54">
        <f t="shared" si="49"/>
        <v>3049.75</v>
      </c>
      <c r="S103" s="52">
        <f t="shared" si="50"/>
        <v>906.94822644213548</v>
      </c>
      <c r="T103" s="48" t="s">
        <v>76</v>
      </c>
      <c r="U103" s="55">
        <v>3389</v>
      </c>
      <c r="V103" s="56">
        <v>490110</v>
      </c>
      <c r="W103" s="89">
        <v>535</v>
      </c>
      <c r="X103" s="90">
        <f t="shared" si="51"/>
        <v>-371.94822644213548</v>
      </c>
      <c r="Y103" s="50"/>
    </row>
    <row r="104" spans="1:25" ht="15" customHeight="1">
      <c r="A104" s="44" t="s">
        <v>242</v>
      </c>
      <c r="B104" s="45" t="s">
        <v>45</v>
      </c>
      <c r="C104" s="45" t="s">
        <v>243</v>
      </c>
      <c r="D104" s="45" t="s">
        <v>254</v>
      </c>
      <c r="E104" s="46" t="s">
        <v>73</v>
      </c>
      <c r="F104" s="58" t="s">
        <v>90</v>
      </c>
      <c r="G104" s="48" t="s">
        <v>24</v>
      </c>
      <c r="H104" s="59" t="s">
        <v>75</v>
      </c>
      <c r="I104" s="60">
        <v>7000001011</v>
      </c>
      <c r="J104" s="61">
        <v>181.5</v>
      </c>
      <c r="K104" s="60">
        <v>10</v>
      </c>
      <c r="L104" s="61">
        <f t="shared" si="40"/>
        <v>191.5</v>
      </c>
      <c r="M104" s="62">
        <v>0.18</v>
      </c>
      <c r="N104" s="61">
        <f t="shared" si="41"/>
        <v>34.47</v>
      </c>
      <c r="O104" s="61">
        <f t="shared" si="42"/>
        <v>225.97</v>
      </c>
      <c r="P104" s="63">
        <v>0</v>
      </c>
      <c r="Q104" s="61">
        <f>O104</f>
        <v>225.97</v>
      </c>
      <c r="R104" s="64">
        <f>Q104</f>
        <v>225.97</v>
      </c>
      <c r="S104" s="61">
        <f>Q104</f>
        <v>225.97</v>
      </c>
      <c r="T104" s="60" t="s">
        <v>91</v>
      </c>
      <c r="U104" s="55">
        <v>3389</v>
      </c>
      <c r="V104" s="56">
        <v>49119990</v>
      </c>
      <c r="W104" s="50"/>
      <c r="X104" s="90">
        <f t="shared" si="51"/>
        <v>-225.97</v>
      </c>
      <c r="Y104" s="50"/>
    </row>
    <row r="105" spans="1:25" ht="15" customHeight="1">
      <c r="A105" s="44" t="s">
        <v>242</v>
      </c>
      <c r="B105" s="66" t="s">
        <v>45</v>
      </c>
      <c r="C105" s="66" t="s">
        <v>92</v>
      </c>
      <c r="D105" s="66" t="s">
        <v>93</v>
      </c>
      <c r="E105" s="67" t="s">
        <v>73</v>
      </c>
      <c r="F105" s="68" t="s">
        <v>94</v>
      </c>
      <c r="G105" s="69" t="s">
        <v>24</v>
      </c>
      <c r="H105" s="70" t="s">
        <v>75</v>
      </c>
      <c r="I105" s="71">
        <v>8400007</v>
      </c>
      <c r="J105" s="72">
        <v>96</v>
      </c>
      <c r="K105" s="73"/>
      <c r="L105" s="72">
        <f t="shared" si="40"/>
        <v>96</v>
      </c>
      <c r="M105" s="74">
        <v>0.18</v>
      </c>
      <c r="N105" s="72">
        <f t="shared" si="41"/>
        <v>17.28</v>
      </c>
      <c r="O105" s="72">
        <f t="shared" si="42"/>
        <v>113.28</v>
      </c>
      <c r="P105" s="75">
        <v>0</v>
      </c>
      <c r="Q105" s="72">
        <f>O105</f>
        <v>113.28</v>
      </c>
      <c r="R105" s="76">
        <f>Q105</f>
        <v>113.28</v>
      </c>
      <c r="S105" s="72">
        <f>Q105</f>
        <v>113.28</v>
      </c>
      <c r="T105" s="71" t="s">
        <v>91</v>
      </c>
      <c r="U105" s="55">
        <v>3389</v>
      </c>
      <c r="V105" s="78">
        <v>999299</v>
      </c>
      <c r="W105" s="50"/>
      <c r="X105" s="90">
        <f t="shared" si="51"/>
        <v>-113.28</v>
      </c>
      <c r="Y105" s="50"/>
    </row>
    <row r="106" spans="1:25" ht="15" customHeight="1">
      <c r="A106" s="44" t="s">
        <v>242</v>
      </c>
      <c r="B106" s="32" t="s">
        <v>46</v>
      </c>
      <c r="C106" s="32" t="s">
        <v>200</v>
      </c>
      <c r="D106" s="32" t="s">
        <v>236</v>
      </c>
      <c r="E106" s="33" t="s">
        <v>73</v>
      </c>
      <c r="F106" s="34" t="s">
        <v>74</v>
      </c>
      <c r="G106" s="35" t="s">
        <v>24</v>
      </c>
      <c r="H106" s="36" t="s">
        <v>75</v>
      </c>
      <c r="I106" s="35">
        <v>4000011841</v>
      </c>
      <c r="J106" s="39">
        <v>31.85</v>
      </c>
      <c r="K106" s="37"/>
      <c r="L106" s="39">
        <f t="shared" si="40"/>
        <v>31.85</v>
      </c>
      <c r="M106" s="38">
        <v>0</v>
      </c>
      <c r="N106" s="39">
        <f t="shared" si="41"/>
        <v>0</v>
      </c>
      <c r="O106" s="39">
        <f t="shared" si="42"/>
        <v>31.85</v>
      </c>
      <c r="P106" s="40">
        <f>IFERROR(O106/Q106,"")</f>
        <v>9.7159940209267562E-2</v>
      </c>
      <c r="Q106" s="39">
        <f>SUMIFS(O:O,T:T,T106,B:B,B106,A:A,A106,G:G,G106,E:E,E106)</f>
        <v>327.81</v>
      </c>
      <c r="R106" s="41">
        <f>U106-SUMIFS(Q:Q,A:A,A106,B:B,B106,G:G,G106,E:E,E106,T:T,"Fixed Price ( Base Price with GST)")</f>
        <v>2970.2179999999998</v>
      </c>
      <c r="S106" s="39">
        <f>P106*R106</f>
        <v>288.58620328849025</v>
      </c>
      <c r="T106" s="35" t="s">
        <v>76</v>
      </c>
      <c r="U106" s="42">
        <v>3389</v>
      </c>
      <c r="V106" s="43">
        <v>490110</v>
      </c>
      <c r="W106" s="89">
        <v>209</v>
      </c>
      <c r="X106" s="90">
        <f t="shared" si="51"/>
        <v>-79.586203288490253</v>
      </c>
      <c r="Y106" s="50"/>
    </row>
    <row r="107" spans="1:25" ht="15" customHeight="1">
      <c r="A107" s="44" t="s">
        <v>242</v>
      </c>
      <c r="B107" s="45" t="s">
        <v>46</v>
      </c>
      <c r="C107" s="45" t="s">
        <v>202</v>
      </c>
      <c r="D107" s="45" t="s">
        <v>237</v>
      </c>
      <c r="E107" s="46" t="s">
        <v>73</v>
      </c>
      <c r="F107" s="47" t="s">
        <v>74</v>
      </c>
      <c r="G107" s="48" t="s">
        <v>24</v>
      </c>
      <c r="H107" s="49" t="s">
        <v>75</v>
      </c>
      <c r="I107" s="48">
        <v>4000011842</v>
      </c>
      <c r="J107" s="52">
        <v>59.62</v>
      </c>
      <c r="K107" s="50"/>
      <c r="L107" s="52">
        <f t="shared" si="40"/>
        <v>59.62</v>
      </c>
      <c r="M107" s="51">
        <v>0</v>
      </c>
      <c r="N107" s="52">
        <f t="shared" si="41"/>
        <v>0</v>
      </c>
      <c r="O107" s="52">
        <f t="shared" si="42"/>
        <v>59.62</v>
      </c>
      <c r="P107" s="53">
        <f>IFERROR(O107/Q107,"")</f>
        <v>0.18187364631951433</v>
      </c>
      <c r="Q107" s="52">
        <f>SUMIFS(O:O,T:T,T107,B:B,B107,A:A,A107,G:G,G107,E:E,E107)</f>
        <v>327.81</v>
      </c>
      <c r="R107" s="54">
        <f>U107-SUMIFS(Q:Q,A:A,A107,B:B,B107,G:G,G107,E:E,E107,T:T,"Fixed Price ( Base Price with GST)")</f>
        <v>2970.2179999999998</v>
      </c>
      <c r="S107" s="52">
        <f>P107*R107</f>
        <v>540.20437802385516</v>
      </c>
      <c r="T107" s="48" t="s">
        <v>76</v>
      </c>
      <c r="U107" s="55">
        <v>3389</v>
      </c>
      <c r="V107" s="56">
        <v>490110</v>
      </c>
      <c r="W107" s="89">
        <v>495</v>
      </c>
      <c r="X107" s="90">
        <f t="shared" si="51"/>
        <v>-45.204378023855156</v>
      </c>
      <c r="Y107" s="50"/>
    </row>
    <row r="108" spans="1:25" ht="15" customHeight="1">
      <c r="A108" s="44" t="s">
        <v>242</v>
      </c>
      <c r="B108" s="45" t="s">
        <v>46</v>
      </c>
      <c r="C108" s="45" t="s">
        <v>205</v>
      </c>
      <c r="D108" s="45" t="s">
        <v>238</v>
      </c>
      <c r="E108" s="46" t="s">
        <v>73</v>
      </c>
      <c r="F108" s="47" t="s">
        <v>74</v>
      </c>
      <c r="G108" s="48" t="s">
        <v>24</v>
      </c>
      <c r="H108" s="49" t="s">
        <v>75</v>
      </c>
      <c r="I108" s="48">
        <v>4000011843</v>
      </c>
      <c r="J108" s="52">
        <v>83.8</v>
      </c>
      <c r="K108" s="50"/>
      <c r="L108" s="52">
        <f t="shared" si="40"/>
        <v>83.8</v>
      </c>
      <c r="M108" s="51">
        <v>0</v>
      </c>
      <c r="N108" s="52">
        <f t="shared" si="41"/>
        <v>0</v>
      </c>
      <c r="O108" s="52">
        <f t="shared" si="42"/>
        <v>83.8</v>
      </c>
      <c r="P108" s="53">
        <f>IFERROR(O108/Q108,"")</f>
        <v>0.25563588664165215</v>
      </c>
      <c r="Q108" s="52">
        <f>SUMIFS(O:O,T:T,T108,B:B,B108,A:A,A108,G:G,G108,E:E,E108)</f>
        <v>327.81</v>
      </c>
      <c r="R108" s="54">
        <f>U108-SUMIFS(Q:Q,A:A,A108,B:B,B108,G:G,G108,E:E,E108,T:T,"Fixed Price ( Base Price with GST)")</f>
        <v>2970.2179999999998</v>
      </c>
      <c r="S108" s="52">
        <f>P108*R108</f>
        <v>759.29431194899473</v>
      </c>
      <c r="T108" s="48" t="s">
        <v>76</v>
      </c>
      <c r="U108" s="55">
        <v>3389</v>
      </c>
      <c r="V108" s="56">
        <v>490110</v>
      </c>
      <c r="W108" s="89">
        <v>570</v>
      </c>
      <c r="X108" s="90">
        <f t="shared" si="51"/>
        <v>-189.29431194899473</v>
      </c>
      <c r="Y108" s="50"/>
    </row>
    <row r="109" spans="1:25" ht="15" customHeight="1">
      <c r="A109" s="44" t="s">
        <v>242</v>
      </c>
      <c r="B109" s="45" t="s">
        <v>46</v>
      </c>
      <c r="C109" s="45" t="s">
        <v>202</v>
      </c>
      <c r="D109" s="45" t="s">
        <v>239</v>
      </c>
      <c r="E109" s="46" t="s">
        <v>73</v>
      </c>
      <c r="F109" s="47" t="s">
        <v>74</v>
      </c>
      <c r="G109" s="48" t="s">
        <v>24</v>
      </c>
      <c r="H109" s="57" t="s">
        <v>84</v>
      </c>
      <c r="I109" s="48">
        <v>4000011844</v>
      </c>
      <c r="J109" s="52">
        <v>59.62</v>
      </c>
      <c r="K109" s="50"/>
      <c r="L109" s="52">
        <f t="shared" si="40"/>
        <v>59.62</v>
      </c>
      <c r="M109" s="51">
        <v>0</v>
      </c>
      <c r="N109" s="52">
        <f t="shared" si="41"/>
        <v>0</v>
      </c>
      <c r="O109" s="52">
        <f t="shared" si="42"/>
        <v>59.62</v>
      </c>
      <c r="P109" s="53">
        <f>IFERROR(O109/Q109,"")</f>
        <v>0.18187364631951433</v>
      </c>
      <c r="Q109" s="52">
        <f>SUMIFS(O:O,T:T,T109,B:B,B109,A:A,A109,G:G,G109,E:E,E109)</f>
        <v>327.81</v>
      </c>
      <c r="R109" s="54">
        <f>U109-SUMIFS(Q:Q,A:A,A109,B:B,B109,G:G,G109,E:E,E109,T:T,"Fixed Price ( Base Price with GST)")</f>
        <v>2970.2179999999998</v>
      </c>
      <c r="S109" s="52">
        <f>P109*R109</f>
        <v>540.20437802385516</v>
      </c>
      <c r="T109" s="48" t="s">
        <v>76</v>
      </c>
      <c r="U109" s="55">
        <v>3389</v>
      </c>
      <c r="V109" s="56">
        <v>490110</v>
      </c>
      <c r="W109" s="89">
        <v>505</v>
      </c>
      <c r="X109" s="90">
        <f t="shared" si="51"/>
        <v>-35.204378023855156</v>
      </c>
      <c r="Y109" s="50"/>
    </row>
    <row r="110" spans="1:25" ht="15" customHeight="1">
      <c r="A110" s="44" t="s">
        <v>242</v>
      </c>
      <c r="B110" s="45" t="s">
        <v>46</v>
      </c>
      <c r="C110" s="45" t="s">
        <v>205</v>
      </c>
      <c r="D110" s="45" t="s">
        <v>240</v>
      </c>
      <c r="E110" s="46" t="s">
        <v>73</v>
      </c>
      <c r="F110" s="47" t="s">
        <v>74</v>
      </c>
      <c r="G110" s="48" t="s">
        <v>24</v>
      </c>
      <c r="H110" s="57" t="s">
        <v>84</v>
      </c>
      <c r="I110" s="48">
        <v>4000011845</v>
      </c>
      <c r="J110" s="52">
        <v>92.92</v>
      </c>
      <c r="K110" s="50"/>
      <c r="L110" s="52">
        <f t="shared" si="40"/>
        <v>92.92</v>
      </c>
      <c r="M110" s="51">
        <v>0</v>
      </c>
      <c r="N110" s="52">
        <f t="shared" si="41"/>
        <v>0</v>
      </c>
      <c r="O110" s="52">
        <f t="shared" si="42"/>
        <v>92.92</v>
      </c>
      <c r="P110" s="53">
        <f>IFERROR(O110/Q110,"")</f>
        <v>0.28345688051005158</v>
      </c>
      <c r="Q110" s="52">
        <f>SUMIFS(O:O,T:T,T110,B:B,B110,A:A,A110,G:G,G110,E:E,E110)</f>
        <v>327.81</v>
      </c>
      <c r="R110" s="54">
        <f>U110-SUMIFS(Q:Q,A:A,A110,B:B,B110,G:G,G110,E:E,E110,T:T,"Fixed Price ( Base Price with GST)")</f>
        <v>2970.2179999999998</v>
      </c>
      <c r="S110" s="52">
        <f>P110*R110</f>
        <v>841.92872871480438</v>
      </c>
      <c r="T110" s="48" t="s">
        <v>76</v>
      </c>
      <c r="U110" s="55">
        <v>3389</v>
      </c>
      <c r="V110" s="56">
        <v>490110</v>
      </c>
      <c r="W110" s="89">
        <v>620</v>
      </c>
      <c r="X110" s="90">
        <f t="shared" si="51"/>
        <v>-221.92872871480438</v>
      </c>
      <c r="Y110" s="50"/>
    </row>
    <row r="111" spans="1:25" ht="15" customHeight="1">
      <c r="A111" s="44" t="s">
        <v>242</v>
      </c>
      <c r="B111" s="45" t="s">
        <v>46</v>
      </c>
      <c r="C111" s="45" t="s">
        <v>243</v>
      </c>
      <c r="D111" s="45" t="s">
        <v>255</v>
      </c>
      <c r="E111" s="46" t="s">
        <v>73</v>
      </c>
      <c r="F111" s="58" t="s">
        <v>90</v>
      </c>
      <c r="G111" s="48" t="s">
        <v>24</v>
      </c>
      <c r="H111" s="59" t="s">
        <v>75</v>
      </c>
      <c r="I111" s="60">
        <v>7000001012</v>
      </c>
      <c r="J111" s="61">
        <v>248.9</v>
      </c>
      <c r="K111" s="60">
        <v>10</v>
      </c>
      <c r="L111" s="61">
        <f t="shared" si="40"/>
        <v>258.89999999999998</v>
      </c>
      <c r="M111" s="62">
        <v>0.18</v>
      </c>
      <c r="N111" s="61">
        <f t="shared" si="41"/>
        <v>46.601999999999997</v>
      </c>
      <c r="O111" s="61">
        <f t="shared" si="42"/>
        <v>305.50199999999995</v>
      </c>
      <c r="P111" s="63">
        <v>0</v>
      </c>
      <c r="Q111" s="61">
        <f>O111</f>
        <v>305.50199999999995</v>
      </c>
      <c r="R111" s="64">
        <f>Q111</f>
        <v>305.50199999999995</v>
      </c>
      <c r="S111" s="61">
        <f>Q111</f>
        <v>305.50199999999995</v>
      </c>
      <c r="T111" s="60" t="s">
        <v>91</v>
      </c>
      <c r="U111" s="55">
        <v>3389</v>
      </c>
      <c r="V111" s="56">
        <v>49119990</v>
      </c>
      <c r="W111" s="50"/>
      <c r="X111" s="90">
        <f t="shared" si="51"/>
        <v>-305.50199999999995</v>
      </c>
      <c r="Y111" s="50"/>
    </row>
    <row r="112" spans="1:25" ht="15" customHeight="1">
      <c r="A112" s="44" t="s">
        <v>242</v>
      </c>
      <c r="B112" s="66" t="s">
        <v>46</v>
      </c>
      <c r="C112" s="66" t="s">
        <v>92</v>
      </c>
      <c r="D112" s="66" t="s">
        <v>93</v>
      </c>
      <c r="E112" s="67" t="s">
        <v>73</v>
      </c>
      <c r="F112" s="68" t="s">
        <v>94</v>
      </c>
      <c r="G112" s="69" t="s">
        <v>24</v>
      </c>
      <c r="H112" s="70" t="s">
        <v>75</v>
      </c>
      <c r="I112" s="71">
        <v>8400007</v>
      </c>
      <c r="J112" s="72">
        <v>96</v>
      </c>
      <c r="K112" s="73"/>
      <c r="L112" s="72">
        <f t="shared" si="40"/>
        <v>96</v>
      </c>
      <c r="M112" s="74">
        <v>0.18</v>
      </c>
      <c r="N112" s="72">
        <f t="shared" si="41"/>
        <v>17.28</v>
      </c>
      <c r="O112" s="72">
        <f t="shared" si="42"/>
        <v>113.28</v>
      </c>
      <c r="P112" s="75">
        <v>0</v>
      </c>
      <c r="Q112" s="72">
        <f>O112</f>
        <v>113.28</v>
      </c>
      <c r="R112" s="76">
        <f>Q112</f>
        <v>113.28</v>
      </c>
      <c r="S112" s="72">
        <f>Q112</f>
        <v>113.28</v>
      </c>
      <c r="T112" s="71" t="s">
        <v>91</v>
      </c>
      <c r="U112" s="77">
        <v>3389</v>
      </c>
      <c r="V112" s="78">
        <v>999299</v>
      </c>
      <c r="W112" s="50"/>
      <c r="X112" s="90">
        <f t="shared" si="51"/>
        <v>-113.28</v>
      </c>
      <c r="Y112" s="5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62"/>
  <sheetViews>
    <sheetView showGridLines="0" workbookViewId="0"/>
  </sheetViews>
  <sheetFormatPr baseColWidth="10" defaultColWidth="8.6640625" defaultRowHeight="15"/>
  <cols>
    <col min="1" max="1" width="15.83203125" customWidth="1"/>
    <col min="2" max="2" width="8.1640625" customWidth="1"/>
    <col min="3" max="3" width="11" customWidth="1"/>
    <col min="4" max="4" width="31" customWidth="1"/>
    <col min="5" max="5" width="4.33203125" customWidth="1"/>
    <col min="6" max="6" width="12.5" customWidth="1"/>
    <col min="7" max="7" width="7.5" customWidth="1"/>
    <col min="8" max="8" width="5.33203125" customWidth="1"/>
    <col min="9" max="9" width="9.6640625" customWidth="1"/>
    <col min="10" max="10" width="5.1640625" customWidth="1"/>
    <col min="11" max="11" width="9.6640625" customWidth="1"/>
    <col min="12" max="12" width="8.83203125" customWidth="1"/>
    <col min="13" max="13" width="5.33203125" customWidth="1"/>
    <col min="14" max="14" width="7.6640625" customWidth="1"/>
    <col min="15" max="15" width="11.1640625" customWidth="1"/>
    <col min="16" max="16" width="5.83203125" customWidth="1"/>
    <col min="17" max="17" width="9.1640625" customWidth="1"/>
    <col min="18" max="18" width="9" customWidth="1"/>
    <col min="19" max="19" width="6.6640625" customWidth="1"/>
    <col min="20" max="20" width="23.1640625" customWidth="1"/>
    <col min="21" max="21" width="9.1640625" customWidth="1"/>
    <col min="22" max="22" width="7.6640625" customWidth="1"/>
  </cols>
  <sheetData>
    <row r="1" spans="1:22" ht="45.75" customHeight="1">
      <c r="A1" s="18" t="s">
        <v>49</v>
      </c>
      <c r="B1" s="18" t="s">
        <v>50</v>
      </c>
      <c r="C1" s="18" t="s">
        <v>51</v>
      </c>
      <c r="D1" s="19" t="s">
        <v>52</v>
      </c>
      <c r="E1" s="20" t="s">
        <v>53</v>
      </c>
      <c r="F1" s="18" t="s">
        <v>54</v>
      </c>
      <c r="G1" s="18" t="s">
        <v>55</v>
      </c>
      <c r="H1" s="18" t="s">
        <v>56</v>
      </c>
      <c r="I1" s="18" t="s">
        <v>57</v>
      </c>
      <c r="J1" s="21" t="s">
        <v>58</v>
      </c>
      <c r="K1" s="22" t="s">
        <v>59</v>
      </c>
      <c r="L1" s="23" t="s">
        <v>60</v>
      </c>
      <c r="M1" s="22" t="s">
        <v>61</v>
      </c>
      <c r="N1" s="24" t="s">
        <v>62</v>
      </c>
      <c r="O1" s="25" t="s">
        <v>63</v>
      </c>
      <c r="P1" s="26" t="s">
        <v>64</v>
      </c>
      <c r="Q1" s="27" t="s">
        <v>65</v>
      </c>
      <c r="R1" s="28" t="s">
        <v>66</v>
      </c>
      <c r="S1" s="29" t="s">
        <v>67</v>
      </c>
      <c r="T1" s="22" t="s">
        <v>68</v>
      </c>
      <c r="U1" s="30" t="s">
        <v>69</v>
      </c>
      <c r="V1" s="22" t="s">
        <v>469</v>
      </c>
    </row>
    <row r="2" spans="1:22" ht="15" customHeight="1">
      <c r="A2" s="31" t="s">
        <v>256</v>
      </c>
      <c r="B2" s="32" t="s">
        <v>35</v>
      </c>
      <c r="C2" s="32" t="s">
        <v>71</v>
      </c>
      <c r="D2" s="32" t="s">
        <v>72</v>
      </c>
      <c r="E2" s="33" t="s">
        <v>73</v>
      </c>
      <c r="F2" s="34" t="s">
        <v>74</v>
      </c>
      <c r="G2" s="35" t="s">
        <v>24</v>
      </c>
      <c r="H2" s="36" t="s">
        <v>75</v>
      </c>
      <c r="I2" s="35">
        <v>4000011860</v>
      </c>
      <c r="J2" s="35">
        <v>44.16</v>
      </c>
      <c r="K2" s="37"/>
      <c r="L2" s="35">
        <f t="shared" ref="L2:L33" si="0">J2+K2</f>
        <v>44.16</v>
      </c>
      <c r="M2" s="38">
        <v>0</v>
      </c>
      <c r="N2" s="39">
        <f t="shared" ref="N2:N33" si="1">M2*L2</f>
        <v>0</v>
      </c>
      <c r="O2" s="39">
        <f t="shared" ref="O2:O33" si="2">L2+N2</f>
        <v>44.16</v>
      </c>
      <c r="P2" s="40">
        <f t="shared" ref="P2:P10" si="3">IFERROR(O2/Q2,"")</f>
        <v>0.13933676206102294</v>
      </c>
      <c r="Q2" s="39">
        <f t="shared" ref="Q2:Q10" si="4">SUMIFS(O:O,T:T,T2,B:B,B2,A:A,A2,G:G,G2,E:E,E2)</f>
        <v>316.92999999999995</v>
      </c>
      <c r="R2" s="41">
        <f t="shared" ref="R2:R10" si="5">U2-SUMIFS(Q:Q,A:A,A2,B:B,B2,G:G,G2,E:E,E2,T:T,"Fixed Price ( Base Price with GST)")</f>
        <v>4248.1319999999996</v>
      </c>
      <c r="S2" s="39">
        <f t="shared" ref="S2:S10" si="6">P2*R2</f>
        <v>591.92095768781746</v>
      </c>
      <c r="T2" s="35" t="s">
        <v>76</v>
      </c>
      <c r="U2" s="42">
        <v>4499</v>
      </c>
      <c r="V2" s="43">
        <v>490110</v>
      </c>
    </row>
    <row r="3" spans="1:22" ht="15" customHeight="1">
      <c r="A3" s="44" t="s">
        <v>256</v>
      </c>
      <c r="B3" s="45" t="s">
        <v>35</v>
      </c>
      <c r="C3" s="45" t="s">
        <v>71</v>
      </c>
      <c r="D3" s="45" t="s">
        <v>77</v>
      </c>
      <c r="E3" s="46" t="s">
        <v>73</v>
      </c>
      <c r="F3" s="47" t="s">
        <v>74</v>
      </c>
      <c r="G3" s="48" t="s">
        <v>24</v>
      </c>
      <c r="H3" s="49" t="s">
        <v>75</v>
      </c>
      <c r="I3" s="48">
        <v>4000011852</v>
      </c>
      <c r="J3" s="48">
        <v>20.94</v>
      </c>
      <c r="K3" s="50"/>
      <c r="L3" s="48">
        <f t="shared" si="0"/>
        <v>20.94</v>
      </c>
      <c r="M3" s="51">
        <v>0</v>
      </c>
      <c r="N3" s="52">
        <f t="shared" si="1"/>
        <v>0</v>
      </c>
      <c r="O3" s="52">
        <f t="shared" si="2"/>
        <v>20.94</v>
      </c>
      <c r="P3" s="53">
        <f t="shared" si="3"/>
        <v>6.6071372227305733E-2</v>
      </c>
      <c r="Q3" s="52">
        <f t="shared" si="4"/>
        <v>316.92999999999995</v>
      </c>
      <c r="R3" s="54">
        <f t="shared" si="5"/>
        <v>4248.1319999999996</v>
      </c>
      <c r="S3" s="52">
        <f t="shared" si="6"/>
        <v>280.67991064272871</v>
      </c>
      <c r="T3" s="48" t="s">
        <v>76</v>
      </c>
      <c r="U3" s="55">
        <v>4499</v>
      </c>
      <c r="V3" s="56">
        <v>490110</v>
      </c>
    </row>
    <row r="4" spans="1:22" ht="15" customHeight="1">
      <c r="A4" s="44" t="s">
        <v>256</v>
      </c>
      <c r="B4" s="45" t="s">
        <v>35</v>
      </c>
      <c r="C4" s="45" t="s">
        <v>78</v>
      </c>
      <c r="D4" s="45" t="s">
        <v>79</v>
      </c>
      <c r="E4" s="46" t="s">
        <v>73</v>
      </c>
      <c r="F4" s="47" t="s">
        <v>74</v>
      </c>
      <c r="G4" s="48" t="s">
        <v>24</v>
      </c>
      <c r="H4" s="49" t="s">
        <v>75</v>
      </c>
      <c r="I4" s="48">
        <v>4000011794</v>
      </c>
      <c r="J4" s="48">
        <v>19.559999999999999</v>
      </c>
      <c r="K4" s="50"/>
      <c r="L4" s="48">
        <f t="shared" si="0"/>
        <v>19.559999999999999</v>
      </c>
      <c r="M4" s="51">
        <v>0</v>
      </c>
      <c r="N4" s="52">
        <f t="shared" si="1"/>
        <v>0</v>
      </c>
      <c r="O4" s="52">
        <f t="shared" si="2"/>
        <v>19.559999999999999</v>
      </c>
      <c r="P4" s="53">
        <f t="shared" si="3"/>
        <v>6.1717098412898755E-2</v>
      </c>
      <c r="Q4" s="52">
        <f t="shared" si="4"/>
        <v>316.92999999999995</v>
      </c>
      <c r="R4" s="54">
        <f t="shared" si="5"/>
        <v>4248.1319999999996</v>
      </c>
      <c r="S4" s="52">
        <f t="shared" si="6"/>
        <v>262.18238071498439</v>
      </c>
      <c r="T4" s="48" t="s">
        <v>76</v>
      </c>
      <c r="U4" s="55">
        <v>4499</v>
      </c>
      <c r="V4" s="56">
        <v>490110</v>
      </c>
    </row>
    <row r="5" spans="1:22" ht="15" customHeight="1">
      <c r="A5" s="44" t="s">
        <v>256</v>
      </c>
      <c r="B5" s="45" t="s">
        <v>35</v>
      </c>
      <c r="C5" s="45" t="s">
        <v>78</v>
      </c>
      <c r="D5" s="45" t="s">
        <v>80</v>
      </c>
      <c r="E5" s="46" t="s">
        <v>73</v>
      </c>
      <c r="F5" s="47" t="s">
        <v>81</v>
      </c>
      <c r="G5" s="48" t="s">
        <v>24</v>
      </c>
      <c r="H5" s="49" t="s">
        <v>75</v>
      </c>
      <c r="I5" s="48">
        <v>4000011783</v>
      </c>
      <c r="J5" s="48">
        <v>60.15</v>
      </c>
      <c r="K5" s="50"/>
      <c r="L5" s="48">
        <f t="shared" si="0"/>
        <v>60.15</v>
      </c>
      <c r="M5" s="51">
        <v>0</v>
      </c>
      <c r="N5" s="52">
        <f t="shared" si="1"/>
        <v>0</v>
      </c>
      <c r="O5" s="52">
        <f t="shared" si="2"/>
        <v>60.15</v>
      </c>
      <c r="P5" s="53">
        <f t="shared" si="3"/>
        <v>0.1897895434323037</v>
      </c>
      <c r="Q5" s="52">
        <f t="shared" si="4"/>
        <v>316.92999999999995</v>
      </c>
      <c r="R5" s="54">
        <f t="shared" si="5"/>
        <v>4248.1319999999996</v>
      </c>
      <c r="S5" s="52">
        <f t="shared" si="6"/>
        <v>806.25103272015906</v>
      </c>
      <c r="T5" s="48" t="s">
        <v>76</v>
      </c>
      <c r="U5" s="55">
        <v>4499</v>
      </c>
      <c r="V5" s="56">
        <v>490110</v>
      </c>
    </row>
    <row r="6" spans="1:22" ht="15" customHeight="1">
      <c r="A6" s="44" t="s">
        <v>256</v>
      </c>
      <c r="B6" s="45" t="s">
        <v>35</v>
      </c>
      <c r="C6" s="45" t="s">
        <v>78</v>
      </c>
      <c r="D6" s="45" t="s">
        <v>82</v>
      </c>
      <c r="E6" s="46" t="s">
        <v>73</v>
      </c>
      <c r="F6" s="47" t="s">
        <v>81</v>
      </c>
      <c r="G6" s="48" t="s">
        <v>24</v>
      </c>
      <c r="H6" s="49" t="s">
        <v>75</v>
      </c>
      <c r="I6" s="48">
        <v>4000011805</v>
      </c>
      <c r="J6" s="48">
        <v>20.94</v>
      </c>
      <c r="K6" s="50"/>
      <c r="L6" s="48">
        <f t="shared" si="0"/>
        <v>20.94</v>
      </c>
      <c r="M6" s="51">
        <v>0</v>
      </c>
      <c r="N6" s="52">
        <f t="shared" si="1"/>
        <v>0</v>
      </c>
      <c r="O6" s="52">
        <f t="shared" si="2"/>
        <v>20.94</v>
      </c>
      <c r="P6" s="53">
        <f t="shared" si="3"/>
        <v>6.6071372227305733E-2</v>
      </c>
      <c r="Q6" s="52">
        <f t="shared" si="4"/>
        <v>316.92999999999995</v>
      </c>
      <c r="R6" s="54">
        <f t="shared" si="5"/>
        <v>4248.1319999999996</v>
      </c>
      <c r="S6" s="52">
        <f t="shared" si="6"/>
        <v>280.67991064272871</v>
      </c>
      <c r="T6" s="48" t="s">
        <v>76</v>
      </c>
      <c r="U6" s="55">
        <v>4499</v>
      </c>
      <c r="V6" s="56">
        <v>490110</v>
      </c>
    </row>
    <row r="7" spans="1:22" ht="15" customHeight="1">
      <c r="A7" s="44" t="s">
        <v>256</v>
      </c>
      <c r="B7" s="45" t="s">
        <v>35</v>
      </c>
      <c r="C7" s="45" t="s">
        <v>71</v>
      </c>
      <c r="D7" s="45" t="s">
        <v>83</v>
      </c>
      <c r="E7" s="46" t="s">
        <v>73</v>
      </c>
      <c r="F7" s="47" t="s">
        <v>74</v>
      </c>
      <c r="G7" s="48" t="s">
        <v>24</v>
      </c>
      <c r="H7" s="57" t="s">
        <v>84</v>
      </c>
      <c r="I7" s="48">
        <v>4000011816</v>
      </c>
      <c r="J7" s="48">
        <v>46.25</v>
      </c>
      <c r="K7" s="50"/>
      <c r="L7" s="48">
        <f t="shared" si="0"/>
        <v>46.25</v>
      </c>
      <c r="M7" s="51">
        <v>0</v>
      </c>
      <c r="N7" s="52">
        <f t="shared" si="1"/>
        <v>0</v>
      </c>
      <c r="O7" s="52">
        <f t="shared" si="2"/>
        <v>46.25</v>
      </c>
      <c r="P7" s="53">
        <f t="shared" si="3"/>
        <v>0.14593127820023352</v>
      </c>
      <c r="Q7" s="52">
        <f t="shared" si="4"/>
        <v>316.92999999999995</v>
      </c>
      <c r="R7" s="54">
        <f t="shared" si="5"/>
        <v>4248.1319999999996</v>
      </c>
      <c r="S7" s="52">
        <f t="shared" si="6"/>
        <v>619.93533272331433</v>
      </c>
      <c r="T7" s="48" t="s">
        <v>76</v>
      </c>
      <c r="U7" s="55">
        <v>4499</v>
      </c>
      <c r="V7" s="56">
        <v>490110</v>
      </c>
    </row>
    <row r="8" spans="1:22" ht="15" customHeight="1">
      <c r="A8" s="44" t="s">
        <v>256</v>
      </c>
      <c r="B8" s="45" t="s">
        <v>35</v>
      </c>
      <c r="C8" s="45" t="s">
        <v>71</v>
      </c>
      <c r="D8" s="45" t="s">
        <v>85</v>
      </c>
      <c r="E8" s="46" t="s">
        <v>73</v>
      </c>
      <c r="F8" s="47" t="s">
        <v>74</v>
      </c>
      <c r="G8" s="48" t="s">
        <v>24</v>
      </c>
      <c r="H8" s="57" t="s">
        <v>84</v>
      </c>
      <c r="I8" s="48">
        <v>4000011747</v>
      </c>
      <c r="J8" s="48">
        <v>19.510000000000002</v>
      </c>
      <c r="K8" s="50"/>
      <c r="L8" s="48">
        <f t="shared" si="0"/>
        <v>19.510000000000002</v>
      </c>
      <c r="M8" s="51">
        <v>0</v>
      </c>
      <c r="N8" s="52">
        <f t="shared" si="1"/>
        <v>0</v>
      </c>
      <c r="O8" s="52">
        <f t="shared" si="2"/>
        <v>19.510000000000002</v>
      </c>
      <c r="P8" s="53">
        <f t="shared" si="3"/>
        <v>6.1559334868898509E-2</v>
      </c>
      <c r="Q8" s="52">
        <f t="shared" si="4"/>
        <v>316.92999999999995</v>
      </c>
      <c r="R8" s="54">
        <f t="shared" si="5"/>
        <v>4248.1319999999996</v>
      </c>
      <c r="S8" s="52">
        <f t="shared" si="6"/>
        <v>261.51218035528353</v>
      </c>
      <c r="T8" s="48" t="s">
        <v>76</v>
      </c>
      <c r="U8" s="55">
        <v>4499</v>
      </c>
      <c r="V8" s="56">
        <v>490110</v>
      </c>
    </row>
    <row r="9" spans="1:22" ht="15" customHeight="1">
      <c r="A9" s="44" t="s">
        <v>256</v>
      </c>
      <c r="B9" s="45" t="s">
        <v>35</v>
      </c>
      <c r="C9" s="45" t="s">
        <v>78</v>
      </c>
      <c r="D9" s="45" t="s">
        <v>86</v>
      </c>
      <c r="E9" s="46" t="s">
        <v>73</v>
      </c>
      <c r="F9" s="47" t="s">
        <v>81</v>
      </c>
      <c r="G9" s="48" t="s">
        <v>24</v>
      </c>
      <c r="H9" s="57" t="s">
        <v>84</v>
      </c>
      <c r="I9" s="48">
        <v>4000011758</v>
      </c>
      <c r="J9" s="48">
        <v>65.91</v>
      </c>
      <c r="K9" s="50"/>
      <c r="L9" s="48">
        <f t="shared" si="0"/>
        <v>65.91</v>
      </c>
      <c r="M9" s="51">
        <v>0</v>
      </c>
      <c r="N9" s="52">
        <f t="shared" si="1"/>
        <v>0</v>
      </c>
      <c r="O9" s="52">
        <f t="shared" si="2"/>
        <v>65.91</v>
      </c>
      <c r="P9" s="53">
        <f t="shared" si="3"/>
        <v>0.20796390370113277</v>
      </c>
      <c r="Q9" s="52">
        <f t="shared" si="4"/>
        <v>316.92999999999995</v>
      </c>
      <c r="R9" s="54">
        <f t="shared" si="5"/>
        <v>4248.1319999999996</v>
      </c>
      <c r="S9" s="52">
        <f t="shared" si="6"/>
        <v>883.45811415770049</v>
      </c>
      <c r="T9" s="48" t="s">
        <v>76</v>
      </c>
      <c r="U9" s="55">
        <v>4499</v>
      </c>
      <c r="V9" s="56">
        <v>490110</v>
      </c>
    </row>
    <row r="10" spans="1:22" ht="15" customHeight="1">
      <c r="A10" s="44" t="s">
        <v>256</v>
      </c>
      <c r="B10" s="45" t="s">
        <v>35</v>
      </c>
      <c r="C10" s="45" t="s">
        <v>78</v>
      </c>
      <c r="D10" s="45" t="s">
        <v>87</v>
      </c>
      <c r="E10" s="46" t="s">
        <v>73</v>
      </c>
      <c r="F10" s="47" t="s">
        <v>81</v>
      </c>
      <c r="G10" s="48" t="s">
        <v>24</v>
      </c>
      <c r="H10" s="57" t="s">
        <v>84</v>
      </c>
      <c r="I10" s="48">
        <v>4000011769</v>
      </c>
      <c r="J10" s="48">
        <v>19.510000000000002</v>
      </c>
      <c r="K10" s="50"/>
      <c r="L10" s="48">
        <f t="shared" si="0"/>
        <v>19.510000000000002</v>
      </c>
      <c r="M10" s="51">
        <v>0</v>
      </c>
      <c r="N10" s="52">
        <f t="shared" si="1"/>
        <v>0</v>
      </c>
      <c r="O10" s="52">
        <f t="shared" si="2"/>
        <v>19.510000000000002</v>
      </c>
      <c r="P10" s="53">
        <f t="shared" si="3"/>
        <v>6.1559334868898509E-2</v>
      </c>
      <c r="Q10" s="52">
        <f t="shared" si="4"/>
        <v>316.92999999999995</v>
      </c>
      <c r="R10" s="54">
        <f t="shared" si="5"/>
        <v>4248.1319999999996</v>
      </c>
      <c r="S10" s="52">
        <f t="shared" si="6"/>
        <v>261.51218035528353</v>
      </c>
      <c r="T10" s="48" t="s">
        <v>76</v>
      </c>
      <c r="U10" s="55">
        <v>4499</v>
      </c>
      <c r="V10" s="56">
        <v>490110</v>
      </c>
    </row>
    <row r="11" spans="1:22" ht="15" customHeight="1">
      <c r="A11" s="44" t="s">
        <v>256</v>
      </c>
      <c r="B11" s="45" t="s">
        <v>35</v>
      </c>
      <c r="C11" s="45" t="s">
        <v>243</v>
      </c>
      <c r="D11" s="45" t="s">
        <v>244</v>
      </c>
      <c r="E11" s="46" t="s">
        <v>73</v>
      </c>
      <c r="F11" s="58" t="s">
        <v>90</v>
      </c>
      <c r="G11" s="48" t="s">
        <v>24</v>
      </c>
      <c r="H11" s="59" t="s">
        <v>75</v>
      </c>
      <c r="I11" s="60">
        <v>7000001001</v>
      </c>
      <c r="J11" s="61">
        <v>106.6</v>
      </c>
      <c r="K11" s="60">
        <v>10</v>
      </c>
      <c r="L11" s="61">
        <f t="shared" si="0"/>
        <v>116.6</v>
      </c>
      <c r="M11" s="62">
        <v>0.18</v>
      </c>
      <c r="N11" s="61">
        <f t="shared" si="1"/>
        <v>20.988</v>
      </c>
      <c r="O11" s="61">
        <f t="shared" si="2"/>
        <v>137.58799999999999</v>
      </c>
      <c r="P11" s="63">
        <v>0</v>
      </c>
      <c r="Q11" s="61">
        <f>O11</f>
        <v>137.58799999999999</v>
      </c>
      <c r="R11" s="64">
        <f>Q11</f>
        <v>137.58799999999999</v>
      </c>
      <c r="S11" s="61">
        <f>Q11</f>
        <v>137.58799999999999</v>
      </c>
      <c r="T11" s="60" t="s">
        <v>91</v>
      </c>
      <c r="U11" s="55">
        <v>4499</v>
      </c>
      <c r="V11" s="56">
        <v>49119990</v>
      </c>
    </row>
    <row r="12" spans="1:22" ht="15" customHeight="1">
      <c r="A12" s="44" t="s">
        <v>256</v>
      </c>
      <c r="B12" s="66" t="s">
        <v>35</v>
      </c>
      <c r="C12" s="66" t="s">
        <v>92</v>
      </c>
      <c r="D12" s="66" t="s">
        <v>93</v>
      </c>
      <c r="E12" s="67" t="s">
        <v>73</v>
      </c>
      <c r="F12" s="68" t="s">
        <v>94</v>
      </c>
      <c r="G12" s="69" t="s">
        <v>24</v>
      </c>
      <c r="H12" s="70" t="s">
        <v>75</v>
      </c>
      <c r="I12" s="71">
        <v>8400007</v>
      </c>
      <c r="J12" s="72">
        <v>96</v>
      </c>
      <c r="K12" s="73"/>
      <c r="L12" s="72">
        <f t="shared" si="0"/>
        <v>96</v>
      </c>
      <c r="M12" s="74">
        <v>0.18</v>
      </c>
      <c r="N12" s="72">
        <f t="shared" si="1"/>
        <v>17.28</v>
      </c>
      <c r="O12" s="72">
        <f t="shared" si="2"/>
        <v>113.28</v>
      </c>
      <c r="P12" s="75">
        <v>0</v>
      </c>
      <c r="Q12" s="72">
        <f>O12</f>
        <v>113.28</v>
      </c>
      <c r="R12" s="76">
        <f>Q12</f>
        <v>113.28</v>
      </c>
      <c r="S12" s="72">
        <f>Q12</f>
        <v>113.28</v>
      </c>
      <c r="T12" s="71" t="s">
        <v>91</v>
      </c>
      <c r="U12" s="77">
        <v>4499</v>
      </c>
      <c r="V12" s="78">
        <v>999299</v>
      </c>
    </row>
    <row r="13" spans="1:22" ht="15" customHeight="1">
      <c r="A13" s="44" t="s">
        <v>256</v>
      </c>
      <c r="B13" s="45" t="s">
        <v>36</v>
      </c>
      <c r="C13" s="45" t="s">
        <v>71</v>
      </c>
      <c r="D13" s="45" t="s">
        <v>95</v>
      </c>
      <c r="E13" s="46" t="s">
        <v>73</v>
      </c>
      <c r="F13" s="47" t="s">
        <v>74</v>
      </c>
      <c r="G13" s="48" t="s">
        <v>24</v>
      </c>
      <c r="H13" s="49" t="s">
        <v>75</v>
      </c>
      <c r="I13" s="48">
        <v>4000011861</v>
      </c>
      <c r="J13" s="52">
        <v>40.090000000000003</v>
      </c>
      <c r="K13" s="50"/>
      <c r="L13" s="52">
        <f t="shared" si="0"/>
        <v>40.090000000000003</v>
      </c>
      <c r="M13" s="51">
        <v>0</v>
      </c>
      <c r="N13" s="52">
        <f t="shared" si="1"/>
        <v>0</v>
      </c>
      <c r="O13" s="52">
        <f t="shared" si="2"/>
        <v>40.090000000000003</v>
      </c>
      <c r="P13" s="53">
        <f t="shared" ref="P13:P21" si="7">IFERROR(O13/Q13,"")</f>
        <v>0.12098623853211012</v>
      </c>
      <c r="Q13" s="52">
        <f t="shared" ref="Q13:Q21" si="8">SUMIFS(O:O,T:T,T13,B:B,B13,A:A,A13,G:G,G13,E:E,E13)</f>
        <v>331.35999999999996</v>
      </c>
      <c r="R13" s="54">
        <f t="shared" ref="R13:R21" si="9">U13-SUMIFS(Q:Q,A:A,A13,B:B,B13,G:G,G13,E:E,E13,T:T,"Fixed Price ( Base Price with GST)")</f>
        <v>4233.6180000000004</v>
      </c>
      <c r="S13" s="52">
        <f t="shared" ref="S13:S21" si="10">P13*R13</f>
        <v>512.20951720183496</v>
      </c>
      <c r="T13" s="48" t="s">
        <v>76</v>
      </c>
      <c r="U13" s="42">
        <v>4499</v>
      </c>
      <c r="V13" s="80">
        <v>490110</v>
      </c>
    </row>
    <row r="14" spans="1:22" ht="15" customHeight="1">
      <c r="A14" s="44" t="s">
        <v>256</v>
      </c>
      <c r="B14" s="45" t="s">
        <v>36</v>
      </c>
      <c r="C14" s="45" t="s">
        <v>71</v>
      </c>
      <c r="D14" s="45" t="s">
        <v>96</v>
      </c>
      <c r="E14" s="46" t="s">
        <v>73</v>
      </c>
      <c r="F14" s="47" t="s">
        <v>74</v>
      </c>
      <c r="G14" s="48" t="s">
        <v>24</v>
      </c>
      <c r="H14" s="49" t="s">
        <v>75</v>
      </c>
      <c r="I14" s="48">
        <v>4000011872</v>
      </c>
      <c r="J14" s="52">
        <v>21.01</v>
      </c>
      <c r="K14" s="50"/>
      <c r="L14" s="52">
        <f t="shared" si="0"/>
        <v>21.01</v>
      </c>
      <c r="M14" s="51">
        <v>0</v>
      </c>
      <c r="N14" s="52">
        <f t="shared" si="1"/>
        <v>0</v>
      </c>
      <c r="O14" s="52">
        <f t="shared" si="2"/>
        <v>21.01</v>
      </c>
      <c r="P14" s="53">
        <f t="shared" si="7"/>
        <v>6.3405359729599237E-2</v>
      </c>
      <c r="Q14" s="52">
        <f t="shared" si="8"/>
        <v>331.35999999999996</v>
      </c>
      <c r="R14" s="54">
        <f t="shared" si="9"/>
        <v>4233.6180000000004</v>
      </c>
      <c r="S14" s="52">
        <f t="shared" si="10"/>
        <v>268.43407224770647</v>
      </c>
      <c r="T14" s="48" t="s">
        <v>76</v>
      </c>
      <c r="U14" s="55">
        <v>4499</v>
      </c>
      <c r="V14" s="80">
        <v>490110</v>
      </c>
    </row>
    <row r="15" spans="1:22" ht="15" customHeight="1">
      <c r="A15" s="44" t="s">
        <v>256</v>
      </c>
      <c r="B15" s="45" t="s">
        <v>36</v>
      </c>
      <c r="C15" s="45" t="s">
        <v>78</v>
      </c>
      <c r="D15" s="45" t="s">
        <v>97</v>
      </c>
      <c r="E15" s="46" t="s">
        <v>73</v>
      </c>
      <c r="F15" s="47" t="s">
        <v>74</v>
      </c>
      <c r="G15" s="48" t="s">
        <v>24</v>
      </c>
      <c r="H15" s="49" t="s">
        <v>75</v>
      </c>
      <c r="I15" s="48">
        <v>4000011837</v>
      </c>
      <c r="J15" s="52">
        <v>20.100000000000001</v>
      </c>
      <c r="K15" s="50"/>
      <c r="L15" s="52">
        <f t="shared" si="0"/>
        <v>20.100000000000001</v>
      </c>
      <c r="M15" s="51">
        <v>0</v>
      </c>
      <c r="N15" s="52">
        <f t="shared" si="1"/>
        <v>0</v>
      </c>
      <c r="O15" s="52">
        <f t="shared" si="2"/>
        <v>20.100000000000001</v>
      </c>
      <c r="P15" s="53">
        <f t="shared" si="7"/>
        <v>6.0659101883148249E-2</v>
      </c>
      <c r="Q15" s="52">
        <f t="shared" si="8"/>
        <v>331.35999999999996</v>
      </c>
      <c r="R15" s="54">
        <f t="shared" si="9"/>
        <v>4233.6180000000004</v>
      </c>
      <c r="S15" s="52">
        <f t="shared" si="10"/>
        <v>256.80746559633036</v>
      </c>
      <c r="T15" s="48" t="s">
        <v>76</v>
      </c>
      <c r="U15" s="55">
        <v>4499</v>
      </c>
      <c r="V15" s="80">
        <v>490110</v>
      </c>
    </row>
    <row r="16" spans="1:22" ht="15" customHeight="1">
      <c r="A16" s="44" t="s">
        <v>256</v>
      </c>
      <c r="B16" s="45" t="s">
        <v>36</v>
      </c>
      <c r="C16" s="45" t="s">
        <v>78</v>
      </c>
      <c r="D16" s="45" t="s">
        <v>98</v>
      </c>
      <c r="E16" s="46" t="s">
        <v>73</v>
      </c>
      <c r="F16" s="47" t="s">
        <v>81</v>
      </c>
      <c r="G16" s="48" t="s">
        <v>24</v>
      </c>
      <c r="H16" s="49" t="s">
        <v>75</v>
      </c>
      <c r="I16" s="48">
        <v>4000011826</v>
      </c>
      <c r="J16" s="52">
        <v>66.38</v>
      </c>
      <c r="K16" s="50"/>
      <c r="L16" s="52">
        <f t="shared" si="0"/>
        <v>66.38</v>
      </c>
      <c r="M16" s="51">
        <v>0</v>
      </c>
      <c r="N16" s="52">
        <f t="shared" si="1"/>
        <v>0</v>
      </c>
      <c r="O16" s="52">
        <f t="shared" si="2"/>
        <v>66.38</v>
      </c>
      <c r="P16" s="53">
        <f t="shared" si="7"/>
        <v>0.20032592950265574</v>
      </c>
      <c r="Q16" s="52">
        <f t="shared" si="8"/>
        <v>331.35999999999996</v>
      </c>
      <c r="R16" s="54">
        <f t="shared" si="9"/>
        <v>4233.6180000000004</v>
      </c>
      <c r="S16" s="52">
        <f t="shared" si="10"/>
        <v>848.10346100917445</v>
      </c>
      <c r="T16" s="48" t="s">
        <v>76</v>
      </c>
      <c r="U16" s="55">
        <v>4499</v>
      </c>
      <c r="V16" s="80">
        <v>490110</v>
      </c>
    </row>
    <row r="17" spans="1:22" ht="15" customHeight="1">
      <c r="A17" s="44" t="s">
        <v>256</v>
      </c>
      <c r="B17" s="45" t="s">
        <v>36</v>
      </c>
      <c r="C17" s="45" t="s">
        <v>78</v>
      </c>
      <c r="D17" s="45" t="s">
        <v>99</v>
      </c>
      <c r="E17" s="46" t="s">
        <v>73</v>
      </c>
      <c r="F17" s="47" t="s">
        <v>81</v>
      </c>
      <c r="G17" s="48" t="s">
        <v>24</v>
      </c>
      <c r="H17" s="49" t="s">
        <v>75</v>
      </c>
      <c r="I17" s="48">
        <v>4000011846</v>
      </c>
      <c r="J17" s="52">
        <v>25.48</v>
      </c>
      <c r="K17" s="50"/>
      <c r="L17" s="52">
        <f t="shared" si="0"/>
        <v>25.48</v>
      </c>
      <c r="M17" s="51">
        <v>0</v>
      </c>
      <c r="N17" s="52">
        <f t="shared" si="1"/>
        <v>0</v>
      </c>
      <c r="O17" s="52">
        <f t="shared" si="2"/>
        <v>25.48</v>
      </c>
      <c r="P17" s="53">
        <f t="shared" si="7"/>
        <v>7.6895219700627723E-2</v>
      </c>
      <c r="Q17" s="52">
        <f t="shared" si="8"/>
        <v>331.35999999999996</v>
      </c>
      <c r="R17" s="54">
        <f t="shared" si="9"/>
        <v>4233.6180000000004</v>
      </c>
      <c r="S17" s="52">
        <f t="shared" si="10"/>
        <v>325.54498623853215</v>
      </c>
      <c r="T17" s="48" t="s">
        <v>76</v>
      </c>
      <c r="U17" s="55">
        <v>4499</v>
      </c>
      <c r="V17" s="80">
        <v>490110</v>
      </c>
    </row>
    <row r="18" spans="1:22" ht="15" customHeight="1">
      <c r="A18" s="44" t="s">
        <v>256</v>
      </c>
      <c r="B18" s="45" t="s">
        <v>36</v>
      </c>
      <c r="C18" s="45" t="s">
        <v>71</v>
      </c>
      <c r="D18" s="45" t="s">
        <v>100</v>
      </c>
      <c r="E18" s="46" t="s">
        <v>73</v>
      </c>
      <c r="F18" s="47" t="s">
        <v>74</v>
      </c>
      <c r="G18" s="48" t="s">
        <v>24</v>
      </c>
      <c r="H18" s="57" t="s">
        <v>84</v>
      </c>
      <c r="I18" s="48">
        <v>4000011847</v>
      </c>
      <c r="J18" s="52">
        <v>50.5</v>
      </c>
      <c r="K18" s="50"/>
      <c r="L18" s="52">
        <f t="shared" si="0"/>
        <v>50.5</v>
      </c>
      <c r="M18" s="51">
        <v>0</v>
      </c>
      <c r="N18" s="52">
        <f t="shared" si="1"/>
        <v>0</v>
      </c>
      <c r="O18" s="52">
        <f t="shared" si="2"/>
        <v>50.5</v>
      </c>
      <c r="P18" s="53">
        <f t="shared" si="7"/>
        <v>0.15240222114920329</v>
      </c>
      <c r="Q18" s="52">
        <f t="shared" si="8"/>
        <v>331.35999999999996</v>
      </c>
      <c r="R18" s="54">
        <f t="shared" si="9"/>
        <v>4233.6180000000004</v>
      </c>
      <c r="S18" s="52">
        <f t="shared" si="10"/>
        <v>645.21278669724779</v>
      </c>
      <c r="T18" s="48" t="s">
        <v>76</v>
      </c>
      <c r="U18" s="55">
        <v>4499</v>
      </c>
      <c r="V18" s="80">
        <v>490110</v>
      </c>
    </row>
    <row r="19" spans="1:22" ht="15" customHeight="1">
      <c r="A19" s="44" t="s">
        <v>256</v>
      </c>
      <c r="B19" s="45" t="s">
        <v>36</v>
      </c>
      <c r="C19" s="45" t="s">
        <v>71</v>
      </c>
      <c r="D19" s="45" t="s">
        <v>101</v>
      </c>
      <c r="E19" s="46" t="s">
        <v>73</v>
      </c>
      <c r="F19" s="47" t="s">
        <v>74</v>
      </c>
      <c r="G19" s="48" t="s">
        <v>24</v>
      </c>
      <c r="H19" s="57" t="s">
        <v>84</v>
      </c>
      <c r="I19" s="48">
        <v>4000011848</v>
      </c>
      <c r="J19" s="52">
        <v>21.01</v>
      </c>
      <c r="K19" s="50"/>
      <c r="L19" s="52">
        <f t="shared" si="0"/>
        <v>21.01</v>
      </c>
      <c r="M19" s="51">
        <v>0</v>
      </c>
      <c r="N19" s="52">
        <f t="shared" si="1"/>
        <v>0</v>
      </c>
      <c r="O19" s="52">
        <f t="shared" si="2"/>
        <v>21.01</v>
      </c>
      <c r="P19" s="53">
        <f t="shared" si="7"/>
        <v>6.3405359729599237E-2</v>
      </c>
      <c r="Q19" s="52">
        <f t="shared" si="8"/>
        <v>331.35999999999996</v>
      </c>
      <c r="R19" s="54">
        <f t="shared" si="9"/>
        <v>4233.6180000000004</v>
      </c>
      <c r="S19" s="52">
        <f t="shared" si="10"/>
        <v>268.43407224770647</v>
      </c>
      <c r="T19" s="48" t="s">
        <v>76</v>
      </c>
      <c r="U19" s="55">
        <v>4499</v>
      </c>
      <c r="V19" s="80">
        <v>490110</v>
      </c>
    </row>
    <row r="20" spans="1:22" ht="15" customHeight="1">
      <c r="A20" s="44" t="s">
        <v>256</v>
      </c>
      <c r="B20" s="45" t="s">
        <v>36</v>
      </c>
      <c r="C20" s="45" t="s">
        <v>78</v>
      </c>
      <c r="D20" s="45" t="s">
        <v>102</v>
      </c>
      <c r="E20" s="46" t="s">
        <v>73</v>
      </c>
      <c r="F20" s="47" t="s">
        <v>81</v>
      </c>
      <c r="G20" s="48" t="s">
        <v>24</v>
      </c>
      <c r="H20" s="57" t="s">
        <v>84</v>
      </c>
      <c r="I20" s="48">
        <v>4000011849</v>
      </c>
      <c r="J20" s="52">
        <v>62.84</v>
      </c>
      <c r="K20" s="50"/>
      <c r="L20" s="52">
        <f t="shared" si="0"/>
        <v>62.84</v>
      </c>
      <c r="M20" s="51">
        <v>0</v>
      </c>
      <c r="N20" s="52">
        <f t="shared" si="1"/>
        <v>0</v>
      </c>
      <c r="O20" s="52">
        <f t="shared" si="2"/>
        <v>62.84</v>
      </c>
      <c r="P20" s="53">
        <f t="shared" si="7"/>
        <v>0.18964268469338488</v>
      </c>
      <c r="Q20" s="52">
        <f t="shared" si="8"/>
        <v>331.35999999999996</v>
      </c>
      <c r="R20" s="54">
        <f t="shared" si="9"/>
        <v>4233.6180000000004</v>
      </c>
      <c r="S20" s="52">
        <f t="shared" si="10"/>
        <v>802.87468348623884</v>
      </c>
      <c r="T20" s="48" t="s">
        <v>76</v>
      </c>
      <c r="U20" s="55">
        <v>4499</v>
      </c>
      <c r="V20" s="80">
        <v>490110</v>
      </c>
    </row>
    <row r="21" spans="1:22" ht="15" customHeight="1">
      <c r="A21" s="44" t="s">
        <v>256</v>
      </c>
      <c r="B21" s="45" t="s">
        <v>36</v>
      </c>
      <c r="C21" s="45" t="s">
        <v>78</v>
      </c>
      <c r="D21" s="45" t="s">
        <v>103</v>
      </c>
      <c r="E21" s="46" t="s">
        <v>73</v>
      </c>
      <c r="F21" s="47" t="s">
        <v>81</v>
      </c>
      <c r="G21" s="48" t="s">
        <v>24</v>
      </c>
      <c r="H21" s="57" t="s">
        <v>84</v>
      </c>
      <c r="I21" s="48">
        <v>4000011850</v>
      </c>
      <c r="J21" s="52">
        <v>23.95</v>
      </c>
      <c r="K21" s="50"/>
      <c r="L21" s="52">
        <f t="shared" si="0"/>
        <v>23.95</v>
      </c>
      <c r="M21" s="51">
        <v>0</v>
      </c>
      <c r="N21" s="52">
        <f t="shared" si="1"/>
        <v>0</v>
      </c>
      <c r="O21" s="52">
        <f t="shared" si="2"/>
        <v>23.95</v>
      </c>
      <c r="P21" s="53">
        <f t="shared" si="7"/>
        <v>7.2277885079671658E-2</v>
      </c>
      <c r="Q21" s="52">
        <f t="shared" si="8"/>
        <v>331.35999999999996</v>
      </c>
      <c r="R21" s="54">
        <f t="shared" si="9"/>
        <v>4233.6180000000004</v>
      </c>
      <c r="S21" s="52">
        <f t="shared" si="10"/>
        <v>305.99695527522937</v>
      </c>
      <c r="T21" s="48" t="s">
        <v>76</v>
      </c>
      <c r="U21" s="55">
        <v>4499</v>
      </c>
      <c r="V21" s="80">
        <v>490110</v>
      </c>
    </row>
    <row r="22" spans="1:22" ht="15" customHeight="1">
      <c r="A22" s="44" t="s">
        <v>256</v>
      </c>
      <c r="B22" s="45" t="s">
        <v>36</v>
      </c>
      <c r="C22" s="45" t="s">
        <v>243</v>
      </c>
      <c r="D22" s="45" t="s">
        <v>245</v>
      </c>
      <c r="E22" s="46" t="s">
        <v>73</v>
      </c>
      <c r="F22" s="58" t="s">
        <v>90</v>
      </c>
      <c r="G22" s="48" t="s">
        <v>24</v>
      </c>
      <c r="H22" s="59" t="s">
        <v>75</v>
      </c>
      <c r="I22" s="60">
        <v>7000001002</v>
      </c>
      <c r="J22" s="61">
        <v>118.9</v>
      </c>
      <c r="K22" s="60">
        <v>10</v>
      </c>
      <c r="L22" s="61">
        <f t="shared" si="0"/>
        <v>128.9</v>
      </c>
      <c r="M22" s="62">
        <v>0.18</v>
      </c>
      <c r="N22" s="61">
        <f t="shared" si="1"/>
        <v>23.202000000000002</v>
      </c>
      <c r="O22" s="61">
        <f t="shared" si="2"/>
        <v>152.102</v>
      </c>
      <c r="P22" s="63">
        <v>0</v>
      </c>
      <c r="Q22" s="61">
        <f>O22</f>
        <v>152.102</v>
      </c>
      <c r="R22" s="64">
        <f>Q22</f>
        <v>152.102</v>
      </c>
      <c r="S22" s="61">
        <f>Q22</f>
        <v>152.102</v>
      </c>
      <c r="T22" s="60" t="s">
        <v>91</v>
      </c>
      <c r="U22" s="55">
        <v>4499</v>
      </c>
      <c r="V22" s="80">
        <v>49119990</v>
      </c>
    </row>
    <row r="23" spans="1:22" ht="15" customHeight="1">
      <c r="A23" s="44" t="s">
        <v>256</v>
      </c>
      <c r="B23" s="45" t="s">
        <v>36</v>
      </c>
      <c r="C23" s="45" t="s">
        <v>92</v>
      </c>
      <c r="D23" s="45" t="s">
        <v>93</v>
      </c>
      <c r="E23" s="46" t="s">
        <v>73</v>
      </c>
      <c r="F23" s="81" t="s">
        <v>94</v>
      </c>
      <c r="G23" s="48" t="s">
        <v>24</v>
      </c>
      <c r="H23" s="59" t="s">
        <v>75</v>
      </c>
      <c r="I23" s="60">
        <v>8400007</v>
      </c>
      <c r="J23" s="61">
        <v>96</v>
      </c>
      <c r="K23" s="82"/>
      <c r="L23" s="61">
        <f t="shared" si="0"/>
        <v>96</v>
      </c>
      <c r="M23" s="62">
        <v>0.18</v>
      </c>
      <c r="N23" s="61">
        <f t="shared" si="1"/>
        <v>17.28</v>
      </c>
      <c r="O23" s="61">
        <f t="shared" si="2"/>
        <v>113.28</v>
      </c>
      <c r="P23" s="63">
        <v>0</v>
      </c>
      <c r="Q23" s="61">
        <f>O23</f>
        <v>113.28</v>
      </c>
      <c r="R23" s="64">
        <f>Q23</f>
        <v>113.28</v>
      </c>
      <c r="S23" s="61">
        <f>Q23</f>
        <v>113.28</v>
      </c>
      <c r="T23" s="60" t="s">
        <v>91</v>
      </c>
      <c r="U23" s="77">
        <v>4499</v>
      </c>
      <c r="V23" s="80">
        <v>999299</v>
      </c>
    </row>
    <row r="24" spans="1:22" ht="15" customHeight="1">
      <c r="A24" s="44" t="s">
        <v>256</v>
      </c>
      <c r="B24" s="32" t="s">
        <v>37</v>
      </c>
      <c r="C24" s="32" t="s">
        <v>105</v>
      </c>
      <c r="D24" s="32" t="s">
        <v>106</v>
      </c>
      <c r="E24" s="33" t="s">
        <v>73</v>
      </c>
      <c r="F24" s="34" t="s">
        <v>74</v>
      </c>
      <c r="G24" s="35" t="s">
        <v>24</v>
      </c>
      <c r="H24" s="36" t="s">
        <v>75</v>
      </c>
      <c r="I24" s="35">
        <v>4000011851</v>
      </c>
      <c r="J24" s="39">
        <v>30</v>
      </c>
      <c r="K24" s="37"/>
      <c r="L24" s="39">
        <f t="shared" si="0"/>
        <v>30</v>
      </c>
      <c r="M24" s="38">
        <v>0</v>
      </c>
      <c r="N24" s="39">
        <f t="shared" si="1"/>
        <v>0</v>
      </c>
      <c r="O24" s="39">
        <f t="shared" si="2"/>
        <v>30</v>
      </c>
      <c r="P24" s="40">
        <f t="shared" ref="P24:P38" si="11">IFERROR(O24/Q24,"")</f>
        <v>6.0504608434342425E-2</v>
      </c>
      <c r="Q24" s="39">
        <f t="shared" ref="Q24:Q38" si="12">SUMIFS(O:O,T:T,T24,B:B,B24,A:A,A24,G:G,G24,E:E,E24)</f>
        <v>495.82999999999993</v>
      </c>
      <c r="R24" s="41">
        <f t="shared" ref="R24:R38" si="13">U24-SUMIFS(Q:Q,A:A,A24,B:B,B24,G:G,G24,E:E,E24,T:T,"Fixed Price ( Base Price with GST)")</f>
        <v>5349.902</v>
      </c>
      <c r="S24" s="39">
        <f t="shared" ref="S24:S38" si="14">P24*R24</f>
        <v>323.69372567210542</v>
      </c>
      <c r="T24" s="35" t="s">
        <v>76</v>
      </c>
      <c r="U24" s="42">
        <v>5599</v>
      </c>
      <c r="V24" s="43">
        <v>490110</v>
      </c>
    </row>
    <row r="25" spans="1:22" ht="15" customHeight="1">
      <c r="A25" s="44" t="s">
        <v>256</v>
      </c>
      <c r="B25" s="45" t="s">
        <v>37</v>
      </c>
      <c r="C25" s="45" t="s">
        <v>105</v>
      </c>
      <c r="D25" s="45" t="s">
        <v>107</v>
      </c>
      <c r="E25" s="46" t="s">
        <v>73</v>
      </c>
      <c r="F25" s="47" t="s">
        <v>74</v>
      </c>
      <c r="G25" s="48" t="s">
        <v>24</v>
      </c>
      <c r="H25" s="49" t="s">
        <v>75</v>
      </c>
      <c r="I25" s="48">
        <v>4000011853</v>
      </c>
      <c r="J25" s="52">
        <v>16.29</v>
      </c>
      <c r="K25" s="50"/>
      <c r="L25" s="52">
        <f t="shared" si="0"/>
        <v>16.29</v>
      </c>
      <c r="M25" s="51">
        <v>0</v>
      </c>
      <c r="N25" s="52">
        <f t="shared" si="1"/>
        <v>0</v>
      </c>
      <c r="O25" s="52">
        <f t="shared" si="2"/>
        <v>16.29</v>
      </c>
      <c r="P25" s="53">
        <f t="shared" si="11"/>
        <v>3.2854002379847938E-2</v>
      </c>
      <c r="Q25" s="52">
        <f t="shared" si="12"/>
        <v>495.82999999999993</v>
      </c>
      <c r="R25" s="54">
        <f t="shared" si="13"/>
        <v>5349.902</v>
      </c>
      <c r="S25" s="52">
        <f t="shared" si="14"/>
        <v>175.76569303995325</v>
      </c>
      <c r="T25" s="48" t="s">
        <v>76</v>
      </c>
      <c r="U25" s="55">
        <v>5599</v>
      </c>
      <c r="V25" s="56">
        <v>490110</v>
      </c>
    </row>
    <row r="26" spans="1:22" ht="15" customHeight="1">
      <c r="A26" s="44" t="s">
        <v>256</v>
      </c>
      <c r="B26" s="45" t="s">
        <v>37</v>
      </c>
      <c r="C26" s="45" t="s">
        <v>71</v>
      </c>
      <c r="D26" s="45" t="s">
        <v>108</v>
      </c>
      <c r="E26" s="46" t="s">
        <v>73</v>
      </c>
      <c r="F26" s="47" t="s">
        <v>74</v>
      </c>
      <c r="G26" s="48" t="s">
        <v>24</v>
      </c>
      <c r="H26" s="49" t="s">
        <v>75</v>
      </c>
      <c r="I26" s="48">
        <v>4000011854</v>
      </c>
      <c r="J26" s="52">
        <v>43.03</v>
      </c>
      <c r="K26" s="50"/>
      <c r="L26" s="52">
        <f t="shared" si="0"/>
        <v>43.03</v>
      </c>
      <c r="M26" s="51">
        <v>0</v>
      </c>
      <c r="N26" s="52">
        <f t="shared" si="1"/>
        <v>0</v>
      </c>
      <c r="O26" s="52">
        <f t="shared" si="2"/>
        <v>43.03</v>
      </c>
      <c r="P26" s="53">
        <f t="shared" si="11"/>
        <v>8.6783776697658493E-2</v>
      </c>
      <c r="Q26" s="52">
        <f t="shared" si="12"/>
        <v>495.82999999999993</v>
      </c>
      <c r="R26" s="54">
        <f t="shared" si="13"/>
        <v>5349.902</v>
      </c>
      <c r="S26" s="52">
        <f t="shared" si="14"/>
        <v>464.28470052235656</v>
      </c>
      <c r="T26" s="48" t="s">
        <v>76</v>
      </c>
      <c r="U26" s="55">
        <v>5599</v>
      </c>
      <c r="V26" s="56">
        <v>490110</v>
      </c>
    </row>
    <row r="27" spans="1:22" ht="15" customHeight="1">
      <c r="A27" s="44" t="s">
        <v>256</v>
      </c>
      <c r="B27" s="45" t="s">
        <v>37</v>
      </c>
      <c r="C27" s="45" t="s">
        <v>71</v>
      </c>
      <c r="D27" s="45" t="s">
        <v>109</v>
      </c>
      <c r="E27" s="46" t="s">
        <v>73</v>
      </c>
      <c r="F27" s="47" t="s">
        <v>74</v>
      </c>
      <c r="G27" s="48" t="s">
        <v>24</v>
      </c>
      <c r="H27" s="49" t="s">
        <v>75</v>
      </c>
      <c r="I27" s="48">
        <v>4000011855</v>
      </c>
      <c r="J27" s="52">
        <v>20.67</v>
      </c>
      <c r="K27" s="50"/>
      <c r="L27" s="52">
        <f t="shared" si="0"/>
        <v>20.67</v>
      </c>
      <c r="M27" s="51">
        <v>0</v>
      </c>
      <c r="N27" s="52">
        <f t="shared" si="1"/>
        <v>0</v>
      </c>
      <c r="O27" s="52">
        <f t="shared" si="2"/>
        <v>20.67</v>
      </c>
      <c r="P27" s="53">
        <f t="shared" si="11"/>
        <v>4.1687675211261932E-2</v>
      </c>
      <c r="Q27" s="52">
        <f t="shared" si="12"/>
        <v>495.82999999999993</v>
      </c>
      <c r="R27" s="54">
        <f t="shared" si="13"/>
        <v>5349.902</v>
      </c>
      <c r="S27" s="52">
        <f t="shared" si="14"/>
        <v>223.02497698808062</v>
      </c>
      <c r="T27" s="48" t="s">
        <v>76</v>
      </c>
      <c r="U27" s="55">
        <v>5599</v>
      </c>
      <c r="V27" s="56">
        <v>490110</v>
      </c>
    </row>
    <row r="28" spans="1:22" ht="15" customHeight="1">
      <c r="A28" s="44" t="s">
        <v>256</v>
      </c>
      <c r="B28" s="45" t="s">
        <v>37</v>
      </c>
      <c r="C28" s="45" t="s">
        <v>78</v>
      </c>
      <c r="D28" s="45" t="s">
        <v>110</v>
      </c>
      <c r="E28" s="46" t="s">
        <v>73</v>
      </c>
      <c r="F28" s="47" t="s">
        <v>74</v>
      </c>
      <c r="G28" s="48" t="s">
        <v>24</v>
      </c>
      <c r="H28" s="49" t="s">
        <v>75</v>
      </c>
      <c r="I28" s="48">
        <v>4000011857</v>
      </c>
      <c r="J28" s="52">
        <v>28.34</v>
      </c>
      <c r="K28" s="50"/>
      <c r="L28" s="52">
        <f t="shared" si="0"/>
        <v>28.34</v>
      </c>
      <c r="M28" s="51">
        <v>0</v>
      </c>
      <c r="N28" s="52">
        <f t="shared" si="1"/>
        <v>0</v>
      </c>
      <c r="O28" s="52">
        <f t="shared" si="2"/>
        <v>28.34</v>
      </c>
      <c r="P28" s="53">
        <f t="shared" si="11"/>
        <v>5.7156686767642143E-2</v>
      </c>
      <c r="Q28" s="52">
        <f t="shared" si="12"/>
        <v>495.82999999999993</v>
      </c>
      <c r="R28" s="54">
        <f t="shared" si="13"/>
        <v>5349.902</v>
      </c>
      <c r="S28" s="52">
        <f t="shared" si="14"/>
        <v>305.78267285158222</v>
      </c>
      <c r="T28" s="48" t="s">
        <v>76</v>
      </c>
      <c r="U28" s="55">
        <v>5599</v>
      </c>
      <c r="V28" s="56">
        <v>490110</v>
      </c>
    </row>
    <row r="29" spans="1:22" ht="15" customHeight="1">
      <c r="A29" s="44" t="s">
        <v>256</v>
      </c>
      <c r="B29" s="45" t="s">
        <v>37</v>
      </c>
      <c r="C29" s="45" t="s">
        <v>78</v>
      </c>
      <c r="D29" s="45" t="s">
        <v>111</v>
      </c>
      <c r="E29" s="46" t="s">
        <v>73</v>
      </c>
      <c r="F29" s="47" t="s">
        <v>81</v>
      </c>
      <c r="G29" s="48" t="s">
        <v>24</v>
      </c>
      <c r="H29" s="49" t="s">
        <v>75</v>
      </c>
      <c r="I29" s="48">
        <v>4000011856</v>
      </c>
      <c r="J29" s="52">
        <v>65.83</v>
      </c>
      <c r="K29" s="50"/>
      <c r="L29" s="52">
        <f t="shared" si="0"/>
        <v>65.83</v>
      </c>
      <c r="M29" s="51">
        <v>0</v>
      </c>
      <c r="N29" s="52">
        <f t="shared" si="1"/>
        <v>0</v>
      </c>
      <c r="O29" s="52">
        <f t="shared" si="2"/>
        <v>65.83</v>
      </c>
      <c r="P29" s="53">
        <f t="shared" si="11"/>
        <v>0.13276727910775873</v>
      </c>
      <c r="Q29" s="52">
        <f t="shared" si="12"/>
        <v>495.82999999999993</v>
      </c>
      <c r="R29" s="54">
        <f t="shared" si="13"/>
        <v>5349.902</v>
      </c>
      <c r="S29" s="52">
        <f t="shared" si="14"/>
        <v>710.29193203315663</v>
      </c>
      <c r="T29" s="48" t="s">
        <v>76</v>
      </c>
      <c r="U29" s="55">
        <v>5599</v>
      </c>
      <c r="V29" s="56">
        <v>490110</v>
      </c>
    </row>
    <row r="30" spans="1:22" ht="15" customHeight="1">
      <c r="A30" s="44" t="s">
        <v>256</v>
      </c>
      <c r="B30" s="45" t="s">
        <v>37</v>
      </c>
      <c r="C30" s="45" t="s">
        <v>78</v>
      </c>
      <c r="D30" s="45" t="s">
        <v>112</v>
      </c>
      <c r="E30" s="46" t="s">
        <v>73</v>
      </c>
      <c r="F30" s="47" t="s">
        <v>81</v>
      </c>
      <c r="G30" s="48" t="s">
        <v>24</v>
      </c>
      <c r="H30" s="49" t="s">
        <v>75</v>
      </c>
      <c r="I30" s="48">
        <v>4000011858</v>
      </c>
      <c r="J30" s="52">
        <v>16.29</v>
      </c>
      <c r="K30" s="50"/>
      <c r="L30" s="52">
        <f t="shared" si="0"/>
        <v>16.29</v>
      </c>
      <c r="M30" s="51">
        <v>0</v>
      </c>
      <c r="N30" s="52">
        <f t="shared" si="1"/>
        <v>0</v>
      </c>
      <c r="O30" s="52">
        <f t="shared" si="2"/>
        <v>16.29</v>
      </c>
      <c r="P30" s="53">
        <f t="shared" si="11"/>
        <v>3.2854002379847938E-2</v>
      </c>
      <c r="Q30" s="52">
        <f t="shared" si="12"/>
        <v>495.82999999999993</v>
      </c>
      <c r="R30" s="54">
        <f t="shared" si="13"/>
        <v>5349.902</v>
      </c>
      <c r="S30" s="52">
        <f t="shared" si="14"/>
        <v>175.76569303995325</v>
      </c>
      <c r="T30" s="48" t="s">
        <v>76</v>
      </c>
      <c r="U30" s="55">
        <v>5599</v>
      </c>
      <c r="V30" s="56">
        <v>490110</v>
      </c>
    </row>
    <row r="31" spans="1:22" ht="15" customHeight="1">
      <c r="A31" s="44" t="s">
        <v>256</v>
      </c>
      <c r="B31" s="45" t="s">
        <v>37</v>
      </c>
      <c r="C31" s="45" t="s">
        <v>113</v>
      </c>
      <c r="D31" s="45" t="s">
        <v>114</v>
      </c>
      <c r="E31" s="46" t="s">
        <v>73</v>
      </c>
      <c r="F31" s="47" t="s">
        <v>81</v>
      </c>
      <c r="G31" s="48" t="s">
        <v>24</v>
      </c>
      <c r="H31" s="49" t="s">
        <v>75</v>
      </c>
      <c r="I31" s="48">
        <v>4000011859</v>
      </c>
      <c r="J31" s="52">
        <v>54.55</v>
      </c>
      <c r="K31" s="50"/>
      <c r="L31" s="52">
        <f t="shared" si="0"/>
        <v>54.55</v>
      </c>
      <c r="M31" s="51">
        <v>0</v>
      </c>
      <c r="N31" s="52">
        <f t="shared" si="1"/>
        <v>0</v>
      </c>
      <c r="O31" s="52">
        <f t="shared" si="2"/>
        <v>54.55</v>
      </c>
      <c r="P31" s="53">
        <f t="shared" si="11"/>
        <v>0.11001754633644598</v>
      </c>
      <c r="Q31" s="52">
        <f t="shared" si="12"/>
        <v>495.82999999999993</v>
      </c>
      <c r="R31" s="54">
        <f t="shared" si="13"/>
        <v>5349.902</v>
      </c>
      <c r="S31" s="52">
        <f t="shared" si="14"/>
        <v>588.58309118044497</v>
      </c>
      <c r="T31" s="48" t="s">
        <v>76</v>
      </c>
      <c r="U31" s="55">
        <v>5599</v>
      </c>
      <c r="V31" s="56">
        <v>490110</v>
      </c>
    </row>
    <row r="32" spans="1:22" ht="15" customHeight="1">
      <c r="A32" s="44" t="s">
        <v>256</v>
      </c>
      <c r="B32" s="45" t="s">
        <v>37</v>
      </c>
      <c r="C32" s="45" t="s">
        <v>105</v>
      </c>
      <c r="D32" s="45" t="s">
        <v>115</v>
      </c>
      <c r="E32" s="46" t="s">
        <v>73</v>
      </c>
      <c r="F32" s="47" t="s">
        <v>74</v>
      </c>
      <c r="G32" s="48" t="s">
        <v>24</v>
      </c>
      <c r="H32" s="57" t="s">
        <v>84</v>
      </c>
      <c r="I32" s="48">
        <v>4000011780</v>
      </c>
      <c r="J32" s="52">
        <v>32.14</v>
      </c>
      <c r="K32" s="50"/>
      <c r="L32" s="52">
        <f t="shared" si="0"/>
        <v>32.14</v>
      </c>
      <c r="M32" s="51">
        <v>0</v>
      </c>
      <c r="N32" s="52">
        <f t="shared" si="1"/>
        <v>0</v>
      </c>
      <c r="O32" s="52">
        <f t="shared" si="2"/>
        <v>32.14</v>
      </c>
      <c r="P32" s="53">
        <f t="shared" si="11"/>
        <v>6.4820603835992183E-2</v>
      </c>
      <c r="Q32" s="52">
        <f t="shared" si="12"/>
        <v>495.82999999999993</v>
      </c>
      <c r="R32" s="54">
        <f t="shared" si="13"/>
        <v>5349.902</v>
      </c>
      <c r="S32" s="52">
        <f t="shared" si="14"/>
        <v>346.78387810338228</v>
      </c>
      <c r="T32" s="48" t="s">
        <v>76</v>
      </c>
      <c r="U32" s="55">
        <v>5599</v>
      </c>
      <c r="V32" s="56">
        <v>490110</v>
      </c>
    </row>
    <row r="33" spans="1:22" ht="15" customHeight="1">
      <c r="A33" s="44" t="s">
        <v>256</v>
      </c>
      <c r="B33" s="45" t="s">
        <v>37</v>
      </c>
      <c r="C33" s="45" t="s">
        <v>105</v>
      </c>
      <c r="D33" s="45" t="s">
        <v>116</v>
      </c>
      <c r="E33" s="46" t="s">
        <v>73</v>
      </c>
      <c r="F33" s="47" t="s">
        <v>74</v>
      </c>
      <c r="G33" s="48" t="s">
        <v>24</v>
      </c>
      <c r="H33" s="57" t="s">
        <v>84</v>
      </c>
      <c r="I33" s="48">
        <v>4000011781</v>
      </c>
      <c r="J33" s="52">
        <v>17.72</v>
      </c>
      <c r="K33" s="50"/>
      <c r="L33" s="52">
        <f t="shared" si="0"/>
        <v>17.72</v>
      </c>
      <c r="M33" s="51">
        <v>0</v>
      </c>
      <c r="N33" s="52">
        <f t="shared" si="1"/>
        <v>0</v>
      </c>
      <c r="O33" s="52">
        <f t="shared" si="2"/>
        <v>17.72</v>
      </c>
      <c r="P33" s="53">
        <f t="shared" si="11"/>
        <v>3.5738055381884924E-2</v>
      </c>
      <c r="Q33" s="52">
        <f t="shared" si="12"/>
        <v>495.82999999999993</v>
      </c>
      <c r="R33" s="54">
        <f t="shared" si="13"/>
        <v>5349.902</v>
      </c>
      <c r="S33" s="52">
        <f t="shared" si="14"/>
        <v>191.19509396365692</v>
      </c>
      <c r="T33" s="48" t="s">
        <v>76</v>
      </c>
      <c r="U33" s="55">
        <v>5599</v>
      </c>
      <c r="V33" s="56">
        <v>490110</v>
      </c>
    </row>
    <row r="34" spans="1:22" ht="15" customHeight="1">
      <c r="A34" s="44" t="s">
        <v>256</v>
      </c>
      <c r="B34" s="45" t="s">
        <v>37</v>
      </c>
      <c r="C34" s="45" t="s">
        <v>71</v>
      </c>
      <c r="D34" s="45" t="s">
        <v>117</v>
      </c>
      <c r="E34" s="46" t="s">
        <v>73</v>
      </c>
      <c r="F34" s="47" t="s">
        <v>74</v>
      </c>
      <c r="G34" s="48" t="s">
        <v>24</v>
      </c>
      <c r="H34" s="57" t="s">
        <v>84</v>
      </c>
      <c r="I34" s="48">
        <v>4000011782</v>
      </c>
      <c r="J34" s="52">
        <v>43.03</v>
      </c>
      <c r="K34" s="50"/>
      <c r="L34" s="52">
        <f t="shared" ref="L34:L65" si="15">J34+K34</f>
        <v>43.03</v>
      </c>
      <c r="M34" s="51">
        <v>0</v>
      </c>
      <c r="N34" s="52">
        <f t="shared" ref="N34:N65" si="16">M34*L34</f>
        <v>0</v>
      </c>
      <c r="O34" s="52">
        <f t="shared" ref="O34:O65" si="17">L34+N34</f>
        <v>43.03</v>
      </c>
      <c r="P34" s="53">
        <f t="shared" si="11"/>
        <v>8.6783776697658493E-2</v>
      </c>
      <c r="Q34" s="52">
        <f t="shared" si="12"/>
        <v>495.82999999999993</v>
      </c>
      <c r="R34" s="54">
        <f t="shared" si="13"/>
        <v>5349.902</v>
      </c>
      <c r="S34" s="52">
        <f t="shared" si="14"/>
        <v>464.28470052235656</v>
      </c>
      <c r="T34" s="48" t="s">
        <v>76</v>
      </c>
      <c r="U34" s="55">
        <v>5599</v>
      </c>
      <c r="V34" s="56">
        <v>490110</v>
      </c>
    </row>
    <row r="35" spans="1:22" ht="15" customHeight="1">
      <c r="A35" s="44" t="s">
        <v>256</v>
      </c>
      <c r="B35" s="45" t="s">
        <v>37</v>
      </c>
      <c r="C35" s="45" t="s">
        <v>71</v>
      </c>
      <c r="D35" s="45" t="s">
        <v>118</v>
      </c>
      <c r="E35" s="46" t="s">
        <v>73</v>
      </c>
      <c r="F35" s="47" t="s">
        <v>74</v>
      </c>
      <c r="G35" s="48" t="s">
        <v>24</v>
      </c>
      <c r="H35" s="57" t="s">
        <v>84</v>
      </c>
      <c r="I35" s="48">
        <v>4000011784</v>
      </c>
      <c r="J35" s="52">
        <v>19.22</v>
      </c>
      <c r="K35" s="50"/>
      <c r="L35" s="52">
        <f t="shared" si="15"/>
        <v>19.22</v>
      </c>
      <c r="M35" s="51">
        <v>0</v>
      </c>
      <c r="N35" s="52">
        <f t="shared" si="16"/>
        <v>0</v>
      </c>
      <c r="O35" s="52">
        <f t="shared" si="17"/>
        <v>19.22</v>
      </c>
      <c r="P35" s="53">
        <f t="shared" si="11"/>
        <v>3.8763285803602048E-2</v>
      </c>
      <c r="Q35" s="52">
        <f t="shared" si="12"/>
        <v>495.82999999999993</v>
      </c>
      <c r="R35" s="54">
        <f t="shared" si="13"/>
        <v>5349.902</v>
      </c>
      <c r="S35" s="52">
        <f t="shared" si="14"/>
        <v>207.3797802472622</v>
      </c>
      <c r="T35" s="48" t="s">
        <v>76</v>
      </c>
      <c r="U35" s="55">
        <v>5599</v>
      </c>
      <c r="V35" s="56">
        <v>490110</v>
      </c>
    </row>
    <row r="36" spans="1:22" ht="15" customHeight="1">
      <c r="A36" s="44" t="s">
        <v>256</v>
      </c>
      <c r="B36" s="45" t="s">
        <v>37</v>
      </c>
      <c r="C36" s="45" t="s">
        <v>78</v>
      </c>
      <c r="D36" s="45" t="s">
        <v>119</v>
      </c>
      <c r="E36" s="46" t="s">
        <v>73</v>
      </c>
      <c r="F36" s="47" t="s">
        <v>81</v>
      </c>
      <c r="G36" s="48" t="s">
        <v>24</v>
      </c>
      <c r="H36" s="57" t="s">
        <v>84</v>
      </c>
      <c r="I36" s="48">
        <v>4000011785</v>
      </c>
      <c r="J36" s="52">
        <v>53.56</v>
      </c>
      <c r="K36" s="50"/>
      <c r="L36" s="52">
        <f t="shared" si="15"/>
        <v>53.56</v>
      </c>
      <c r="M36" s="51">
        <v>0</v>
      </c>
      <c r="N36" s="52">
        <f t="shared" si="16"/>
        <v>0</v>
      </c>
      <c r="O36" s="52">
        <f t="shared" si="17"/>
        <v>53.56</v>
      </c>
      <c r="P36" s="53">
        <f t="shared" si="11"/>
        <v>0.10802089425811268</v>
      </c>
      <c r="Q36" s="52">
        <f t="shared" si="12"/>
        <v>495.82999999999993</v>
      </c>
      <c r="R36" s="54">
        <f t="shared" si="13"/>
        <v>5349.902</v>
      </c>
      <c r="S36" s="52">
        <f t="shared" si="14"/>
        <v>577.90119823326552</v>
      </c>
      <c r="T36" s="48" t="s">
        <v>76</v>
      </c>
      <c r="U36" s="55">
        <v>5599</v>
      </c>
      <c r="V36" s="56">
        <v>490110</v>
      </c>
    </row>
    <row r="37" spans="1:22" ht="15" customHeight="1">
      <c r="A37" s="44" t="s">
        <v>256</v>
      </c>
      <c r="B37" s="45" t="s">
        <v>37</v>
      </c>
      <c r="C37" s="45" t="s">
        <v>78</v>
      </c>
      <c r="D37" s="45" t="s">
        <v>120</v>
      </c>
      <c r="E37" s="46" t="s">
        <v>73</v>
      </c>
      <c r="F37" s="47" t="s">
        <v>81</v>
      </c>
      <c r="G37" s="48" t="s">
        <v>24</v>
      </c>
      <c r="H37" s="57" t="s">
        <v>84</v>
      </c>
      <c r="I37" s="48">
        <v>4000011786</v>
      </c>
      <c r="J37" s="52">
        <v>17.5</v>
      </c>
      <c r="K37" s="50"/>
      <c r="L37" s="52">
        <f t="shared" si="15"/>
        <v>17.5</v>
      </c>
      <c r="M37" s="51">
        <v>0</v>
      </c>
      <c r="N37" s="52">
        <f t="shared" si="16"/>
        <v>0</v>
      </c>
      <c r="O37" s="52">
        <f t="shared" si="17"/>
        <v>17.5</v>
      </c>
      <c r="P37" s="53">
        <f t="shared" si="11"/>
        <v>3.5294354920033084E-2</v>
      </c>
      <c r="Q37" s="52">
        <f t="shared" si="12"/>
        <v>495.82999999999993</v>
      </c>
      <c r="R37" s="54">
        <f t="shared" si="13"/>
        <v>5349.902</v>
      </c>
      <c r="S37" s="52">
        <f t="shared" si="14"/>
        <v>188.82133997539484</v>
      </c>
      <c r="T37" s="48" t="s">
        <v>76</v>
      </c>
      <c r="U37" s="55">
        <v>5599</v>
      </c>
      <c r="V37" s="56">
        <v>490110</v>
      </c>
    </row>
    <row r="38" spans="1:22" ht="15" customHeight="1">
      <c r="A38" s="44" t="s">
        <v>256</v>
      </c>
      <c r="B38" s="45" t="s">
        <v>37</v>
      </c>
      <c r="C38" s="45" t="s">
        <v>113</v>
      </c>
      <c r="D38" s="45" t="s">
        <v>121</v>
      </c>
      <c r="E38" s="46" t="s">
        <v>73</v>
      </c>
      <c r="F38" s="47" t="s">
        <v>81</v>
      </c>
      <c r="G38" s="48" t="s">
        <v>24</v>
      </c>
      <c r="H38" s="57" t="s">
        <v>84</v>
      </c>
      <c r="I38" s="48">
        <v>4000011787</v>
      </c>
      <c r="J38" s="52">
        <v>37.659999999999997</v>
      </c>
      <c r="K38" s="50"/>
      <c r="L38" s="52">
        <f t="shared" si="15"/>
        <v>37.659999999999997</v>
      </c>
      <c r="M38" s="51">
        <v>0</v>
      </c>
      <c r="N38" s="52">
        <f t="shared" si="16"/>
        <v>0</v>
      </c>
      <c r="O38" s="52">
        <f t="shared" si="17"/>
        <v>37.659999999999997</v>
      </c>
      <c r="P38" s="53">
        <f t="shared" si="11"/>
        <v>7.5953451787911186E-2</v>
      </c>
      <c r="Q38" s="52">
        <f t="shared" si="12"/>
        <v>495.82999999999993</v>
      </c>
      <c r="R38" s="54">
        <f t="shared" si="13"/>
        <v>5349.902</v>
      </c>
      <c r="S38" s="52">
        <f t="shared" si="14"/>
        <v>406.34352362704965</v>
      </c>
      <c r="T38" s="48" t="s">
        <v>76</v>
      </c>
      <c r="U38" s="55">
        <v>5599</v>
      </c>
      <c r="V38" s="56">
        <v>490110</v>
      </c>
    </row>
    <row r="39" spans="1:22" ht="15" customHeight="1">
      <c r="A39" s="44" t="s">
        <v>256</v>
      </c>
      <c r="B39" s="45" t="s">
        <v>37</v>
      </c>
      <c r="C39" s="45" t="s">
        <v>243</v>
      </c>
      <c r="D39" s="45" t="s">
        <v>246</v>
      </c>
      <c r="E39" s="46" t="s">
        <v>73</v>
      </c>
      <c r="F39" s="58" t="s">
        <v>90</v>
      </c>
      <c r="G39" s="48" t="s">
        <v>24</v>
      </c>
      <c r="H39" s="59" t="s">
        <v>75</v>
      </c>
      <c r="I39" s="60">
        <v>7000001003</v>
      </c>
      <c r="J39" s="61">
        <v>105.1</v>
      </c>
      <c r="K39" s="60">
        <v>10</v>
      </c>
      <c r="L39" s="61">
        <f t="shared" si="15"/>
        <v>115.1</v>
      </c>
      <c r="M39" s="62">
        <v>0.18</v>
      </c>
      <c r="N39" s="61">
        <f t="shared" si="16"/>
        <v>20.718</v>
      </c>
      <c r="O39" s="61">
        <f t="shared" si="17"/>
        <v>135.81799999999998</v>
      </c>
      <c r="P39" s="63">
        <v>0</v>
      </c>
      <c r="Q39" s="61">
        <f>O39</f>
        <v>135.81799999999998</v>
      </c>
      <c r="R39" s="64">
        <f>Q39</f>
        <v>135.81799999999998</v>
      </c>
      <c r="S39" s="61">
        <f>Q39</f>
        <v>135.81799999999998</v>
      </c>
      <c r="T39" s="60" t="s">
        <v>91</v>
      </c>
      <c r="U39" s="55">
        <v>5599</v>
      </c>
      <c r="V39" s="56">
        <v>49119990</v>
      </c>
    </row>
    <row r="40" spans="1:22" ht="15" customHeight="1">
      <c r="A40" s="44" t="s">
        <v>256</v>
      </c>
      <c r="B40" s="66" t="s">
        <v>37</v>
      </c>
      <c r="C40" s="66" t="s">
        <v>92</v>
      </c>
      <c r="D40" s="66" t="s">
        <v>93</v>
      </c>
      <c r="E40" s="67" t="s">
        <v>73</v>
      </c>
      <c r="F40" s="68" t="s">
        <v>94</v>
      </c>
      <c r="G40" s="69" t="s">
        <v>24</v>
      </c>
      <c r="H40" s="70" t="s">
        <v>75</v>
      </c>
      <c r="I40" s="71">
        <v>8400007</v>
      </c>
      <c r="J40" s="72">
        <v>96</v>
      </c>
      <c r="K40" s="73"/>
      <c r="L40" s="72">
        <f t="shared" si="15"/>
        <v>96</v>
      </c>
      <c r="M40" s="74">
        <v>0.18</v>
      </c>
      <c r="N40" s="72">
        <f t="shared" si="16"/>
        <v>17.28</v>
      </c>
      <c r="O40" s="72">
        <f t="shared" si="17"/>
        <v>113.28</v>
      </c>
      <c r="P40" s="75">
        <v>0</v>
      </c>
      <c r="Q40" s="72">
        <f>O40</f>
        <v>113.28</v>
      </c>
      <c r="R40" s="76">
        <f>Q40</f>
        <v>113.28</v>
      </c>
      <c r="S40" s="72">
        <f>Q40</f>
        <v>113.28</v>
      </c>
      <c r="T40" s="71" t="s">
        <v>91</v>
      </c>
      <c r="U40" s="77">
        <v>5599</v>
      </c>
      <c r="V40" s="78">
        <v>999299</v>
      </c>
    </row>
    <row r="41" spans="1:22" ht="15" customHeight="1">
      <c r="A41" s="44" t="s">
        <v>256</v>
      </c>
      <c r="B41" s="32" t="s">
        <v>38</v>
      </c>
      <c r="C41" s="32" t="s">
        <v>105</v>
      </c>
      <c r="D41" s="32" t="s">
        <v>123</v>
      </c>
      <c r="E41" s="33" t="s">
        <v>73</v>
      </c>
      <c r="F41" s="34" t="s">
        <v>74</v>
      </c>
      <c r="G41" s="35" t="s">
        <v>24</v>
      </c>
      <c r="H41" s="36" t="s">
        <v>75</v>
      </c>
      <c r="I41" s="35">
        <v>4000011788</v>
      </c>
      <c r="J41" s="39">
        <v>34.78</v>
      </c>
      <c r="K41" s="37"/>
      <c r="L41" s="39">
        <f t="shared" si="15"/>
        <v>34.78</v>
      </c>
      <c r="M41" s="38">
        <v>0</v>
      </c>
      <c r="N41" s="39">
        <f t="shared" si="16"/>
        <v>0</v>
      </c>
      <c r="O41" s="39">
        <f t="shared" si="17"/>
        <v>34.78</v>
      </c>
      <c r="P41" s="40">
        <f t="shared" ref="P41:P55" si="18">IFERROR(O41/Q41,"")</f>
        <v>6.3885674399808967E-2</v>
      </c>
      <c r="Q41" s="39">
        <f t="shared" ref="Q41:Q55" si="19">SUMIFS(O:O,T:T,T41,B:B,B41,A:A,A41,G:G,G41,E:E,E41)</f>
        <v>544.41</v>
      </c>
      <c r="R41" s="41">
        <f t="shared" ref="R41:R55" si="20">U41-SUMIFS(Q:Q,A:A,A41,B:B,B41,G:G,G41,E:E,E41,T:T,"Fixed Price ( Base Price with GST)")</f>
        <v>5324.06</v>
      </c>
      <c r="S41" s="39">
        <f t="shared" ref="S41:S55" si="21">P41*R41</f>
        <v>340.13116364504697</v>
      </c>
      <c r="T41" s="35" t="s">
        <v>76</v>
      </c>
      <c r="U41" s="42">
        <v>5599</v>
      </c>
      <c r="V41" s="43">
        <v>490110</v>
      </c>
    </row>
    <row r="42" spans="1:22" ht="15" customHeight="1">
      <c r="A42" s="44" t="s">
        <v>256</v>
      </c>
      <c r="B42" s="45" t="s">
        <v>38</v>
      </c>
      <c r="C42" s="45" t="s">
        <v>105</v>
      </c>
      <c r="D42" s="45" t="s">
        <v>124</v>
      </c>
      <c r="E42" s="46" t="s">
        <v>73</v>
      </c>
      <c r="F42" s="47" t="s">
        <v>74</v>
      </c>
      <c r="G42" s="48" t="s">
        <v>24</v>
      </c>
      <c r="H42" s="49" t="s">
        <v>75</v>
      </c>
      <c r="I42" s="48">
        <v>4000011789</v>
      </c>
      <c r="J42" s="52">
        <v>19.34</v>
      </c>
      <c r="K42" s="50"/>
      <c r="L42" s="52">
        <f t="shared" si="15"/>
        <v>19.34</v>
      </c>
      <c r="M42" s="51">
        <v>0</v>
      </c>
      <c r="N42" s="52">
        <f t="shared" si="16"/>
        <v>0</v>
      </c>
      <c r="O42" s="52">
        <f t="shared" si="17"/>
        <v>19.34</v>
      </c>
      <c r="P42" s="53">
        <f t="shared" si="18"/>
        <v>3.5524696460388312E-2</v>
      </c>
      <c r="Q42" s="52">
        <f t="shared" si="19"/>
        <v>544.41</v>
      </c>
      <c r="R42" s="54">
        <f t="shared" si="20"/>
        <v>5324.06</v>
      </c>
      <c r="S42" s="52">
        <f t="shared" si="21"/>
        <v>189.13561543689502</v>
      </c>
      <c r="T42" s="48" t="s">
        <v>76</v>
      </c>
      <c r="U42" s="55">
        <v>5599</v>
      </c>
      <c r="V42" s="56">
        <v>490110</v>
      </c>
    </row>
    <row r="43" spans="1:22" ht="15" customHeight="1">
      <c r="A43" s="44" t="s">
        <v>256</v>
      </c>
      <c r="B43" s="45" t="s">
        <v>38</v>
      </c>
      <c r="C43" s="45" t="s">
        <v>71</v>
      </c>
      <c r="D43" s="45" t="s">
        <v>125</v>
      </c>
      <c r="E43" s="46" t="s">
        <v>73</v>
      </c>
      <c r="F43" s="47" t="s">
        <v>74</v>
      </c>
      <c r="G43" s="48" t="s">
        <v>24</v>
      </c>
      <c r="H43" s="49" t="s">
        <v>75</v>
      </c>
      <c r="I43" s="48">
        <v>4000011790</v>
      </c>
      <c r="J43" s="52">
        <v>45.67</v>
      </c>
      <c r="K43" s="50"/>
      <c r="L43" s="52">
        <f t="shared" si="15"/>
        <v>45.67</v>
      </c>
      <c r="M43" s="51">
        <v>0</v>
      </c>
      <c r="N43" s="52">
        <f t="shared" si="16"/>
        <v>0</v>
      </c>
      <c r="O43" s="52">
        <f t="shared" si="17"/>
        <v>45.67</v>
      </c>
      <c r="P43" s="53">
        <f t="shared" si="18"/>
        <v>8.388898073143404E-2</v>
      </c>
      <c r="Q43" s="52">
        <f t="shared" si="19"/>
        <v>544.41</v>
      </c>
      <c r="R43" s="54">
        <f t="shared" si="20"/>
        <v>5324.06</v>
      </c>
      <c r="S43" s="52">
        <f t="shared" si="21"/>
        <v>446.62996675299877</v>
      </c>
      <c r="T43" s="48" t="s">
        <v>76</v>
      </c>
      <c r="U43" s="55">
        <v>5599</v>
      </c>
      <c r="V43" s="56">
        <v>490110</v>
      </c>
    </row>
    <row r="44" spans="1:22" ht="15" customHeight="1">
      <c r="A44" s="44" t="s">
        <v>256</v>
      </c>
      <c r="B44" s="45" t="s">
        <v>38</v>
      </c>
      <c r="C44" s="45" t="s">
        <v>71</v>
      </c>
      <c r="D44" s="45" t="s">
        <v>126</v>
      </c>
      <c r="E44" s="46" t="s">
        <v>73</v>
      </c>
      <c r="F44" s="47" t="s">
        <v>74</v>
      </c>
      <c r="G44" s="48" t="s">
        <v>24</v>
      </c>
      <c r="H44" s="49" t="s">
        <v>75</v>
      </c>
      <c r="I44" s="48">
        <v>4000011791</v>
      </c>
      <c r="J44" s="52">
        <v>20.8</v>
      </c>
      <c r="K44" s="50"/>
      <c r="L44" s="52">
        <f t="shared" si="15"/>
        <v>20.8</v>
      </c>
      <c r="M44" s="51">
        <v>0</v>
      </c>
      <c r="N44" s="52">
        <f t="shared" si="16"/>
        <v>0</v>
      </c>
      <c r="O44" s="52">
        <f t="shared" si="17"/>
        <v>20.8</v>
      </c>
      <c r="P44" s="53">
        <f t="shared" si="18"/>
        <v>3.8206498778494156E-2</v>
      </c>
      <c r="Q44" s="52">
        <f t="shared" si="19"/>
        <v>544.41</v>
      </c>
      <c r="R44" s="54">
        <f t="shared" si="20"/>
        <v>5324.06</v>
      </c>
      <c r="S44" s="52">
        <f t="shared" si="21"/>
        <v>203.41369188662961</v>
      </c>
      <c r="T44" s="48" t="s">
        <v>76</v>
      </c>
      <c r="U44" s="55">
        <v>5599</v>
      </c>
      <c r="V44" s="56">
        <v>490110</v>
      </c>
    </row>
    <row r="45" spans="1:22" ht="15" customHeight="1">
      <c r="A45" s="44" t="s">
        <v>256</v>
      </c>
      <c r="B45" s="45" t="s">
        <v>38</v>
      </c>
      <c r="C45" s="45" t="s">
        <v>78</v>
      </c>
      <c r="D45" s="45" t="s">
        <v>127</v>
      </c>
      <c r="E45" s="46" t="s">
        <v>73</v>
      </c>
      <c r="F45" s="47" t="s">
        <v>74</v>
      </c>
      <c r="G45" s="48" t="s">
        <v>24</v>
      </c>
      <c r="H45" s="49" t="s">
        <v>75</v>
      </c>
      <c r="I45" s="48">
        <v>4000011793</v>
      </c>
      <c r="J45" s="52">
        <v>30.65</v>
      </c>
      <c r="K45" s="50"/>
      <c r="L45" s="52">
        <f t="shared" si="15"/>
        <v>30.65</v>
      </c>
      <c r="M45" s="51">
        <v>0</v>
      </c>
      <c r="N45" s="52">
        <f t="shared" si="16"/>
        <v>0</v>
      </c>
      <c r="O45" s="52">
        <f t="shared" si="17"/>
        <v>30.65</v>
      </c>
      <c r="P45" s="53">
        <f t="shared" si="18"/>
        <v>5.6299480171194502E-2</v>
      </c>
      <c r="Q45" s="52">
        <f t="shared" si="19"/>
        <v>544.41</v>
      </c>
      <c r="R45" s="54">
        <f t="shared" si="20"/>
        <v>5324.06</v>
      </c>
      <c r="S45" s="52">
        <f t="shared" si="21"/>
        <v>299.74181040024985</v>
      </c>
      <c r="T45" s="48" t="s">
        <v>76</v>
      </c>
      <c r="U45" s="55">
        <v>5599</v>
      </c>
      <c r="V45" s="56">
        <v>490110</v>
      </c>
    </row>
    <row r="46" spans="1:22" ht="15" customHeight="1">
      <c r="A46" s="44" t="s">
        <v>256</v>
      </c>
      <c r="B46" s="45" t="s">
        <v>38</v>
      </c>
      <c r="C46" s="45" t="s">
        <v>78</v>
      </c>
      <c r="D46" s="45" t="s">
        <v>128</v>
      </c>
      <c r="E46" s="46" t="s">
        <v>73</v>
      </c>
      <c r="F46" s="47" t="s">
        <v>81</v>
      </c>
      <c r="G46" s="48" t="s">
        <v>24</v>
      </c>
      <c r="H46" s="49" t="s">
        <v>75</v>
      </c>
      <c r="I46" s="48">
        <v>4000011792</v>
      </c>
      <c r="J46" s="52">
        <v>60.27</v>
      </c>
      <c r="K46" s="50"/>
      <c r="L46" s="52">
        <f t="shared" si="15"/>
        <v>60.27</v>
      </c>
      <c r="M46" s="51">
        <v>0</v>
      </c>
      <c r="N46" s="52">
        <f t="shared" si="16"/>
        <v>0</v>
      </c>
      <c r="O46" s="52">
        <f t="shared" si="17"/>
        <v>60.27</v>
      </c>
      <c r="P46" s="53">
        <f t="shared" si="18"/>
        <v>0.11070700391249244</v>
      </c>
      <c r="Q46" s="52">
        <f t="shared" si="19"/>
        <v>544.41</v>
      </c>
      <c r="R46" s="54">
        <f t="shared" si="20"/>
        <v>5324.06</v>
      </c>
      <c r="S46" s="52">
        <f t="shared" si="21"/>
        <v>589.4107312503445</v>
      </c>
      <c r="T46" s="48" t="s">
        <v>76</v>
      </c>
      <c r="U46" s="55">
        <v>5599</v>
      </c>
      <c r="V46" s="56">
        <v>490110</v>
      </c>
    </row>
    <row r="47" spans="1:22" ht="15" customHeight="1">
      <c r="A47" s="44" t="s">
        <v>256</v>
      </c>
      <c r="B47" s="45" t="s">
        <v>38</v>
      </c>
      <c r="C47" s="45" t="s">
        <v>78</v>
      </c>
      <c r="D47" s="45" t="s">
        <v>129</v>
      </c>
      <c r="E47" s="46" t="s">
        <v>73</v>
      </c>
      <c r="F47" s="47" t="s">
        <v>81</v>
      </c>
      <c r="G47" s="48" t="s">
        <v>24</v>
      </c>
      <c r="H47" s="49" t="s">
        <v>75</v>
      </c>
      <c r="I47" s="48">
        <v>4000011795</v>
      </c>
      <c r="J47" s="52">
        <v>17.84</v>
      </c>
      <c r="K47" s="50"/>
      <c r="L47" s="52">
        <f t="shared" si="15"/>
        <v>17.84</v>
      </c>
      <c r="M47" s="51">
        <v>0</v>
      </c>
      <c r="N47" s="52">
        <f t="shared" si="16"/>
        <v>0</v>
      </c>
      <c r="O47" s="52">
        <f t="shared" si="17"/>
        <v>17.84</v>
      </c>
      <c r="P47" s="53">
        <f t="shared" si="18"/>
        <v>3.2769420106169983E-2</v>
      </c>
      <c r="Q47" s="52">
        <f t="shared" si="19"/>
        <v>544.41</v>
      </c>
      <c r="R47" s="54">
        <f t="shared" si="20"/>
        <v>5324.06</v>
      </c>
      <c r="S47" s="52">
        <f t="shared" si="21"/>
        <v>174.46635881045538</v>
      </c>
      <c r="T47" s="48" t="s">
        <v>76</v>
      </c>
      <c r="U47" s="55">
        <v>5599</v>
      </c>
      <c r="V47" s="56">
        <v>490110</v>
      </c>
    </row>
    <row r="48" spans="1:22" ht="15" customHeight="1">
      <c r="A48" s="44" t="s">
        <v>256</v>
      </c>
      <c r="B48" s="45" t="s">
        <v>38</v>
      </c>
      <c r="C48" s="45" t="s">
        <v>113</v>
      </c>
      <c r="D48" s="45" t="s">
        <v>130</v>
      </c>
      <c r="E48" s="46" t="s">
        <v>73</v>
      </c>
      <c r="F48" s="47" t="s">
        <v>81</v>
      </c>
      <c r="G48" s="48" t="s">
        <v>24</v>
      </c>
      <c r="H48" s="49" t="s">
        <v>75</v>
      </c>
      <c r="I48" s="48">
        <v>4000011796</v>
      </c>
      <c r="J48" s="52">
        <v>57.61</v>
      </c>
      <c r="K48" s="50"/>
      <c r="L48" s="52">
        <f t="shared" si="15"/>
        <v>57.61</v>
      </c>
      <c r="M48" s="51">
        <v>0</v>
      </c>
      <c r="N48" s="52">
        <f t="shared" si="16"/>
        <v>0</v>
      </c>
      <c r="O48" s="52">
        <f t="shared" si="17"/>
        <v>57.61</v>
      </c>
      <c r="P48" s="53">
        <f t="shared" si="18"/>
        <v>0.10582098051101192</v>
      </c>
      <c r="Q48" s="52">
        <f t="shared" si="19"/>
        <v>544.41</v>
      </c>
      <c r="R48" s="54">
        <f t="shared" si="20"/>
        <v>5324.06</v>
      </c>
      <c r="S48" s="52">
        <f t="shared" si="21"/>
        <v>563.39724949945821</v>
      </c>
      <c r="T48" s="48" t="s">
        <v>76</v>
      </c>
      <c r="U48" s="55">
        <v>5599</v>
      </c>
      <c r="V48" s="56">
        <v>490110</v>
      </c>
    </row>
    <row r="49" spans="1:22" ht="15" customHeight="1">
      <c r="A49" s="44" t="s">
        <v>256</v>
      </c>
      <c r="B49" s="45" t="s">
        <v>38</v>
      </c>
      <c r="C49" s="45" t="s">
        <v>105</v>
      </c>
      <c r="D49" s="45" t="s">
        <v>131</v>
      </c>
      <c r="E49" s="46" t="s">
        <v>73</v>
      </c>
      <c r="F49" s="47" t="s">
        <v>74</v>
      </c>
      <c r="G49" s="48" t="s">
        <v>24</v>
      </c>
      <c r="H49" s="57" t="s">
        <v>84</v>
      </c>
      <c r="I49" s="48">
        <v>4000011797</v>
      </c>
      <c r="J49" s="52">
        <v>39.18</v>
      </c>
      <c r="K49" s="50"/>
      <c r="L49" s="52">
        <f t="shared" si="15"/>
        <v>39.18</v>
      </c>
      <c r="M49" s="51">
        <v>0</v>
      </c>
      <c r="N49" s="52">
        <f t="shared" si="16"/>
        <v>0</v>
      </c>
      <c r="O49" s="52">
        <f t="shared" si="17"/>
        <v>39.18</v>
      </c>
      <c r="P49" s="53">
        <f t="shared" si="18"/>
        <v>7.1967818372182732E-2</v>
      </c>
      <c r="Q49" s="52">
        <f t="shared" si="19"/>
        <v>544.41</v>
      </c>
      <c r="R49" s="54">
        <f t="shared" si="20"/>
        <v>5324.06</v>
      </c>
      <c r="S49" s="52">
        <f t="shared" si="21"/>
        <v>383.16098308260325</v>
      </c>
      <c r="T49" s="48" t="s">
        <v>76</v>
      </c>
      <c r="U49" s="55">
        <v>5599</v>
      </c>
      <c r="V49" s="56">
        <v>490110</v>
      </c>
    </row>
    <row r="50" spans="1:22" ht="15" customHeight="1">
      <c r="A50" s="44" t="s">
        <v>256</v>
      </c>
      <c r="B50" s="45" t="s">
        <v>38</v>
      </c>
      <c r="C50" s="45" t="s">
        <v>105</v>
      </c>
      <c r="D50" s="45" t="s">
        <v>132</v>
      </c>
      <c r="E50" s="46" t="s">
        <v>73</v>
      </c>
      <c r="F50" s="47" t="s">
        <v>74</v>
      </c>
      <c r="G50" s="48" t="s">
        <v>24</v>
      </c>
      <c r="H50" s="57" t="s">
        <v>84</v>
      </c>
      <c r="I50" s="48">
        <v>4000011798</v>
      </c>
      <c r="J50" s="52">
        <v>19.34</v>
      </c>
      <c r="K50" s="50"/>
      <c r="L50" s="52">
        <f t="shared" si="15"/>
        <v>19.34</v>
      </c>
      <c r="M50" s="51">
        <v>0</v>
      </c>
      <c r="N50" s="52">
        <f t="shared" si="16"/>
        <v>0</v>
      </c>
      <c r="O50" s="52">
        <f t="shared" si="17"/>
        <v>19.34</v>
      </c>
      <c r="P50" s="53">
        <f t="shared" si="18"/>
        <v>3.5524696460388312E-2</v>
      </c>
      <c r="Q50" s="52">
        <f t="shared" si="19"/>
        <v>544.41</v>
      </c>
      <c r="R50" s="54">
        <f t="shared" si="20"/>
        <v>5324.06</v>
      </c>
      <c r="S50" s="52">
        <f t="shared" si="21"/>
        <v>189.13561543689502</v>
      </c>
      <c r="T50" s="48" t="s">
        <v>76</v>
      </c>
      <c r="U50" s="55">
        <v>5599</v>
      </c>
      <c r="V50" s="56">
        <v>490110</v>
      </c>
    </row>
    <row r="51" spans="1:22" ht="15" customHeight="1">
      <c r="A51" s="44" t="s">
        <v>256</v>
      </c>
      <c r="B51" s="45" t="s">
        <v>38</v>
      </c>
      <c r="C51" s="45" t="s">
        <v>71</v>
      </c>
      <c r="D51" s="45" t="s">
        <v>133</v>
      </c>
      <c r="E51" s="46" t="s">
        <v>73</v>
      </c>
      <c r="F51" s="47" t="s">
        <v>74</v>
      </c>
      <c r="G51" s="48" t="s">
        <v>24</v>
      </c>
      <c r="H51" s="57" t="s">
        <v>84</v>
      </c>
      <c r="I51" s="48">
        <v>4000011799</v>
      </c>
      <c r="J51" s="52">
        <v>50.05</v>
      </c>
      <c r="K51" s="50"/>
      <c r="L51" s="52">
        <f t="shared" si="15"/>
        <v>50.05</v>
      </c>
      <c r="M51" s="51">
        <v>0</v>
      </c>
      <c r="N51" s="52">
        <f t="shared" si="16"/>
        <v>0</v>
      </c>
      <c r="O51" s="52">
        <f t="shared" si="17"/>
        <v>50.05</v>
      </c>
      <c r="P51" s="53">
        <f t="shared" si="18"/>
        <v>9.1934387685751545E-2</v>
      </c>
      <c r="Q51" s="52">
        <f t="shared" si="19"/>
        <v>544.41</v>
      </c>
      <c r="R51" s="54">
        <f t="shared" si="20"/>
        <v>5324.06</v>
      </c>
      <c r="S51" s="52">
        <f t="shared" si="21"/>
        <v>489.46419610220244</v>
      </c>
      <c r="T51" s="48" t="s">
        <v>76</v>
      </c>
      <c r="U51" s="55">
        <v>5599</v>
      </c>
      <c r="V51" s="56">
        <v>490110</v>
      </c>
    </row>
    <row r="52" spans="1:22" ht="15" customHeight="1">
      <c r="A52" s="44" t="s">
        <v>256</v>
      </c>
      <c r="B52" s="45" t="s">
        <v>38</v>
      </c>
      <c r="C52" s="45" t="s">
        <v>71</v>
      </c>
      <c r="D52" s="45" t="s">
        <v>134</v>
      </c>
      <c r="E52" s="46" t="s">
        <v>73</v>
      </c>
      <c r="F52" s="47" t="s">
        <v>74</v>
      </c>
      <c r="G52" s="48" t="s">
        <v>24</v>
      </c>
      <c r="H52" s="57" t="s">
        <v>84</v>
      </c>
      <c r="I52" s="48">
        <v>4000011800</v>
      </c>
      <c r="J52" s="52">
        <v>19.34</v>
      </c>
      <c r="K52" s="50"/>
      <c r="L52" s="52">
        <f t="shared" si="15"/>
        <v>19.34</v>
      </c>
      <c r="M52" s="51">
        <v>0</v>
      </c>
      <c r="N52" s="52">
        <f t="shared" si="16"/>
        <v>0</v>
      </c>
      <c r="O52" s="52">
        <f t="shared" si="17"/>
        <v>19.34</v>
      </c>
      <c r="P52" s="53">
        <f t="shared" si="18"/>
        <v>3.5524696460388312E-2</v>
      </c>
      <c r="Q52" s="52">
        <f t="shared" si="19"/>
        <v>544.41</v>
      </c>
      <c r="R52" s="54">
        <f t="shared" si="20"/>
        <v>5324.06</v>
      </c>
      <c r="S52" s="52">
        <f t="shared" si="21"/>
        <v>189.13561543689502</v>
      </c>
      <c r="T52" s="48" t="s">
        <v>76</v>
      </c>
      <c r="U52" s="55">
        <v>5599</v>
      </c>
      <c r="V52" s="56">
        <v>490110</v>
      </c>
    </row>
    <row r="53" spans="1:22" ht="15" customHeight="1">
      <c r="A53" s="44" t="s">
        <v>256</v>
      </c>
      <c r="B53" s="45" t="s">
        <v>38</v>
      </c>
      <c r="C53" s="45" t="s">
        <v>78</v>
      </c>
      <c r="D53" s="45" t="s">
        <v>135</v>
      </c>
      <c r="E53" s="46" t="s">
        <v>73</v>
      </c>
      <c r="F53" s="47" t="s">
        <v>81</v>
      </c>
      <c r="G53" s="48" t="s">
        <v>24</v>
      </c>
      <c r="H53" s="57" t="s">
        <v>84</v>
      </c>
      <c r="I53" s="48">
        <v>4000011801</v>
      </c>
      <c r="J53" s="52">
        <v>65.510000000000005</v>
      </c>
      <c r="K53" s="50"/>
      <c r="L53" s="52">
        <f t="shared" si="15"/>
        <v>65.510000000000005</v>
      </c>
      <c r="M53" s="51">
        <v>0</v>
      </c>
      <c r="N53" s="52">
        <f t="shared" si="16"/>
        <v>0</v>
      </c>
      <c r="O53" s="52">
        <f t="shared" si="17"/>
        <v>65.510000000000005</v>
      </c>
      <c r="P53" s="53">
        <f t="shared" si="18"/>
        <v>0.12033210264322847</v>
      </c>
      <c r="Q53" s="52">
        <f t="shared" si="19"/>
        <v>544.41</v>
      </c>
      <c r="R53" s="54">
        <f t="shared" si="20"/>
        <v>5324.06</v>
      </c>
      <c r="S53" s="52">
        <f t="shared" si="21"/>
        <v>640.65533439870705</v>
      </c>
      <c r="T53" s="48" t="s">
        <v>76</v>
      </c>
      <c r="U53" s="55">
        <v>5599</v>
      </c>
      <c r="V53" s="56">
        <v>490110</v>
      </c>
    </row>
    <row r="54" spans="1:22" ht="15" customHeight="1">
      <c r="A54" s="44" t="s">
        <v>256</v>
      </c>
      <c r="B54" s="45" t="s">
        <v>38</v>
      </c>
      <c r="C54" s="45" t="s">
        <v>78</v>
      </c>
      <c r="D54" s="45" t="s">
        <v>136</v>
      </c>
      <c r="E54" s="46" t="s">
        <v>73</v>
      </c>
      <c r="F54" s="47" t="s">
        <v>81</v>
      </c>
      <c r="G54" s="48" t="s">
        <v>24</v>
      </c>
      <c r="H54" s="57" t="s">
        <v>84</v>
      </c>
      <c r="I54" s="48">
        <v>4000011802</v>
      </c>
      <c r="J54" s="52">
        <v>19.05</v>
      </c>
      <c r="K54" s="50"/>
      <c r="L54" s="52">
        <f t="shared" si="15"/>
        <v>19.05</v>
      </c>
      <c r="M54" s="51">
        <v>0</v>
      </c>
      <c r="N54" s="52">
        <f t="shared" si="16"/>
        <v>0</v>
      </c>
      <c r="O54" s="52">
        <f t="shared" si="17"/>
        <v>19.05</v>
      </c>
      <c r="P54" s="53">
        <f t="shared" si="18"/>
        <v>3.4992009698572774E-2</v>
      </c>
      <c r="Q54" s="52">
        <f t="shared" si="19"/>
        <v>544.41</v>
      </c>
      <c r="R54" s="54">
        <f t="shared" si="20"/>
        <v>5324.06</v>
      </c>
      <c r="S54" s="52">
        <f t="shared" si="21"/>
        <v>186.29955915578338</v>
      </c>
      <c r="T54" s="48" t="s">
        <v>76</v>
      </c>
      <c r="U54" s="55">
        <v>5599</v>
      </c>
      <c r="V54" s="56">
        <v>490110</v>
      </c>
    </row>
    <row r="55" spans="1:22" ht="15" customHeight="1">
      <c r="A55" s="44" t="s">
        <v>256</v>
      </c>
      <c r="B55" s="45" t="s">
        <v>38</v>
      </c>
      <c r="C55" s="45" t="s">
        <v>113</v>
      </c>
      <c r="D55" s="45" t="s">
        <v>137</v>
      </c>
      <c r="E55" s="46" t="s">
        <v>73</v>
      </c>
      <c r="F55" s="47" t="s">
        <v>81</v>
      </c>
      <c r="G55" s="48" t="s">
        <v>24</v>
      </c>
      <c r="H55" s="57" t="s">
        <v>84</v>
      </c>
      <c r="I55" s="48">
        <v>4000011803</v>
      </c>
      <c r="J55" s="52">
        <v>44.98</v>
      </c>
      <c r="K55" s="50"/>
      <c r="L55" s="52">
        <f t="shared" si="15"/>
        <v>44.98</v>
      </c>
      <c r="M55" s="51">
        <v>0</v>
      </c>
      <c r="N55" s="52">
        <f t="shared" si="16"/>
        <v>0</v>
      </c>
      <c r="O55" s="52">
        <f t="shared" si="17"/>
        <v>44.98</v>
      </c>
      <c r="P55" s="53">
        <f t="shared" si="18"/>
        <v>8.2621553608493603E-2</v>
      </c>
      <c r="Q55" s="52">
        <f t="shared" si="19"/>
        <v>544.41</v>
      </c>
      <c r="R55" s="54">
        <f t="shared" si="20"/>
        <v>5324.06</v>
      </c>
      <c r="S55" s="52">
        <f t="shared" si="21"/>
        <v>439.88210870483647</v>
      </c>
      <c r="T55" s="48" t="s">
        <v>76</v>
      </c>
      <c r="U55" s="55">
        <v>5599</v>
      </c>
      <c r="V55" s="56">
        <v>490110</v>
      </c>
    </row>
    <row r="56" spans="1:22" ht="15" customHeight="1">
      <c r="A56" s="44" t="s">
        <v>256</v>
      </c>
      <c r="B56" s="45" t="s">
        <v>38</v>
      </c>
      <c r="C56" s="45" t="s">
        <v>243</v>
      </c>
      <c r="D56" s="45" t="s">
        <v>247</v>
      </c>
      <c r="E56" s="46" t="s">
        <v>73</v>
      </c>
      <c r="F56" s="58" t="s">
        <v>90</v>
      </c>
      <c r="G56" s="48" t="s">
        <v>24</v>
      </c>
      <c r="H56" s="59" t="s">
        <v>75</v>
      </c>
      <c r="I56" s="60">
        <v>7000001004</v>
      </c>
      <c r="J56" s="61">
        <v>127</v>
      </c>
      <c r="K56" s="60">
        <v>10</v>
      </c>
      <c r="L56" s="61">
        <f t="shared" si="15"/>
        <v>137</v>
      </c>
      <c r="M56" s="62">
        <v>0.18</v>
      </c>
      <c r="N56" s="61">
        <f t="shared" si="16"/>
        <v>24.66</v>
      </c>
      <c r="O56" s="61">
        <f t="shared" si="17"/>
        <v>161.66</v>
      </c>
      <c r="P56" s="63">
        <v>0</v>
      </c>
      <c r="Q56" s="61">
        <f>O56</f>
        <v>161.66</v>
      </c>
      <c r="R56" s="64">
        <f>Q56</f>
        <v>161.66</v>
      </c>
      <c r="S56" s="61">
        <f>Q56</f>
        <v>161.66</v>
      </c>
      <c r="T56" s="60" t="s">
        <v>91</v>
      </c>
      <c r="U56" s="55">
        <v>5599</v>
      </c>
      <c r="V56" s="56">
        <v>49119990</v>
      </c>
    </row>
    <row r="57" spans="1:22" ht="15" customHeight="1">
      <c r="A57" s="44" t="s">
        <v>256</v>
      </c>
      <c r="B57" s="66" t="s">
        <v>38</v>
      </c>
      <c r="C57" s="66" t="s">
        <v>92</v>
      </c>
      <c r="D57" s="66" t="s">
        <v>93</v>
      </c>
      <c r="E57" s="67" t="s">
        <v>73</v>
      </c>
      <c r="F57" s="68" t="s">
        <v>94</v>
      </c>
      <c r="G57" s="69" t="s">
        <v>24</v>
      </c>
      <c r="H57" s="70" t="s">
        <v>75</v>
      </c>
      <c r="I57" s="71">
        <v>8400007</v>
      </c>
      <c r="J57" s="72">
        <v>96</v>
      </c>
      <c r="K57" s="73"/>
      <c r="L57" s="72">
        <f t="shared" si="15"/>
        <v>96</v>
      </c>
      <c r="M57" s="74">
        <v>0.18</v>
      </c>
      <c r="N57" s="72">
        <f t="shared" si="16"/>
        <v>17.28</v>
      </c>
      <c r="O57" s="72">
        <f t="shared" si="17"/>
        <v>113.28</v>
      </c>
      <c r="P57" s="75">
        <v>0</v>
      </c>
      <c r="Q57" s="72">
        <f>O57</f>
        <v>113.28</v>
      </c>
      <c r="R57" s="76">
        <f>Q57</f>
        <v>113.28</v>
      </c>
      <c r="S57" s="72">
        <f>Q57</f>
        <v>113.28</v>
      </c>
      <c r="T57" s="71" t="s">
        <v>91</v>
      </c>
      <c r="U57" s="77">
        <v>5599</v>
      </c>
      <c r="V57" s="78">
        <v>999299</v>
      </c>
    </row>
    <row r="58" spans="1:22" ht="15" customHeight="1">
      <c r="A58" s="44" t="s">
        <v>256</v>
      </c>
      <c r="B58" s="32" t="s">
        <v>39</v>
      </c>
      <c r="C58" s="32" t="s">
        <v>105</v>
      </c>
      <c r="D58" s="32" t="s">
        <v>139</v>
      </c>
      <c r="E58" s="33" t="s">
        <v>73</v>
      </c>
      <c r="F58" s="34" t="s">
        <v>74</v>
      </c>
      <c r="G58" s="35" t="s">
        <v>24</v>
      </c>
      <c r="H58" s="36" t="s">
        <v>75</v>
      </c>
      <c r="I58" s="35">
        <v>4000011804</v>
      </c>
      <c r="J58" s="39">
        <v>39.65</v>
      </c>
      <c r="K58" s="37"/>
      <c r="L58" s="39">
        <f t="shared" si="15"/>
        <v>39.65</v>
      </c>
      <c r="M58" s="38">
        <v>0</v>
      </c>
      <c r="N58" s="39">
        <f t="shared" si="16"/>
        <v>0</v>
      </c>
      <c r="O58" s="39">
        <f t="shared" si="17"/>
        <v>39.65</v>
      </c>
      <c r="P58" s="40">
        <f t="shared" ref="P58:P72" si="22">IFERROR(O58/Q58,"")</f>
        <v>7.1625991292880747E-2</v>
      </c>
      <c r="Q58" s="39">
        <f t="shared" ref="Q58:Q72" si="23">SUMIFS(O:O,T:T,T58,B:B,B58,A:A,A58,G:G,G58,E:E,E58)</f>
        <v>553.57000000000005</v>
      </c>
      <c r="R58" s="41">
        <f t="shared" ref="R58:R72" si="24">U58-SUMIFS(Q:Q,A:A,A58,B:B,B58,G:G,G58,E:E,E58,T:T,"Fixed Price ( Base Price with GST)")</f>
        <v>5341.17</v>
      </c>
      <c r="S58" s="39">
        <f t="shared" ref="S58:S72" si="25">P58*R58</f>
        <v>382.56659591379588</v>
      </c>
      <c r="T58" s="35" t="s">
        <v>76</v>
      </c>
      <c r="U58" s="42">
        <v>5599</v>
      </c>
      <c r="V58" s="43">
        <v>490110</v>
      </c>
    </row>
    <row r="59" spans="1:22" ht="15" customHeight="1">
      <c r="A59" s="44" t="s">
        <v>256</v>
      </c>
      <c r="B59" s="45" t="s">
        <v>39</v>
      </c>
      <c r="C59" s="45" t="s">
        <v>105</v>
      </c>
      <c r="D59" s="45" t="s">
        <v>140</v>
      </c>
      <c r="E59" s="46" t="s">
        <v>73</v>
      </c>
      <c r="F59" s="47" t="s">
        <v>74</v>
      </c>
      <c r="G59" s="48" t="s">
        <v>24</v>
      </c>
      <c r="H59" s="49" t="s">
        <v>75</v>
      </c>
      <c r="I59" s="48">
        <v>4000011806</v>
      </c>
      <c r="J59" s="52">
        <v>19.510000000000002</v>
      </c>
      <c r="K59" s="50"/>
      <c r="L59" s="52">
        <f t="shared" si="15"/>
        <v>19.510000000000002</v>
      </c>
      <c r="M59" s="51">
        <v>0</v>
      </c>
      <c r="N59" s="52">
        <f t="shared" si="16"/>
        <v>0</v>
      </c>
      <c r="O59" s="52">
        <f t="shared" si="17"/>
        <v>19.510000000000002</v>
      </c>
      <c r="P59" s="53">
        <f t="shared" si="22"/>
        <v>3.5243961919901728E-2</v>
      </c>
      <c r="Q59" s="52">
        <f t="shared" si="23"/>
        <v>553.57000000000005</v>
      </c>
      <c r="R59" s="54">
        <f t="shared" si="24"/>
        <v>5341.17</v>
      </c>
      <c r="S59" s="52">
        <f t="shared" si="25"/>
        <v>188.24399208772152</v>
      </c>
      <c r="T59" s="48" t="s">
        <v>76</v>
      </c>
      <c r="U59" s="55">
        <v>5599</v>
      </c>
      <c r="V59" s="56">
        <v>490110</v>
      </c>
    </row>
    <row r="60" spans="1:22" ht="15" customHeight="1">
      <c r="A60" s="44" t="s">
        <v>256</v>
      </c>
      <c r="B60" s="45" t="s">
        <v>39</v>
      </c>
      <c r="C60" s="45" t="s">
        <v>71</v>
      </c>
      <c r="D60" s="45" t="s">
        <v>141</v>
      </c>
      <c r="E60" s="46" t="s">
        <v>73</v>
      </c>
      <c r="F60" s="47" t="s">
        <v>74</v>
      </c>
      <c r="G60" s="48" t="s">
        <v>24</v>
      </c>
      <c r="H60" s="49" t="s">
        <v>75</v>
      </c>
      <c r="I60" s="48">
        <v>4000011807</v>
      </c>
      <c r="J60" s="52">
        <v>48.5</v>
      </c>
      <c r="K60" s="50"/>
      <c r="L60" s="52">
        <f t="shared" si="15"/>
        <v>48.5</v>
      </c>
      <c r="M60" s="51">
        <v>0</v>
      </c>
      <c r="N60" s="52">
        <f t="shared" si="16"/>
        <v>0</v>
      </c>
      <c r="O60" s="52">
        <f t="shared" si="17"/>
        <v>48.5</v>
      </c>
      <c r="P60" s="53">
        <f t="shared" si="22"/>
        <v>8.7613129324204703E-2</v>
      </c>
      <c r="Q60" s="52">
        <f t="shared" si="23"/>
        <v>553.57000000000005</v>
      </c>
      <c r="R60" s="54">
        <f t="shared" si="24"/>
        <v>5341.17</v>
      </c>
      <c r="S60" s="52">
        <f t="shared" si="25"/>
        <v>467.95661795256245</v>
      </c>
      <c r="T60" s="48" t="s">
        <v>76</v>
      </c>
      <c r="U60" s="55">
        <v>5599</v>
      </c>
      <c r="V60" s="56">
        <v>490110</v>
      </c>
    </row>
    <row r="61" spans="1:22" ht="15" customHeight="1">
      <c r="A61" s="44" t="s">
        <v>256</v>
      </c>
      <c r="B61" s="45" t="s">
        <v>39</v>
      </c>
      <c r="C61" s="45" t="s">
        <v>71</v>
      </c>
      <c r="D61" s="45" t="s">
        <v>142</v>
      </c>
      <c r="E61" s="46" t="s">
        <v>73</v>
      </c>
      <c r="F61" s="47" t="s">
        <v>74</v>
      </c>
      <c r="G61" s="48" t="s">
        <v>24</v>
      </c>
      <c r="H61" s="49" t="s">
        <v>75</v>
      </c>
      <c r="I61" s="48">
        <v>4000011808</v>
      </c>
      <c r="J61" s="52">
        <v>23.91</v>
      </c>
      <c r="K61" s="50"/>
      <c r="L61" s="52">
        <f t="shared" si="15"/>
        <v>23.91</v>
      </c>
      <c r="M61" s="51">
        <v>0</v>
      </c>
      <c r="N61" s="52">
        <f t="shared" si="16"/>
        <v>0</v>
      </c>
      <c r="O61" s="52">
        <f t="shared" si="17"/>
        <v>23.91</v>
      </c>
      <c r="P61" s="53">
        <f t="shared" si="22"/>
        <v>4.3192369528695554E-2</v>
      </c>
      <c r="Q61" s="52">
        <f t="shared" si="23"/>
        <v>553.57000000000005</v>
      </c>
      <c r="R61" s="54">
        <f t="shared" si="24"/>
        <v>5341.17</v>
      </c>
      <c r="S61" s="52">
        <f t="shared" si="25"/>
        <v>230.69778835558284</v>
      </c>
      <c r="T61" s="48" t="s">
        <v>76</v>
      </c>
      <c r="U61" s="55">
        <v>5599</v>
      </c>
      <c r="V61" s="56">
        <v>490110</v>
      </c>
    </row>
    <row r="62" spans="1:22" ht="15" customHeight="1">
      <c r="A62" s="44" t="s">
        <v>256</v>
      </c>
      <c r="B62" s="45" t="s">
        <v>39</v>
      </c>
      <c r="C62" s="45" t="s">
        <v>78</v>
      </c>
      <c r="D62" s="45" t="s">
        <v>143</v>
      </c>
      <c r="E62" s="46" t="s">
        <v>73</v>
      </c>
      <c r="F62" s="47" t="s">
        <v>74</v>
      </c>
      <c r="G62" s="48" t="s">
        <v>24</v>
      </c>
      <c r="H62" s="49" t="s">
        <v>75</v>
      </c>
      <c r="I62" s="48">
        <v>4000011810</v>
      </c>
      <c r="J62" s="52">
        <v>40.619999999999997</v>
      </c>
      <c r="K62" s="50"/>
      <c r="L62" s="52">
        <f t="shared" si="15"/>
        <v>40.619999999999997</v>
      </c>
      <c r="M62" s="51">
        <v>0</v>
      </c>
      <c r="N62" s="52">
        <f t="shared" si="16"/>
        <v>0</v>
      </c>
      <c r="O62" s="52">
        <f t="shared" si="17"/>
        <v>40.619999999999997</v>
      </c>
      <c r="P62" s="53">
        <f t="shared" si="22"/>
        <v>7.3378253879364835E-2</v>
      </c>
      <c r="Q62" s="52">
        <f t="shared" si="23"/>
        <v>553.57000000000005</v>
      </c>
      <c r="R62" s="54">
        <f t="shared" si="24"/>
        <v>5341.17</v>
      </c>
      <c r="S62" s="52">
        <f t="shared" si="25"/>
        <v>391.9257282728471</v>
      </c>
      <c r="T62" s="48" t="s">
        <v>76</v>
      </c>
      <c r="U62" s="55">
        <v>5599</v>
      </c>
      <c r="V62" s="56">
        <v>490110</v>
      </c>
    </row>
    <row r="63" spans="1:22" ht="15" customHeight="1">
      <c r="A63" s="44" t="s">
        <v>256</v>
      </c>
      <c r="B63" s="45" t="s">
        <v>39</v>
      </c>
      <c r="C63" s="45" t="s">
        <v>78</v>
      </c>
      <c r="D63" s="45" t="s">
        <v>144</v>
      </c>
      <c r="E63" s="46" t="s">
        <v>73</v>
      </c>
      <c r="F63" s="47" t="s">
        <v>81</v>
      </c>
      <c r="G63" s="48" t="s">
        <v>24</v>
      </c>
      <c r="H63" s="49" t="s">
        <v>75</v>
      </c>
      <c r="I63" s="48">
        <v>4000011809</v>
      </c>
      <c r="J63" s="52">
        <v>55.07</v>
      </c>
      <c r="K63" s="50"/>
      <c r="L63" s="52">
        <f t="shared" si="15"/>
        <v>55.07</v>
      </c>
      <c r="M63" s="51">
        <v>0</v>
      </c>
      <c r="N63" s="52">
        <f t="shared" si="16"/>
        <v>0</v>
      </c>
      <c r="O63" s="52">
        <f t="shared" si="17"/>
        <v>55.07</v>
      </c>
      <c r="P63" s="53">
        <f t="shared" si="22"/>
        <v>9.9481547049153671E-2</v>
      </c>
      <c r="Q63" s="52">
        <f t="shared" si="23"/>
        <v>553.57000000000005</v>
      </c>
      <c r="R63" s="54">
        <f t="shared" si="24"/>
        <v>5341.17</v>
      </c>
      <c r="S63" s="52">
        <f t="shared" si="25"/>
        <v>531.3478546525281</v>
      </c>
      <c r="T63" s="48" t="s">
        <v>76</v>
      </c>
      <c r="U63" s="55">
        <v>5599</v>
      </c>
      <c r="V63" s="56">
        <v>490110</v>
      </c>
    </row>
    <row r="64" spans="1:22" ht="15" customHeight="1">
      <c r="A64" s="44" t="s">
        <v>256</v>
      </c>
      <c r="B64" s="45" t="s">
        <v>39</v>
      </c>
      <c r="C64" s="45" t="s">
        <v>78</v>
      </c>
      <c r="D64" s="45" t="s">
        <v>145</v>
      </c>
      <c r="E64" s="46" t="s">
        <v>73</v>
      </c>
      <c r="F64" s="47" t="s">
        <v>81</v>
      </c>
      <c r="G64" s="48" t="s">
        <v>24</v>
      </c>
      <c r="H64" s="49" t="s">
        <v>75</v>
      </c>
      <c r="I64" s="48">
        <v>4000011811</v>
      </c>
      <c r="J64" s="52">
        <v>19.510000000000002</v>
      </c>
      <c r="K64" s="50"/>
      <c r="L64" s="52">
        <f t="shared" si="15"/>
        <v>19.510000000000002</v>
      </c>
      <c r="M64" s="51">
        <v>0</v>
      </c>
      <c r="N64" s="52">
        <f t="shared" si="16"/>
        <v>0</v>
      </c>
      <c r="O64" s="52">
        <f t="shared" si="17"/>
        <v>19.510000000000002</v>
      </c>
      <c r="P64" s="53">
        <f t="shared" si="22"/>
        <v>3.5243961919901728E-2</v>
      </c>
      <c r="Q64" s="52">
        <f t="shared" si="23"/>
        <v>553.57000000000005</v>
      </c>
      <c r="R64" s="54">
        <f t="shared" si="24"/>
        <v>5341.17</v>
      </c>
      <c r="S64" s="52">
        <f t="shared" si="25"/>
        <v>188.24399208772152</v>
      </c>
      <c r="T64" s="48" t="s">
        <v>76</v>
      </c>
      <c r="U64" s="55">
        <v>5599</v>
      </c>
      <c r="V64" s="56">
        <v>490110</v>
      </c>
    </row>
    <row r="65" spans="1:22" ht="15" customHeight="1">
      <c r="A65" s="44" t="s">
        <v>256</v>
      </c>
      <c r="B65" s="45" t="s">
        <v>39</v>
      </c>
      <c r="C65" s="45" t="s">
        <v>113</v>
      </c>
      <c r="D65" s="45" t="s">
        <v>146</v>
      </c>
      <c r="E65" s="46" t="s">
        <v>73</v>
      </c>
      <c r="F65" s="47" t="s">
        <v>81</v>
      </c>
      <c r="G65" s="48" t="s">
        <v>24</v>
      </c>
      <c r="H65" s="49" t="s">
        <v>75</v>
      </c>
      <c r="I65" s="48">
        <v>4000011812</v>
      </c>
      <c r="J65" s="52">
        <v>39.94</v>
      </c>
      <c r="K65" s="50"/>
      <c r="L65" s="52">
        <f t="shared" si="15"/>
        <v>39.94</v>
      </c>
      <c r="M65" s="51">
        <v>0</v>
      </c>
      <c r="N65" s="52">
        <f t="shared" si="16"/>
        <v>0</v>
      </c>
      <c r="O65" s="52">
        <f t="shared" si="17"/>
        <v>39.94</v>
      </c>
      <c r="P65" s="53">
        <f t="shared" si="22"/>
        <v>7.2149863612551254E-2</v>
      </c>
      <c r="Q65" s="52">
        <f t="shared" si="23"/>
        <v>553.57000000000005</v>
      </c>
      <c r="R65" s="54">
        <f t="shared" si="24"/>
        <v>5341.17</v>
      </c>
      <c r="S65" s="52">
        <f t="shared" si="25"/>
        <v>385.36468703145039</v>
      </c>
      <c r="T65" s="48" t="s">
        <v>76</v>
      </c>
      <c r="U65" s="55">
        <v>5599</v>
      </c>
      <c r="V65" s="56">
        <v>490110</v>
      </c>
    </row>
    <row r="66" spans="1:22" ht="15" customHeight="1">
      <c r="A66" s="44" t="s">
        <v>256</v>
      </c>
      <c r="B66" s="45" t="s">
        <v>39</v>
      </c>
      <c r="C66" s="45" t="s">
        <v>105</v>
      </c>
      <c r="D66" s="45" t="s">
        <v>147</v>
      </c>
      <c r="E66" s="46" t="s">
        <v>73</v>
      </c>
      <c r="F66" s="47" t="s">
        <v>74</v>
      </c>
      <c r="G66" s="48" t="s">
        <v>24</v>
      </c>
      <c r="H66" s="57" t="s">
        <v>84</v>
      </c>
      <c r="I66" s="48">
        <v>4000011813</v>
      </c>
      <c r="J66" s="52">
        <v>41.81</v>
      </c>
      <c r="K66" s="50"/>
      <c r="L66" s="52">
        <f t="shared" ref="L66:L97" si="26">J66+K66</f>
        <v>41.81</v>
      </c>
      <c r="M66" s="51">
        <v>0</v>
      </c>
      <c r="N66" s="52">
        <f t="shared" ref="N66:N97" si="27">M66*L66</f>
        <v>0</v>
      </c>
      <c r="O66" s="52">
        <f t="shared" ref="O66:O97" si="28">L66+N66</f>
        <v>41.81</v>
      </c>
      <c r="P66" s="53">
        <f t="shared" si="22"/>
        <v>7.5527936846288626E-2</v>
      </c>
      <c r="Q66" s="52">
        <f t="shared" si="23"/>
        <v>553.57000000000005</v>
      </c>
      <c r="R66" s="54">
        <f t="shared" si="24"/>
        <v>5341.17</v>
      </c>
      <c r="S66" s="52">
        <f t="shared" si="25"/>
        <v>403.40755044529141</v>
      </c>
      <c r="T66" s="48" t="s">
        <v>76</v>
      </c>
      <c r="U66" s="55">
        <v>5599</v>
      </c>
      <c r="V66" s="56">
        <v>490110</v>
      </c>
    </row>
    <row r="67" spans="1:22" ht="15" customHeight="1">
      <c r="A67" s="44" t="s">
        <v>256</v>
      </c>
      <c r="B67" s="45" t="s">
        <v>39</v>
      </c>
      <c r="C67" s="45" t="s">
        <v>105</v>
      </c>
      <c r="D67" s="45" t="s">
        <v>148</v>
      </c>
      <c r="E67" s="46" t="s">
        <v>73</v>
      </c>
      <c r="F67" s="47" t="s">
        <v>74</v>
      </c>
      <c r="G67" s="48" t="s">
        <v>24</v>
      </c>
      <c r="H67" s="57" t="s">
        <v>84</v>
      </c>
      <c r="I67" s="48">
        <v>4000011814</v>
      </c>
      <c r="J67" s="52">
        <v>17.95</v>
      </c>
      <c r="K67" s="50"/>
      <c r="L67" s="52">
        <f t="shared" si="26"/>
        <v>17.95</v>
      </c>
      <c r="M67" s="51">
        <v>0</v>
      </c>
      <c r="N67" s="52">
        <f t="shared" si="27"/>
        <v>0</v>
      </c>
      <c r="O67" s="52">
        <f t="shared" si="28"/>
        <v>17.95</v>
      </c>
      <c r="P67" s="53">
        <f t="shared" si="22"/>
        <v>3.242589013132937E-2</v>
      </c>
      <c r="Q67" s="52">
        <f t="shared" si="23"/>
        <v>553.57000000000005</v>
      </c>
      <c r="R67" s="54">
        <f t="shared" si="24"/>
        <v>5341.17</v>
      </c>
      <c r="S67" s="52">
        <f t="shared" si="25"/>
        <v>173.19219159275249</v>
      </c>
      <c r="T67" s="48" t="s">
        <v>76</v>
      </c>
      <c r="U67" s="55">
        <v>5599</v>
      </c>
      <c r="V67" s="56">
        <v>490110</v>
      </c>
    </row>
    <row r="68" spans="1:22" ht="15" customHeight="1">
      <c r="A68" s="44" t="s">
        <v>256</v>
      </c>
      <c r="B68" s="45" t="s">
        <v>39</v>
      </c>
      <c r="C68" s="45" t="s">
        <v>71</v>
      </c>
      <c r="D68" s="45" t="s">
        <v>149</v>
      </c>
      <c r="E68" s="46" t="s">
        <v>73</v>
      </c>
      <c r="F68" s="47" t="s">
        <v>74</v>
      </c>
      <c r="G68" s="48" t="s">
        <v>24</v>
      </c>
      <c r="H68" s="57" t="s">
        <v>84</v>
      </c>
      <c r="I68" s="48">
        <v>4000011815</v>
      </c>
      <c r="J68" s="52">
        <v>46.24</v>
      </c>
      <c r="K68" s="50"/>
      <c r="L68" s="52">
        <f t="shared" si="26"/>
        <v>46.24</v>
      </c>
      <c r="M68" s="51">
        <v>0</v>
      </c>
      <c r="N68" s="52">
        <f t="shared" si="27"/>
        <v>0</v>
      </c>
      <c r="O68" s="52">
        <f t="shared" si="28"/>
        <v>46.24</v>
      </c>
      <c r="P68" s="53">
        <f t="shared" si="22"/>
        <v>8.3530538143324243E-2</v>
      </c>
      <c r="Q68" s="52">
        <f t="shared" si="23"/>
        <v>553.57000000000005</v>
      </c>
      <c r="R68" s="54">
        <f t="shared" si="24"/>
        <v>5341.17</v>
      </c>
      <c r="S68" s="52">
        <f t="shared" si="25"/>
        <v>446.15080441497918</v>
      </c>
      <c r="T68" s="48" t="s">
        <v>76</v>
      </c>
      <c r="U68" s="55">
        <v>5599</v>
      </c>
      <c r="V68" s="56">
        <v>490110</v>
      </c>
    </row>
    <row r="69" spans="1:22" ht="15" customHeight="1">
      <c r="A69" s="44" t="s">
        <v>256</v>
      </c>
      <c r="B69" s="45" t="s">
        <v>39</v>
      </c>
      <c r="C69" s="45" t="s">
        <v>71</v>
      </c>
      <c r="D69" s="45" t="s">
        <v>150</v>
      </c>
      <c r="E69" s="46" t="s">
        <v>73</v>
      </c>
      <c r="F69" s="47" t="s">
        <v>74</v>
      </c>
      <c r="G69" s="48" t="s">
        <v>24</v>
      </c>
      <c r="H69" s="57" t="s">
        <v>84</v>
      </c>
      <c r="I69" s="48">
        <v>4000011817</v>
      </c>
      <c r="J69" s="52">
        <v>22.48</v>
      </c>
      <c r="K69" s="50"/>
      <c r="L69" s="52">
        <f t="shared" si="26"/>
        <v>22.48</v>
      </c>
      <c r="M69" s="51">
        <v>0</v>
      </c>
      <c r="N69" s="52">
        <f t="shared" si="27"/>
        <v>0</v>
      </c>
      <c r="O69" s="52">
        <f t="shared" si="28"/>
        <v>22.48</v>
      </c>
      <c r="P69" s="53">
        <f t="shared" si="22"/>
        <v>4.060913705583756E-2</v>
      </c>
      <c r="Q69" s="52">
        <f t="shared" si="23"/>
        <v>553.57000000000005</v>
      </c>
      <c r="R69" s="54">
        <f t="shared" si="24"/>
        <v>5341.17</v>
      </c>
      <c r="S69" s="52">
        <f t="shared" si="25"/>
        <v>216.9003045685279</v>
      </c>
      <c r="T69" s="48" t="s">
        <v>76</v>
      </c>
      <c r="U69" s="55">
        <v>5599</v>
      </c>
      <c r="V69" s="56">
        <v>490110</v>
      </c>
    </row>
    <row r="70" spans="1:22" ht="15" customHeight="1">
      <c r="A70" s="44" t="s">
        <v>256</v>
      </c>
      <c r="B70" s="45" t="s">
        <v>39</v>
      </c>
      <c r="C70" s="45" t="s">
        <v>78</v>
      </c>
      <c r="D70" s="45" t="s">
        <v>151</v>
      </c>
      <c r="E70" s="46" t="s">
        <v>73</v>
      </c>
      <c r="F70" s="47" t="s">
        <v>81</v>
      </c>
      <c r="G70" s="48" t="s">
        <v>24</v>
      </c>
      <c r="H70" s="57" t="s">
        <v>84</v>
      </c>
      <c r="I70" s="48">
        <v>4000011818</v>
      </c>
      <c r="J70" s="52">
        <v>75.930000000000007</v>
      </c>
      <c r="K70" s="50"/>
      <c r="L70" s="52">
        <f t="shared" si="26"/>
        <v>75.930000000000007</v>
      </c>
      <c r="M70" s="51">
        <v>0</v>
      </c>
      <c r="N70" s="52">
        <f t="shared" si="27"/>
        <v>0</v>
      </c>
      <c r="O70" s="52">
        <f t="shared" si="28"/>
        <v>75.930000000000007</v>
      </c>
      <c r="P70" s="53">
        <f t="shared" si="22"/>
        <v>0.13716422493993533</v>
      </c>
      <c r="Q70" s="52">
        <f t="shared" si="23"/>
        <v>553.57000000000005</v>
      </c>
      <c r="R70" s="54">
        <f t="shared" si="24"/>
        <v>5341.17</v>
      </c>
      <c r="S70" s="52">
        <f t="shared" si="25"/>
        <v>732.61744332243438</v>
      </c>
      <c r="T70" s="48" t="s">
        <v>76</v>
      </c>
      <c r="U70" s="55">
        <v>5599</v>
      </c>
      <c r="V70" s="56">
        <v>490110</v>
      </c>
    </row>
    <row r="71" spans="1:22" ht="15" customHeight="1">
      <c r="A71" s="44" t="s">
        <v>256</v>
      </c>
      <c r="B71" s="45" t="s">
        <v>39</v>
      </c>
      <c r="C71" s="45" t="s">
        <v>78</v>
      </c>
      <c r="D71" s="45" t="s">
        <v>152</v>
      </c>
      <c r="E71" s="46" t="s">
        <v>73</v>
      </c>
      <c r="F71" s="47" t="s">
        <v>81</v>
      </c>
      <c r="G71" s="48" t="s">
        <v>24</v>
      </c>
      <c r="H71" s="57" t="s">
        <v>84</v>
      </c>
      <c r="I71" s="48">
        <v>4000011819</v>
      </c>
      <c r="J71" s="52">
        <v>19.16</v>
      </c>
      <c r="K71" s="50"/>
      <c r="L71" s="52">
        <f t="shared" si="26"/>
        <v>19.16</v>
      </c>
      <c r="M71" s="51">
        <v>0</v>
      </c>
      <c r="N71" s="52">
        <f t="shared" si="27"/>
        <v>0</v>
      </c>
      <c r="O71" s="52">
        <f t="shared" si="28"/>
        <v>19.16</v>
      </c>
      <c r="P71" s="53">
        <f t="shared" si="22"/>
        <v>3.4611702223747674E-2</v>
      </c>
      <c r="Q71" s="52">
        <f t="shared" si="23"/>
        <v>553.57000000000005</v>
      </c>
      <c r="R71" s="54">
        <f t="shared" si="24"/>
        <v>5341.17</v>
      </c>
      <c r="S71" s="52">
        <f t="shared" si="25"/>
        <v>184.86698556641437</v>
      </c>
      <c r="T71" s="48" t="s">
        <v>76</v>
      </c>
      <c r="U71" s="55">
        <v>5599</v>
      </c>
      <c r="V71" s="56">
        <v>490110</v>
      </c>
    </row>
    <row r="72" spans="1:22" ht="15" customHeight="1">
      <c r="A72" s="44" t="s">
        <v>256</v>
      </c>
      <c r="B72" s="45" t="s">
        <v>39</v>
      </c>
      <c r="C72" s="45" t="s">
        <v>113</v>
      </c>
      <c r="D72" s="45" t="s">
        <v>153</v>
      </c>
      <c r="E72" s="46" t="s">
        <v>73</v>
      </c>
      <c r="F72" s="47" t="s">
        <v>74</v>
      </c>
      <c r="G72" s="48" t="s">
        <v>24</v>
      </c>
      <c r="H72" s="57" t="s">
        <v>84</v>
      </c>
      <c r="I72" s="48">
        <v>4000011740</v>
      </c>
      <c r="J72" s="52">
        <v>43.29</v>
      </c>
      <c r="K72" s="50"/>
      <c r="L72" s="52">
        <f t="shared" si="26"/>
        <v>43.29</v>
      </c>
      <c r="M72" s="51">
        <v>0</v>
      </c>
      <c r="N72" s="52">
        <f t="shared" si="27"/>
        <v>0</v>
      </c>
      <c r="O72" s="52">
        <f t="shared" si="28"/>
        <v>43.29</v>
      </c>
      <c r="P72" s="53">
        <f t="shared" si="22"/>
        <v>7.820149213288291E-2</v>
      </c>
      <c r="Q72" s="52">
        <f t="shared" si="23"/>
        <v>553.57000000000005</v>
      </c>
      <c r="R72" s="54">
        <f t="shared" si="24"/>
        <v>5341.17</v>
      </c>
      <c r="S72" s="52">
        <f t="shared" si="25"/>
        <v>417.68746373539022</v>
      </c>
      <c r="T72" s="48" t="s">
        <v>76</v>
      </c>
      <c r="U72" s="55">
        <v>5599</v>
      </c>
      <c r="V72" s="56">
        <v>490110</v>
      </c>
    </row>
    <row r="73" spans="1:22" ht="15" customHeight="1">
      <c r="A73" s="44" t="s">
        <v>256</v>
      </c>
      <c r="B73" s="45" t="s">
        <v>39</v>
      </c>
      <c r="C73" s="45" t="s">
        <v>243</v>
      </c>
      <c r="D73" s="45" t="s">
        <v>248</v>
      </c>
      <c r="E73" s="46" t="s">
        <v>73</v>
      </c>
      <c r="F73" s="58" t="s">
        <v>90</v>
      </c>
      <c r="G73" s="48" t="s">
        <v>24</v>
      </c>
      <c r="H73" s="59" t="s">
        <v>75</v>
      </c>
      <c r="I73" s="60">
        <v>7000001005</v>
      </c>
      <c r="J73" s="61">
        <v>112.5</v>
      </c>
      <c r="K73" s="60">
        <v>10</v>
      </c>
      <c r="L73" s="61">
        <f t="shared" si="26"/>
        <v>122.5</v>
      </c>
      <c r="M73" s="62">
        <v>0.18</v>
      </c>
      <c r="N73" s="61">
        <f t="shared" si="27"/>
        <v>22.05</v>
      </c>
      <c r="O73" s="61">
        <f t="shared" si="28"/>
        <v>144.55000000000001</v>
      </c>
      <c r="P73" s="63">
        <v>0</v>
      </c>
      <c r="Q73" s="61">
        <f>O73</f>
        <v>144.55000000000001</v>
      </c>
      <c r="R73" s="64">
        <f>Q73</f>
        <v>144.55000000000001</v>
      </c>
      <c r="S73" s="61">
        <f>Q73</f>
        <v>144.55000000000001</v>
      </c>
      <c r="T73" s="60" t="s">
        <v>91</v>
      </c>
      <c r="U73" s="55">
        <v>5599</v>
      </c>
      <c r="V73" s="56">
        <v>49119990</v>
      </c>
    </row>
    <row r="74" spans="1:22" ht="15" customHeight="1">
      <c r="A74" s="44" t="s">
        <v>256</v>
      </c>
      <c r="B74" s="66" t="s">
        <v>39</v>
      </c>
      <c r="C74" s="66" t="s">
        <v>92</v>
      </c>
      <c r="D74" s="66" t="s">
        <v>93</v>
      </c>
      <c r="E74" s="67" t="s">
        <v>73</v>
      </c>
      <c r="F74" s="68" t="s">
        <v>94</v>
      </c>
      <c r="G74" s="69" t="s">
        <v>24</v>
      </c>
      <c r="H74" s="70" t="s">
        <v>75</v>
      </c>
      <c r="I74" s="71">
        <v>8400007</v>
      </c>
      <c r="J74" s="72">
        <v>96</v>
      </c>
      <c r="K74" s="73"/>
      <c r="L74" s="72">
        <f t="shared" si="26"/>
        <v>96</v>
      </c>
      <c r="M74" s="74">
        <v>0.18</v>
      </c>
      <c r="N74" s="72">
        <f t="shared" si="27"/>
        <v>17.28</v>
      </c>
      <c r="O74" s="72">
        <f t="shared" si="28"/>
        <v>113.28</v>
      </c>
      <c r="P74" s="75">
        <v>0</v>
      </c>
      <c r="Q74" s="72">
        <f>O74</f>
        <v>113.28</v>
      </c>
      <c r="R74" s="76">
        <f>Q74</f>
        <v>113.28</v>
      </c>
      <c r="S74" s="72">
        <f>Q74</f>
        <v>113.28</v>
      </c>
      <c r="T74" s="71" t="s">
        <v>91</v>
      </c>
      <c r="U74" s="77">
        <v>5599</v>
      </c>
      <c r="V74" s="78">
        <v>999299</v>
      </c>
    </row>
    <row r="75" spans="1:22" ht="15" customHeight="1">
      <c r="A75" s="44" t="s">
        <v>256</v>
      </c>
      <c r="B75" s="32" t="s">
        <v>40</v>
      </c>
      <c r="C75" s="32" t="s">
        <v>105</v>
      </c>
      <c r="D75" s="32" t="s">
        <v>155</v>
      </c>
      <c r="E75" s="33" t="s">
        <v>73</v>
      </c>
      <c r="F75" s="34" t="s">
        <v>81</v>
      </c>
      <c r="G75" s="35" t="s">
        <v>24</v>
      </c>
      <c r="H75" s="36" t="s">
        <v>75</v>
      </c>
      <c r="I75" s="35">
        <v>4000011741</v>
      </c>
      <c r="J75" s="39">
        <v>52.4</v>
      </c>
      <c r="K75" s="37"/>
      <c r="L75" s="39">
        <f t="shared" si="26"/>
        <v>52.4</v>
      </c>
      <c r="M75" s="38">
        <v>0</v>
      </c>
      <c r="N75" s="39">
        <f t="shared" si="27"/>
        <v>0</v>
      </c>
      <c r="O75" s="39">
        <f t="shared" si="28"/>
        <v>52.4</v>
      </c>
      <c r="P75" s="40">
        <f t="shared" ref="P75:P87" si="29">IFERROR(O75/Q75,"")</f>
        <v>9.349963420944632E-2</v>
      </c>
      <c r="Q75" s="39">
        <f t="shared" ref="Q75:Q87" si="30">SUMIFS(O:O,T:T,T75,B:B,B75,A:A,A75,G:G,G75,E:E,E75)</f>
        <v>560.42999999999995</v>
      </c>
      <c r="R75" s="41">
        <f t="shared" ref="R75:R87" si="31">U75-SUMIFS(Q:Q,A:A,A75,B:B,B75,G:G,G75,E:E,E75,T:T,"Fixed Price ( Base Price with GST)")</f>
        <v>5425.0039999999999</v>
      </c>
      <c r="S75" s="39">
        <f t="shared" ref="S75:S87" si="32">P75*R75</f>
        <v>507.23588958478314</v>
      </c>
      <c r="T75" s="35" t="s">
        <v>76</v>
      </c>
      <c r="U75" s="42">
        <v>5699</v>
      </c>
      <c r="V75" s="43">
        <v>490110</v>
      </c>
    </row>
    <row r="76" spans="1:22" ht="15" customHeight="1">
      <c r="A76" s="44" t="s">
        <v>256</v>
      </c>
      <c r="B76" s="45" t="s">
        <v>40</v>
      </c>
      <c r="C76" s="45" t="s">
        <v>105</v>
      </c>
      <c r="D76" s="45" t="s">
        <v>156</v>
      </c>
      <c r="E76" s="46" t="s">
        <v>73</v>
      </c>
      <c r="F76" s="47" t="s">
        <v>81</v>
      </c>
      <c r="G76" s="48" t="s">
        <v>24</v>
      </c>
      <c r="H76" s="49" t="s">
        <v>75</v>
      </c>
      <c r="I76" s="48">
        <v>4000011742</v>
      </c>
      <c r="J76" s="52">
        <v>21.96</v>
      </c>
      <c r="K76" s="50"/>
      <c r="L76" s="52">
        <f t="shared" si="26"/>
        <v>21.96</v>
      </c>
      <c r="M76" s="51">
        <v>0</v>
      </c>
      <c r="N76" s="52">
        <f t="shared" si="27"/>
        <v>0</v>
      </c>
      <c r="O76" s="52">
        <f t="shared" si="28"/>
        <v>21.96</v>
      </c>
      <c r="P76" s="53">
        <f t="shared" si="29"/>
        <v>3.9184197848080943E-2</v>
      </c>
      <c r="Q76" s="52">
        <f t="shared" si="30"/>
        <v>560.42999999999995</v>
      </c>
      <c r="R76" s="54">
        <f t="shared" si="31"/>
        <v>5425.0039999999999</v>
      </c>
      <c r="S76" s="52">
        <f t="shared" si="32"/>
        <v>212.57443006263051</v>
      </c>
      <c r="T76" s="48" t="s">
        <v>76</v>
      </c>
      <c r="U76" s="55">
        <v>5699</v>
      </c>
      <c r="V76" s="56">
        <v>490110</v>
      </c>
    </row>
    <row r="77" spans="1:22" ht="15" customHeight="1">
      <c r="A77" s="44" t="s">
        <v>256</v>
      </c>
      <c r="B77" s="45" t="s">
        <v>40</v>
      </c>
      <c r="C77" s="45" t="s">
        <v>71</v>
      </c>
      <c r="D77" s="45" t="s">
        <v>157</v>
      </c>
      <c r="E77" s="46" t="s">
        <v>73</v>
      </c>
      <c r="F77" s="47" t="s">
        <v>74</v>
      </c>
      <c r="G77" s="48" t="s">
        <v>24</v>
      </c>
      <c r="H77" s="49" t="s">
        <v>75</v>
      </c>
      <c r="I77" s="48">
        <v>4000011743</v>
      </c>
      <c r="J77" s="52">
        <v>54.96</v>
      </c>
      <c r="K77" s="50"/>
      <c r="L77" s="52">
        <f t="shared" si="26"/>
        <v>54.96</v>
      </c>
      <c r="M77" s="51">
        <v>0</v>
      </c>
      <c r="N77" s="52">
        <f t="shared" si="27"/>
        <v>0</v>
      </c>
      <c r="O77" s="52">
        <f t="shared" si="28"/>
        <v>54.96</v>
      </c>
      <c r="P77" s="53">
        <f t="shared" si="29"/>
        <v>9.8067555270060502E-2</v>
      </c>
      <c r="Q77" s="52">
        <f t="shared" si="30"/>
        <v>560.42999999999995</v>
      </c>
      <c r="R77" s="54">
        <f t="shared" si="31"/>
        <v>5425.0039999999999</v>
      </c>
      <c r="S77" s="52">
        <f t="shared" si="32"/>
        <v>532.01687961029927</v>
      </c>
      <c r="T77" s="48" t="s">
        <v>76</v>
      </c>
      <c r="U77" s="55">
        <v>5699</v>
      </c>
      <c r="V77" s="56">
        <v>490110</v>
      </c>
    </row>
    <row r="78" spans="1:22" ht="15" customHeight="1">
      <c r="A78" s="44" t="s">
        <v>256</v>
      </c>
      <c r="B78" s="45" t="s">
        <v>40</v>
      </c>
      <c r="C78" s="45" t="s">
        <v>78</v>
      </c>
      <c r="D78" s="45" t="s">
        <v>158</v>
      </c>
      <c r="E78" s="46" t="s">
        <v>73</v>
      </c>
      <c r="F78" s="47" t="s">
        <v>74</v>
      </c>
      <c r="G78" s="48" t="s">
        <v>24</v>
      </c>
      <c r="H78" s="49" t="s">
        <v>75</v>
      </c>
      <c r="I78" s="48">
        <v>4000011745</v>
      </c>
      <c r="J78" s="52">
        <v>19.91</v>
      </c>
      <c r="K78" s="50"/>
      <c r="L78" s="52">
        <f t="shared" si="26"/>
        <v>19.91</v>
      </c>
      <c r="M78" s="51">
        <v>0</v>
      </c>
      <c r="N78" s="52">
        <f t="shared" si="27"/>
        <v>0</v>
      </c>
      <c r="O78" s="52">
        <f t="shared" si="28"/>
        <v>19.91</v>
      </c>
      <c r="P78" s="53">
        <f t="shared" si="29"/>
        <v>3.5526292311260997E-2</v>
      </c>
      <c r="Q78" s="52">
        <f t="shared" si="30"/>
        <v>560.42999999999995</v>
      </c>
      <c r="R78" s="54">
        <f t="shared" si="31"/>
        <v>5425.0039999999999</v>
      </c>
      <c r="S78" s="52">
        <f t="shared" si="32"/>
        <v>192.73027789376016</v>
      </c>
      <c r="T78" s="48" t="s">
        <v>76</v>
      </c>
      <c r="U78" s="55">
        <v>5699</v>
      </c>
      <c r="V78" s="56">
        <v>490110</v>
      </c>
    </row>
    <row r="79" spans="1:22" ht="15" customHeight="1">
      <c r="A79" s="44" t="s">
        <v>256</v>
      </c>
      <c r="B79" s="45" t="s">
        <v>40</v>
      </c>
      <c r="C79" s="45" t="s">
        <v>78</v>
      </c>
      <c r="D79" s="45" t="s">
        <v>159</v>
      </c>
      <c r="E79" s="46" t="s">
        <v>73</v>
      </c>
      <c r="F79" s="47" t="s">
        <v>74</v>
      </c>
      <c r="G79" s="48" t="s">
        <v>24</v>
      </c>
      <c r="H79" s="49" t="s">
        <v>75</v>
      </c>
      <c r="I79" s="48">
        <v>4000011744</v>
      </c>
      <c r="J79" s="52">
        <v>57.51</v>
      </c>
      <c r="K79" s="50"/>
      <c r="L79" s="52">
        <f t="shared" si="26"/>
        <v>57.51</v>
      </c>
      <c r="M79" s="51">
        <v>0</v>
      </c>
      <c r="N79" s="52">
        <f t="shared" si="27"/>
        <v>0</v>
      </c>
      <c r="O79" s="52">
        <f t="shared" si="28"/>
        <v>57.51</v>
      </c>
      <c r="P79" s="53">
        <f t="shared" si="29"/>
        <v>0.10261763288903164</v>
      </c>
      <c r="Q79" s="52">
        <f t="shared" si="30"/>
        <v>560.42999999999995</v>
      </c>
      <c r="R79" s="54">
        <f t="shared" si="31"/>
        <v>5425.0039999999999</v>
      </c>
      <c r="S79" s="52">
        <f t="shared" si="32"/>
        <v>556.70106889352815</v>
      </c>
      <c r="T79" s="48" t="s">
        <v>76</v>
      </c>
      <c r="U79" s="55">
        <v>5699</v>
      </c>
      <c r="V79" s="56">
        <v>490110</v>
      </c>
    </row>
    <row r="80" spans="1:22" ht="15" customHeight="1">
      <c r="A80" s="44" t="s">
        <v>256</v>
      </c>
      <c r="B80" s="45" t="s">
        <v>40</v>
      </c>
      <c r="C80" s="45" t="s">
        <v>78</v>
      </c>
      <c r="D80" s="45" t="s">
        <v>160</v>
      </c>
      <c r="E80" s="46" t="s">
        <v>73</v>
      </c>
      <c r="F80" s="47" t="s">
        <v>74</v>
      </c>
      <c r="G80" s="48" t="s">
        <v>24</v>
      </c>
      <c r="H80" s="49" t="s">
        <v>75</v>
      </c>
      <c r="I80" s="48">
        <v>4000011746</v>
      </c>
      <c r="J80" s="52">
        <v>15.85</v>
      </c>
      <c r="K80" s="50"/>
      <c r="L80" s="52">
        <f t="shared" si="26"/>
        <v>15.85</v>
      </c>
      <c r="M80" s="51">
        <v>0</v>
      </c>
      <c r="N80" s="52">
        <f t="shared" si="27"/>
        <v>0</v>
      </c>
      <c r="O80" s="52">
        <f t="shared" si="28"/>
        <v>15.85</v>
      </c>
      <c r="P80" s="53">
        <f t="shared" si="29"/>
        <v>2.828185500419321E-2</v>
      </c>
      <c r="Q80" s="52">
        <f t="shared" si="30"/>
        <v>560.42999999999995</v>
      </c>
      <c r="R80" s="54">
        <f t="shared" si="31"/>
        <v>5425.0039999999999</v>
      </c>
      <c r="S80" s="52">
        <f t="shared" si="32"/>
        <v>153.42917652516817</v>
      </c>
      <c r="T80" s="48" t="s">
        <v>76</v>
      </c>
      <c r="U80" s="55">
        <v>5699</v>
      </c>
      <c r="V80" s="56">
        <v>490110</v>
      </c>
    </row>
    <row r="81" spans="1:22" ht="15" customHeight="1">
      <c r="A81" s="44" t="s">
        <v>256</v>
      </c>
      <c r="B81" s="45" t="s">
        <v>40</v>
      </c>
      <c r="C81" s="45" t="s">
        <v>161</v>
      </c>
      <c r="D81" s="45" t="s">
        <v>162</v>
      </c>
      <c r="E81" s="46" t="s">
        <v>73</v>
      </c>
      <c r="F81" s="47" t="s">
        <v>74</v>
      </c>
      <c r="G81" s="48" t="s">
        <v>24</v>
      </c>
      <c r="H81" s="49" t="s">
        <v>75</v>
      </c>
      <c r="I81" s="48">
        <v>4000011748</v>
      </c>
      <c r="J81" s="52">
        <v>70.11</v>
      </c>
      <c r="K81" s="50"/>
      <c r="L81" s="52">
        <f t="shared" si="26"/>
        <v>70.11</v>
      </c>
      <c r="M81" s="51">
        <v>0</v>
      </c>
      <c r="N81" s="52">
        <f t="shared" si="27"/>
        <v>0</v>
      </c>
      <c r="O81" s="52">
        <f t="shared" si="28"/>
        <v>70.11</v>
      </c>
      <c r="P81" s="53">
        <f t="shared" si="29"/>
        <v>0.12510036935924201</v>
      </c>
      <c r="Q81" s="52">
        <f t="shared" si="30"/>
        <v>560.42999999999995</v>
      </c>
      <c r="R81" s="54">
        <f t="shared" si="31"/>
        <v>5425.0039999999999</v>
      </c>
      <c r="S81" s="52">
        <f t="shared" si="32"/>
        <v>678.67000417536531</v>
      </c>
      <c r="T81" s="48" t="s">
        <v>76</v>
      </c>
      <c r="U81" s="55">
        <v>5699</v>
      </c>
      <c r="V81" s="56">
        <v>490110</v>
      </c>
    </row>
    <row r="82" spans="1:22" ht="15" customHeight="1">
      <c r="A82" s="44" t="s">
        <v>256</v>
      </c>
      <c r="B82" s="45" t="s">
        <v>40</v>
      </c>
      <c r="C82" s="45" t="s">
        <v>105</v>
      </c>
      <c r="D82" s="45" t="s">
        <v>163</v>
      </c>
      <c r="E82" s="46" t="s">
        <v>73</v>
      </c>
      <c r="F82" s="47" t="s">
        <v>81</v>
      </c>
      <c r="G82" s="48" t="s">
        <v>24</v>
      </c>
      <c r="H82" s="57" t="s">
        <v>84</v>
      </c>
      <c r="I82" s="48">
        <v>4000011749</v>
      </c>
      <c r="J82" s="52">
        <v>54.96</v>
      </c>
      <c r="K82" s="50"/>
      <c r="L82" s="52">
        <f t="shared" si="26"/>
        <v>54.96</v>
      </c>
      <c r="M82" s="51">
        <v>0</v>
      </c>
      <c r="N82" s="52">
        <f t="shared" si="27"/>
        <v>0</v>
      </c>
      <c r="O82" s="52">
        <f t="shared" si="28"/>
        <v>54.96</v>
      </c>
      <c r="P82" s="53">
        <f t="shared" si="29"/>
        <v>9.8067555270060502E-2</v>
      </c>
      <c r="Q82" s="52">
        <f t="shared" si="30"/>
        <v>560.42999999999995</v>
      </c>
      <c r="R82" s="54">
        <f t="shared" si="31"/>
        <v>5425.0039999999999</v>
      </c>
      <c r="S82" s="52">
        <f t="shared" si="32"/>
        <v>532.01687961029927</v>
      </c>
      <c r="T82" s="48" t="s">
        <v>76</v>
      </c>
      <c r="U82" s="55">
        <v>5699</v>
      </c>
      <c r="V82" s="56">
        <v>490110</v>
      </c>
    </row>
    <row r="83" spans="1:22" ht="15" customHeight="1">
      <c r="A83" s="44" t="s">
        <v>256</v>
      </c>
      <c r="B83" s="45" t="s">
        <v>40</v>
      </c>
      <c r="C83" s="45" t="s">
        <v>105</v>
      </c>
      <c r="D83" s="45" t="s">
        <v>164</v>
      </c>
      <c r="E83" s="46" t="s">
        <v>73</v>
      </c>
      <c r="F83" s="47" t="s">
        <v>81</v>
      </c>
      <c r="G83" s="48" t="s">
        <v>24</v>
      </c>
      <c r="H83" s="57" t="s">
        <v>84</v>
      </c>
      <c r="I83" s="48">
        <v>4000011750</v>
      </c>
      <c r="J83" s="52">
        <v>20.59</v>
      </c>
      <c r="K83" s="50"/>
      <c r="L83" s="52">
        <f t="shared" si="26"/>
        <v>20.59</v>
      </c>
      <c r="M83" s="51">
        <v>0</v>
      </c>
      <c r="N83" s="52">
        <f t="shared" si="27"/>
        <v>0</v>
      </c>
      <c r="O83" s="52">
        <f t="shared" si="28"/>
        <v>20.59</v>
      </c>
      <c r="P83" s="53">
        <f t="shared" si="29"/>
        <v>3.673964634298664E-2</v>
      </c>
      <c r="Q83" s="52">
        <f t="shared" si="30"/>
        <v>560.42999999999995</v>
      </c>
      <c r="R83" s="54">
        <f t="shared" si="31"/>
        <v>5425.0039999999999</v>
      </c>
      <c r="S83" s="52">
        <f t="shared" si="32"/>
        <v>199.3127283692879</v>
      </c>
      <c r="T83" s="48" t="s">
        <v>76</v>
      </c>
      <c r="U83" s="55">
        <v>5699</v>
      </c>
      <c r="V83" s="56">
        <v>490110</v>
      </c>
    </row>
    <row r="84" spans="1:22" ht="15" customHeight="1">
      <c r="A84" s="44" t="s">
        <v>256</v>
      </c>
      <c r="B84" s="45" t="s">
        <v>40</v>
      </c>
      <c r="C84" s="45" t="s">
        <v>71</v>
      </c>
      <c r="D84" s="45" t="s">
        <v>165</v>
      </c>
      <c r="E84" s="46" t="s">
        <v>73</v>
      </c>
      <c r="F84" s="47" t="s">
        <v>74</v>
      </c>
      <c r="G84" s="48" t="s">
        <v>24</v>
      </c>
      <c r="H84" s="57" t="s">
        <v>84</v>
      </c>
      <c r="I84" s="48">
        <v>4000011751</v>
      </c>
      <c r="J84" s="52">
        <v>60.05</v>
      </c>
      <c r="K84" s="50"/>
      <c r="L84" s="52">
        <f t="shared" si="26"/>
        <v>60.05</v>
      </c>
      <c r="M84" s="51">
        <v>0</v>
      </c>
      <c r="N84" s="52">
        <f t="shared" si="27"/>
        <v>0</v>
      </c>
      <c r="O84" s="52">
        <f t="shared" si="28"/>
        <v>60.05</v>
      </c>
      <c r="P84" s="53">
        <f t="shared" si="29"/>
        <v>0.10714986706635976</v>
      </c>
      <c r="Q84" s="52">
        <f t="shared" si="30"/>
        <v>560.42999999999995</v>
      </c>
      <c r="R84" s="54">
        <f t="shared" si="31"/>
        <v>5425.0039999999999</v>
      </c>
      <c r="S84" s="52">
        <f t="shared" si="32"/>
        <v>581.28845743446993</v>
      </c>
      <c r="T84" s="48" t="s">
        <v>76</v>
      </c>
      <c r="U84" s="55">
        <v>5699</v>
      </c>
      <c r="V84" s="56">
        <v>490110</v>
      </c>
    </row>
    <row r="85" spans="1:22" ht="15" customHeight="1">
      <c r="A85" s="44" t="s">
        <v>256</v>
      </c>
      <c r="B85" s="45" t="s">
        <v>40</v>
      </c>
      <c r="C85" s="45" t="s">
        <v>78</v>
      </c>
      <c r="D85" s="45" t="s">
        <v>166</v>
      </c>
      <c r="E85" s="46" t="s">
        <v>73</v>
      </c>
      <c r="F85" s="47" t="s">
        <v>74</v>
      </c>
      <c r="G85" s="48" t="s">
        <v>24</v>
      </c>
      <c r="H85" s="57" t="s">
        <v>84</v>
      </c>
      <c r="I85" s="48">
        <v>4000011752</v>
      </c>
      <c r="J85" s="52">
        <v>53.42</v>
      </c>
      <c r="K85" s="50"/>
      <c r="L85" s="52">
        <f t="shared" si="26"/>
        <v>53.42</v>
      </c>
      <c r="M85" s="51">
        <v>0</v>
      </c>
      <c r="N85" s="52">
        <f t="shared" si="27"/>
        <v>0</v>
      </c>
      <c r="O85" s="52">
        <f t="shared" si="28"/>
        <v>53.42</v>
      </c>
      <c r="P85" s="53">
        <f t="shared" si="29"/>
        <v>9.5319665257034794E-2</v>
      </c>
      <c r="Q85" s="52">
        <f t="shared" si="30"/>
        <v>560.42999999999995</v>
      </c>
      <c r="R85" s="54">
        <f t="shared" si="31"/>
        <v>5425.0039999999999</v>
      </c>
      <c r="S85" s="52">
        <f t="shared" si="32"/>
        <v>517.10956529807481</v>
      </c>
      <c r="T85" s="48" t="s">
        <v>76</v>
      </c>
      <c r="U85" s="55">
        <v>5699</v>
      </c>
      <c r="V85" s="56">
        <v>490110</v>
      </c>
    </row>
    <row r="86" spans="1:22" ht="15" customHeight="1">
      <c r="A86" s="44" t="s">
        <v>256</v>
      </c>
      <c r="B86" s="45" t="s">
        <v>40</v>
      </c>
      <c r="C86" s="45" t="s">
        <v>78</v>
      </c>
      <c r="D86" s="45" t="s">
        <v>167</v>
      </c>
      <c r="E86" s="46" t="s">
        <v>73</v>
      </c>
      <c r="F86" s="47" t="s">
        <v>74</v>
      </c>
      <c r="G86" s="48" t="s">
        <v>24</v>
      </c>
      <c r="H86" s="57" t="s">
        <v>84</v>
      </c>
      <c r="I86" s="48">
        <v>4000011753</v>
      </c>
      <c r="J86" s="52">
        <v>18.66</v>
      </c>
      <c r="K86" s="50"/>
      <c r="L86" s="52">
        <f t="shared" si="26"/>
        <v>18.66</v>
      </c>
      <c r="M86" s="51">
        <v>0</v>
      </c>
      <c r="N86" s="52">
        <f t="shared" si="27"/>
        <v>0</v>
      </c>
      <c r="O86" s="52">
        <f t="shared" si="28"/>
        <v>18.66</v>
      </c>
      <c r="P86" s="53">
        <f t="shared" si="29"/>
        <v>3.3295862105882985E-2</v>
      </c>
      <c r="Q86" s="52">
        <f t="shared" si="30"/>
        <v>560.42999999999995</v>
      </c>
      <c r="R86" s="54">
        <f t="shared" si="31"/>
        <v>5425.0039999999999</v>
      </c>
      <c r="S86" s="52">
        <f t="shared" si="32"/>
        <v>180.63018510786361</v>
      </c>
      <c r="T86" s="48" t="s">
        <v>76</v>
      </c>
      <c r="U86" s="55">
        <v>5699</v>
      </c>
      <c r="V86" s="56">
        <v>490110</v>
      </c>
    </row>
    <row r="87" spans="1:22" ht="15" customHeight="1">
      <c r="A87" s="44" t="s">
        <v>256</v>
      </c>
      <c r="B87" s="45" t="s">
        <v>40</v>
      </c>
      <c r="C87" s="45" t="s">
        <v>161</v>
      </c>
      <c r="D87" s="45" t="s">
        <v>168</v>
      </c>
      <c r="E87" s="46" t="s">
        <v>73</v>
      </c>
      <c r="F87" s="47" t="s">
        <v>74</v>
      </c>
      <c r="G87" s="48" t="s">
        <v>24</v>
      </c>
      <c r="H87" s="57" t="s">
        <v>84</v>
      </c>
      <c r="I87" s="48">
        <v>4000011754</v>
      </c>
      <c r="J87" s="52">
        <v>60.05</v>
      </c>
      <c r="K87" s="50"/>
      <c r="L87" s="52">
        <f t="shared" si="26"/>
        <v>60.05</v>
      </c>
      <c r="M87" s="51">
        <v>0</v>
      </c>
      <c r="N87" s="52">
        <f t="shared" si="27"/>
        <v>0</v>
      </c>
      <c r="O87" s="52">
        <f t="shared" si="28"/>
        <v>60.05</v>
      </c>
      <c r="P87" s="53">
        <f t="shared" si="29"/>
        <v>0.10714986706635976</v>
      </c>
      <c r="Q87" s="52">
        <f t="shared" si="30"/>
        <v>560.42999999999995</v>
      </c>
      <c r="R87" s="54">
        <f t="shared" si="31"/>
        <v>5425.0039999999999</v>
      </c>
      <c r="S87" s="52">
        <f t="shared" si="32"/>
        <v>581.28845743446993</v>
      </c>
      <c r="T87" s="48" t="s">
        <v>76</v>
      </c>
      <c r="U87" s="55">
        <v>5699</v>
      </c>
      <c r="V87" s="56">
        <v>490110</v>
      </c>
    </row>
    <row r="88" spans="1:22" ht="15" customHeight="1">
      <c r="A88" s="44" t="s">
        <v>256</v>
      </c>
      <c r="B88" s="45" t="s">
        <v>40</v>
      </c>
      <c r="C88" s="45" t="s">
        <v>243</v>
      </c>
      <c r="D88" s="45" t="s">
        <v>249</v>
      </c>
      <c r="E88" s="46" t="s">
        <v>73</v>
      </c>
      <c r="F88" s="58" t="s">
        <v>90</v>
      </c>
      <c r="G88" s="48" t="s">
        <v>24</v>
      </c>
      <c r="H88" s="59" t="s">
        <v>75</v>
      </c>
      <c r="I88" s="60">
        <v>7000001006</v>
      </c>
      <c r="J88" s="61">
        <v>126.2</v>
      </c>
      <c r="K88" s="60">
        <v>10</v>
      </c>
      <c r="L88" s="61">
        <f t="shared" si="26"/>
        <v>136.19999999999999</v>
      </c>
      <c r="M88" s="62">
        <v>0.18</v>
      </c>
      <c r="N88" s="61">
        <f t="shared" si="27"/>
        <v>24.515999999999998</v>
      </c>
      <c r="O88" s="61">
        <f t="shared" si="28"/>
        <v>160.71599999999998</v>
      </c>
      <c r="P88" s="63">
        <v>0</v>
      </c>
      <c r="Q88" s="61">
        <f>O88</f>
        <v>160.71599999999998</v>
      </c>
      <c r="R88" s="64">
        <f>Q88</f>
        <v>160.71599999999998</v>
      </c>
      <c r="S88" s="61">
        <f>Q88</f>
        <v>160.71599999999998</v>
      </c>
      <c r="T88" s="60" t="s">
        <v>91</v>
      </c>
      <c r="U88" s="55">
        <v>5699</v>
      </c>
      <c r="V88" s="56">
        <v>49119990</v>
      </c>
    </row>
    <row r="89" spans="1:22" ht="15" customHeight="1">
      <c r="A89" s="44" t="s">
        <v>256</v>
      </c>
      <c r="B89" s="66" t="s">
        <v>40</v>
      </c>
      <c r="C89" s="66" t="s">
        <v>92</v>
      </c>
      <c r="D89" s="66" t="s">
        <v>93</v>
      </c>
      <c r="E89" s="67" t="s">
        <v>73</v>
      </c>
      <c r="F89" s="68" t="s">
        <v>94</v>
      </c>
      <c r="G89" s="69" t="s">
        <v>24</v>
      </c>
      <c r="H89" s="70" t="s">
        <v>75</v>
      </c>
      <c r="I89" s="71">
        <v>8400007</v>
      </c>
      <c r="J89" s="72">
        <v>96</v>
      </c>
      <c r="K89" s="73"/>
      <c r="L89" s="72">
        <f t="shared" si="26"/>
        <v>96</v>
      </c>
      <c r="M89" s="74">
        <v>0.18</v>
      </c>
      <c r="N89" s="72">
        <f t="shared" si="27"/>
        <v>17.28</v>
      </c>
      <c r="O89" s="72">
        <f t="shared" si="28"/>
        <v>113.28</v>
      </c>
      <c r="P89" s="75">
        <v>0</v>
      </c>
      <c r="Q89" s="72">
        <f>O89</f>
        <v>113.28</v>
      </c>
      <c r="R89" s="76">
        <f>Q89</f>
        <v>113.28</v>
      </c>
      <c r="S89" s="72">
        <f>Q89</f>
        <v>113.28</v>
      </c>
      <c r="T89" s="71" t="s">
        <v>91</v>
      </c>
      <c r="U89" s="77">
        <v>5699</v>
      </c>
      <c r="V89" s="78">
        <v>999299</v>
      </c>
    </row>
    <row r="90" spans="1:22" ht="15" customHeight="1">
      <c r="A90" s="44" t="s">
        <v>256</v>
      </c>
      <c r="B90" s="32" t="s">
        <v>41</v>
      </c>
      <c r="C90" s="32" t="s">
        <v>105</v>
      </c>
      <c r="D90" s="32" t="s">
        <v>170</v>
      </c>
      <c r="E90" s="33" t="s">
        <v>73</v>
      </c>
      <c r="F90" s="34" t="s">
        <v>81</v>
      </c>
      <c r="G90" s="35" t="s">
        <v>24</v>
      </c>
      <c r="H90" s="36" t="s">
        <v>75</v>
      </c>
      <c r="I90" s="35">
        <v>4000011755</v>
      </c>
      <c r="J90" s="39">
        <v>51.85</v>
      </c>
      <c r="K90" s="37"/>
      <c r="L90" s="39">
        <f t="shared" si="26"/>
        <v>51.85</v>
      </c>
      <c r="M90" s="38">
        <v>0</v>
      </c>
      <c r="N90" s="39">
        <f t="shared" si="27"/>
        <v>0</v>
      </c>
      <c r="O90" s="39">
        <f t="shared" si="28"/>
        <v>51.85</v>
      </c>
      <c r="P90" s="40">
        <f t="shared" ref="P90:P102" si="33">IFERROR(O90/Q90,"")</f>
        <v>7.736958338307269E-2</v>
      </c>
      <c r="Q90" s="39">
        <f t="shared" ref="Q90:Q102" si="34">SUMIFS(O:O,T:T,T90,B:B,B90,A:A,A90,G:G,G90,E:E,E90)</f>
        <v>670.16000000000008</v>
      </c>
      <c r="R90" s="41">
        <f t="shared" ref="R90:R102" si="35">U90-SUMIFS(Q:Q,A:A,A90,B:B,B90,G:G,G90,E:E,E90,T:T,"Fixed Price ( Base Price with GST)")</f>
        <v>5420.52</v>
      </c>
      <c r="S90" s="39">
        <f t="shared" ref="S90:S102" si="36">P90*R90</f>
        <v>419.38337411961322</v>
      </c>
      <c r="T90" s="35" t="s">
        <v>76</v>
      </c>
      <c r="U90" s="42">
        <v>5699</v>
      </c>
      <c r="V90" s="43">
        <v>490110</v>
      </c>
    </row>
    <row r="91" spans="1:22" ht="15" customHeight="1">
      <c r="A91" s="44" t="s">
        <v>256</v>
      </c>
      <c r="B91" s="45" t="s">
        <v>41</v>
      </c>
      <c r="C91" s="45" t="s">
        <v>105</v>
      </c>
      <c r="D91" s="45" t="s">
        <v>171</v>
      </c>
      <c r="E91" s="46" t="s">
        <v>73</v>
      </c>
      <c r="F91" s="47" t="s">
        <v>81</v>
      </c>
      <c r="G91" s="48" t="s">
        <v>24</v>
      </c>
      <c r="H91" s="49" t="s">
        <v>75</v>
      </c>
      <c r="I91" s="48">
        <v>4000011756</v>
      </c>
      <c r="J91" s="52">
        <v>22.42</v>
      </c>
      <c r="K91" s="50"/>
      <c r="L91" s="52">
        <f t="shared" si="26"/>
        <v>22.42</v>
      </c>
      <c r="M91" s="51">
        <v>0</v>
      </c>
      <c r="N91" s="52">
        <f t="shared" si="27"/>
        <v>0</v>
      </c>
      <c r="O91" s="52">
        <f t="shared" si="28"/>
        <v>22.42</v>
      </c>
      <c r="P91" s="53">
        <f t="shared" si="33"/>
        <v>3.3454697385698937E-2</v>
      </c>
      <c r="Q91" s="52">
        <f t="shared" si="34"/>
        <v>670.16000000000008</v>
      </c>
      <c r="R91" s="54">
        <f t="shared" si="35"/>
        <v>5420.52</v>
      </c>
      <c r="S91" s="52">
        <f t="shared" si="36"/>
        <v>181.34185627312883</v>
      </c>
      <c r="T91" s="48" t="s">
        <v>76</v>
      </c>
      <c r="U91" s="55">
        <v>5699</v>
      </c>
      <c r="V91" s="56">
        <v>490110</v>
      </c>
    </row>
    <row r="92" spans="1:22" ht="15" customHeight="1">
      <c r="A92" s="44" t="s">
        <v>256</v>
      </c>
      <c r="B92" s="45" t="s">
        <v>41</v>
      </c>
      <c r="C92" s="45" t="s">
        <v>71</v>
      </c>
      <c r="D92" s="45" t="s">
        <v>172</v>
      </c>
      <c r="E92" s="46" t="s">
        <v>73</v>
      </c>
      <c r="F92" s="47" t="s">
        <v>74</v>
      </c>
      <c r="G92" s="48" t="s">
        <v>24</v>
      </c>
      <c r="H92" s="49" t="s">
        <v>75</v>
      </c>
      <c r="I92" s="48">
        <v>4000011757</v>
      </c>
      <c r="J92" s="52">
        <v>72.88</v>
      </c>
      <c r="K92" s="50"/>
      <c r="L92" s="52">
        <f t="shared" si="26"/>
        <v>72.88</v>
      </c>
      <c r="M92" s="51">
        <v>0</v>
      </c>
      <c r="N92" s="52">
        <f t="shared" si="27"/>
        <v>0</v>
      </c>
      <c r="O92" s="52">
        <f t="shared" si="28"/>
        <v>72.88</v>
      </c>
      <c r="P92" s="53">
        <f t="shared" si="33"/>
        <v>0.10875014921809716</v>
      </c>
      <c r="Q92" s="52">
        <f t="shared" si="34"/>
        <v>670.16000000000008</v>
      </c>
      <c r="R92" s="54">
        <f t="shared" si="35"/>
        <v>5420.52</v>
      </c>
      <c r="S92" s="52">
        <f t="shared" si="36"/>
        <v>589.48235883968005</v>
      </c>
      <c r="T92" s="48" t="s">
        <v>76</v>
      </c>
      <c r="U92" s="55">
        <v>5699</v>
      </c>
      <c r="V92" s="56">
        <v>490110</v>
      </c>
    </row>
    <row r="93" spans="1:22" ht="15" customHeight="1">
      <c r="A93" s="44" t="s">
        <v>256</v>
      </c>
      <c r="B93" s="45" t="s">
        <v>41</v>
      </c>
      <c r="C93" s="45" t="s">
        <v>78</v>
      </c>
      <c r="D93" s="45" t="s">
        <v>173</v>
      </c>
      <c r="E93" s="46" t="s">
        <v>73</v>
      </c>
      <c r="F93" s="47" t="s">
        <v>74</v>
      </c>
      <c r="G93" s="48" t="s">
        <v>24</v>
      </c>
      <c r="H93" s="49" t="s">
        <v>75</v>
      </c>
      <c r="I93" s="48">
        <v>4000011760</v>
      </c>
      <c r="J93" s="52">
        <v>18.559999999999999</v>
      </c>
      <c r="K93" s="50"/>
      <c r="L93" s="52">
        <f t="shared" si="26"/>
        <v>18.559999999999999</v>
      </c>
      <c r="M93" s="51">
        <v>0</v>
      </c>
      <c r="N93" s="52">
        <f t="shared" si="27"/>
        <v>0</v>
      </c>
      <c r="O93" s="52">
        <f t="shared" si="28"/>
        <v>18.559999999999999</v>
      </c>
      <c r="P93" s="53">
        <f t="shared" si="33"/>
        <v>2.7694878834905092E-2</v>
      </c>
      <c r="Q93" s="52">
        <f t="shared" si="34"/>
        <v>670.16000000000008</v>
      </c>
      <c r="R93" s="54">
        <f t="shared" si="35"/>
        <v>5420.52</v>
      </c>
      <c r="S93" s="52">
        <f t="shared" si="36"/>
        <v>150.12064462217975</v>
      </c>
      <c r="T93" s="48" t="s">
        <v>76</v>
      </c>
      <c r="U93" s="55">
        <v>5699</v>
      </c>
      <c r="V93" s="56">
        <v>490110</v>
      </c>
    </row>
    <row r="94" spans="1:22" ht="15" customHeight="1">
      <c r="A94" s="44" t="s">
        <v>256</v>
      </c>
      <c r="B94" s="45" t="s">
        <v>41</v>
      </c>
      <c r="C94" s="45" t="s">
        <v>78</v>
      </c>
      <c r="D94" s="45" t="s">
        <v>174</v>
      </c>
      <c r="E94" s="46" t="s">
        <v>73</v>
      </c>
      <c r="F94" s="47" t="s">
        <v>74</v>
      </c>
      <c r="G94" s="48" t="s">
        <v>24</v>
      </c>
      <c r="H94" s="49" t="s">
        <v>75</v>
      </c>
      <c r="I94" s="48">
        <v>4000011759</v>
      </c>
      <c r="J94" s="52">
        <v>59.69</v>
      </c>
      <c r="K94" s="50"/>
      <c r="L94" s="52">
        <f t="shared" si="26"/>
        <v>59.69</v>
      </c>
      <c r="M94" s="51">
        <v>0</v>
      </c>
      <c r="N94" s="52">
        <f t="shared" si="27"/>
        <v>0</v>
      </c>
      <c r="O94" s="52">
        <f t="shared" si="28"/>
        <v>59.69</v>
      </c>
      <c r="P94" s="53">
        <f t="shared" si="33"/>
        <v>8.906828220126535E-2</v>
      </c>
      <c r="Q94" s="52">
        <f t="shared" si="34"/>
        <v>670.16000000000008</v>
      </c>
      <c r="R94" s="54">
        <f t="shared" si="35"/>
        <v>5420.52</v>
      </c>
      <c r="S94" s="52">
        <f t="shared" si="36"/>
        <v>482.79640503760288</v>
      </c>
      <c r="T94" s="48" t="s">
        <v>76</v>
      </c>
      <c r="U94" s="55">
        <v>5699</v>
      </c>
      <c r="V94" s="56">
        <v>490110</v>
      </c>
    </row>
    <row r="95" spans="1:22" ht="15" customHeight="1">
      <c r="A95" s="44" t="s">
        <v>256</v>
      </c>
      <c r="B95" s="45" t="s">
        <v>41</v>
      </c>
      <c r="C95" s="45" t="s">
        <v>78</v>
      </c>
      <c r="D95" s="45" t="s">
        <v>175</v>
      </c>
      <c r="E95" s="46" t="s">
        <v>73</v>
      </c>
      <c r="F95" s="47" t="s">
        <v>74</v>
      </c>
      <c r="G95" s="48" t="s">
        <v>24</v>
      </c>
      <c r="H95" s="49" t="s">
        <v>75</v>
      </c>
      <c r="I95" s="48">
        <v>4000011761</v>
      </c>
      <c r="J95" s="52">
        <v>14.84</v>
      </c>
      <c r="K95" s="50"/>
      <c r="L95" s="52">
        <f t="shared" si="26"/>
        <v>14.84</v>
      </c>
      <c r="M95" s="51">
        <v>0</v>
      </c>
      <c r="N95" s="52">
        <f t="shared" si="27"/>
        <v>0</v>
      </c>
      <c r="O95" s="52">
        <f t="shared" si="28"/>
        <v>14.84</v>
      </c>
      <c r="P95" s="53">
        <f t="shared" si="33"/>
        <v>2.2143965620150408E-2</v>
      </c>
      <c r="Q95" s="52">
        <f t="shared" si="34"/>
        <v>670.16000000000008</v>
      </c>
      <c r="R95" s="54">
        <f t="shared" si="35"/>
        <v>5420.52</v>
      </c>
      <c r="S95" s="52">
        <f t="shared" si="36"/>
        <v>120.0318085233377</v>
      </c>
      <c r="T95" s="48" t="s">
        <v>76</v>
      </c>
      <c r="U95" s="55">
        <v>5699</v>
      </c>
      <c r="V95" s="56">
        <v>490110</v>
      </c>
    </row>
    <row r="96" spans="1:22" ht="15" customHeight="1">
      <c r="A96" s="44" t="s">
        <v>256</v>
      </c>
      <c r="B96" s="45" t="s">
        <v>41</v>
      </c>
      <c r="C96" s="45" t="s">
        <v>161</v>
      </c>
      <c r="D96" s="45" t="s">
        <v>176</v>
      </c>
      <c r="E96" s="46" t="s">
        <v>73</v>
      </c>
      <c r="F96" s="47" t="s">
        <v>74</v>
      </c>
      <c r="G96" s="48" t="s">
        <v>24</v>
      </c>
      <c r="H96" s="49" t="s">
        <v>75</v>
      </c>
      <c r="I96" s="48">
        <v>4000011762</v>
      </c>
      <c r="J96" s="52">
        <v>101.74</v>
      </c>
      <c r="K96" s="50"/>
      <c r="L96" s="52">
        <f t="shared" si="26"/>
        <v>101.74</v>
      </c>
      <c r="M96" s="51">
        <v>0</v>
      </c>
      <c r="N96" s="52">
        <f t="shared" si="27"/>
        <v>0</v>
      </c>
      <c r="O96" s="52">
        <f t="shared" si="28"/>
        <v>101.74</v>
      </c>
      <c r="P96" s="53">
        <f t="shared" si="33"/>
        <v>0.15181449206159719</v>
      </c>
      <c r="Q96" s="52">
        <f t="shared" si="34"/>
        <v>670.16000000000008</v>
      </c>
      <c r="R96" s="54">
        <f t="shared" si="35"/>
        <v>5420.52</v>
      </c>
      <c r="S96" s="52">
        <f t="shared" si="36"/>
        <v>822.91349050972894</v>
      </c>
      <c r="T96" s="48" t="s">
        <v>76</v>
      </c>
      <c r="U96" s="55">
        <v>5699</v>
      </c>
      <c r="V96" s="56">
        <v>490110</v>
      </c>
    </row>
    <row r="97" spans="1:22" ht="15" customHeight="1">
      <c r="A97" s="44" t="s">
        <v>256</v>
      </c>
      <c r="B97" s="45" t="s">
        <v>41</v>
      </c>
      <c r="C97" s="45" t="s">
        <v>105</v>
      </c>
      <c r="D97" s="45" t="s">
        <v>177</v>
      </c>
      <c r="E97" s="46" t="s">
        <v>73</v>
      </c>
      <c r="F97" s="47" t="s">
        <v>81</v>
      </c>
      <c r="G97" s="48" t="s">
        <v>24</v>
      </c>
      <c r="H97" s="57" t="s">
        <v>84</v>
      </c>
      <c r="I97" s="48">
        <v>4000011763</v>
      </c>
      <c r="J97" s="52">
        <v>57.08</v>
      </c>
      <c r="K97" s="50"/>
      <c r="L97" s="52">
        <f t="shared" si="26"/>
        <v>57.08</v>
      </c>
      <c r="M97" s="51">
        <v>0</v>
      </c>
      <c r="N97" s="52">
        <f t="shared" si="27"/>
        <v>0</v>
      </c>
      <c r="O97" s="52">
        <f t="shared" si="28"/>
        <v>57.08</v>
      </c>
      <c r="P97" s="53">
        <f t="shared" si="33"/>
        <v>8.517368986510683E-2</v>
      </c>
      <c r="Q97" s="52">
        <f t="shared" si="34"/>
        <v>670.16000000000008</v>
      </c>
      <c r="R97" s="54">
        <f t="shared" si="35"/>
        <v>5420.52</v>
      </c>
      <c r="S97" s="52">
        <f t="shared" si="36"/>
        <v>461.68568938760893</v>
      </c>
      <c r="T97" s="48" t="s">
        <v>76</v>
      </c>
      <c r="U97" s="55">
        <v>5699</v>
      </c>
      <c r="V97" s="56">
        <v>490110</v>
      </c>
    </row>
    <row r="98" spans="1:22" ht="15" customHeight="1">
      <c r="A98" s="44" t="s">
        <v>256</v>
      </c>
      <c r="B98" s="45" t="s">
        <v>41</v>
      </c>
      <c r="C98" s="45" t="s">
        <v>105</v>
      </c>
      <c r="D98" s="45" t="s">
        <v>178</v>
      </c>
      <c r="E98" s="46" t="s">
        <v>73</v>
      </c>
      <c r="F98" s="47" t="s">
        <v>81</v>
      </c>
      <c r="G98" s="48" t="s">
        <v>24</v>
      </c>
      <c r="H98" s="57" t="s">
        <v>84</v>
      </c>
      <c r="I98" s="48">
        <v>4000011764</v>
      </c>
      <c r="J98" s="52">
        <v>22.42</v>
      </c>
      <c r="K98" s="50"/>
      <c r="L98" s="52">
        <f t="shared" ref="L98:L129" si="37">J98+K98</f>
        <v>22.42</v>
      </c>
      <c r="M98" s="51">
        <v>0</v>
      </c>
      <c r="N98" s="52">
        <f t="shared" ref="N98:N129" si="38">M98*L98</f>
        <v>0</v>
      </c>
      <c r="O98" s="52">
        <f t="shared" ref="O98:O129" si="39">L98+N98</f>
        <v>22.42</v>
      </c>
      <c r="P98" s="53">
        <f t="shared" si="33"/>
        <v>3.3454697385698937E-2</v>
      </c>
      <c r="Q98" s="52">
        <f t="shared" si="34"/>
        <v>670.16000000000008</v>
      </c>
      <c r="R98" s="54">
        <f t="shared" si="35"/>
        <v>5420.52</v>
      </c>
      <c r="S98" s="52">
        <f t="shared" si="36"/>
        <v>181.34185627312883</v>
      </c>
      <c r="T98" s="48" t="s">
        <v>76</v>
      </c>
      <c r="U98" s="55">
        <v>5699</v>
      </c>
      <c r="V98" s="56">
        <v>490110</v>
      </c>
    </row>
    <row r="99" spans="1:22" ht="15" customHeight="1">
      <c r="A99" s="44" t="s">
        <v>256</v>
      </c>
      <c r="B99" s="45" t="s">
        <v>41</v>
      </c>
      <c r="C99" s="45" t="s">
        <v>71</v>
      </c>
      <c r="D99" s="45" t="s">
        <v>179</v>
      </c>
      <c r="E99" s="46" t="s">
        <v>73</v>
      </c>
      <c r="F99" s="47" t="s">
        <v>74</v>
      </c>
      <c r="G99" s="48" t="s">
        <v>24</v>
      </c>
      <c r="H99" s="57" t="s">
        <v>84</v>
      </c>
      <c r="I99" s="48">
        <v>4000011765</v>
      </c>
      <c r="J99" s="52">
        <v>78.069999999999993</v>
      </c>
      <c r="K99" s="50"/>
      <c r="L99" s="52">
        <f t="shared" si="37"/>
        <v>78.069999999999993</v>
      </c>
      <c r="M99" s="51">
        <v>0</v>
      </c>
      <c r="N99" s="52">
        <f t="shared" si="38"/>
        <v>0</v>
      </c>
      <c r="O99" s="52">
        <f t="shared" si="39"/>
        <v>78.069999999999993</v>
      </c>
      <c r="P99" s="53">
        <f t="shared" si="33"/>
        <v>0.11649456846126295</v>
      </c>
      <c r="Q99" s="52">
        <f t="shared" si="34"/>
        <v>670.16000000000008</v>
      </c>
      <c r="R99" s="54">
        <f t="shared" si="35"/>
        <v>5420.52</v>
      </c>
      <c r="S99" s="52">
        <f t="shared" si="36"/>
        <v>631.46113823564508</v>
      </c>
      <c r="T99" s="48" t="s">
        <v>76</v>
      </c>
      <c r="U99" s="55">
        <v>5699</v>
      </c>
      <c r="V99" s="56">
        <v>490110</v>
      </c>
    </row>
    <row r="100" spans="1:22" ht="15" customHeight="1">
      <c r="A100" s="44" t="s">
        <v>256</v>
      </c>
      <c r="B100" s="45" t="s">
        <v>41</v>
      </c>
      <c r="C100" s="45" t="s">
        <v>78</v>
      </c>
      <c r="D100" s="45" t="s">
        <v>180</v>
      </c>
      <c r="E100" s="46" t="s">
        <v>73</v>
      </c>
      <c r="F100" s="47" t="s">
        <v>74</v>
      </c>
      <c r="G100" s="48" t="s">
        <v>24</v>
      </c>
      <c r="H100" s="57" t="s">
        <v>84</v>
      </c>
      <c r="I100" s="48">
        <v>4000011766</v>
      </c>
      <c r="J100" s="52">
        <v>63.45</v>
      </c>
      <c r="K100" s="50"/>
      <c r="L100" s="52">
        <f t="shared" si="37"/>
        <v>63.45</v>
      </c>
      <c r="M100" s="51">
        <v>0</v>
      </c>
      <c r="N100" s="52">
        <f t="shared" si="38"/>
        <v>0</v>
      </c>
      <c r="O100" s="52">
        <f t="shared" si="39"/>
        <v>63.45</v>
      </c>
      <c r="P100" s="53">
        <f t="shared" si="33"/>
        <v>9.4678882654888372E-2</v>
      </c>
      <c r="Q100" s="52">
        <f t="shared" si="34"/>
        <v>670.16000000000008</v>
      </c>
      <c r="R100" s="54">
        <f t="shared" si="35"/>
        <v>5420.52</v>
      </c>
      <c r="S100" s="52">
        <f t="shared" si="36"/>
        <v>513.20877700847552</v>
      </c>
      <c r="T100" s="48" t="s">
        <v>76</v>
      </c>
      <c r="U100" s="55">
        <v>5699</v>
      </c>
      <c r="V100" s="56">
        <v>490110</v>
      </c>
    </row>
    <row r="101" spans="1:22" ht="15" customHeight="1">
      <c r="A101" s="44" t="s">
        <v>256</v>
      </c>
      <c r="B101" s="45" t="s">
        <v>41</v>
      </c>
      <c r="C101" s="45" t="s">
        <v>78</v>
      </c>
      <c r="D101" s="45" t="s">
        <v>181</v>
      </c>
      <c r="E101" s="46" t="s">
        <v>73</v>
      </c>
      <c r="F101" s="47" t="s">
        <v>74</v>
      </c>
      <c r="G101" s="48" t="s">
        <v>24</v>
      </c>
      <c r="H101" s="57" t="s">
        <v>84</v>
      </c>
      <c r="I101" s="48">
        <v>4000011767</v>
      </c>
      <c r="J101" s="52">
        <v>15.94</v>
      </c>
      <c r="K101" s="50"/>
      <c r="L101" s="52">
        <f t="shared" si="37"/>
        <v>15.94</v>
      </c>
      <c r="M101" s="51">
        <v>0</v>
      </c>
      <c r="N101" s="52">
        <f t="shared" si="38"/>
        <v>0</v>
      </c>
      <c r="O101" s="52">
        <f t="shared" si="39"/>
        <v>15.94</v>
      </c>
      <c r="P101" s="53">
        <f t="shared" si="33"/>
        <v>2.3785364689029483E-2</v>
      </c>
      <c r="Q101" s="52">
        <f t="shared" si="34"/>
        <v>670.16000000000008</v>
      </c>
      <c r="R101" s="54">
        <f t="shared" si="35"/>
        <v>5420.52</v>
      </c>
      <c r="S101" s="52">
        <f t="shared" si="36"/>
        <v>128.92904500417811</v>
      </c>
      <c r="T101" s="48" t="s">
        <v>76</v>
      </c>
      <c r="U101" s="55">
        <v>5699</v>
      </c>
      <c r="V101" s="56">
        <v>490110</v>
      </c>
    </row>
    <row r="102" spans="1:22" ht="15" customHeight="1">
      <c r="A102" s="44" t="s">
        <v>256</v>
      </c>
      <c r="B102" s="45" t="s">
        <v>41</v>
      </c>
      <c r="C102" s="45" t="s">
        <v>161</v>
      </c>
      <c r="D102" s="45" t="s">
        <v>182</v>
      </c>
      <c r="E102" s="46" t="s">
        <v>73</v>
      </c>
      <c r="F102" s="47" t="s">
        <v>74</v>
      </c>
      <c r="G102" s="48" t="s">
        <v>24</v>
      </c>
      <c r="H102" s="57" t="s">
        <v>84</v>
      </c>
      <c r="I102" s="48">
        <v>4000011768</v>
      </c>
      <c r="J102" s="52">
        <v>91.22</v>
      </c>
      <c r="K102" s="50"/>
      <c r="L102" s="52">
        <f t="shared" si="37"/>
        <v>91.22</v>
      </c>
      <c r="M102" s="51">
        <v>0</v>
      </c>
      <c r="N102" s="52">
        <f t="shared" si="38"/>
        <v>0</v>
      </c>
      <c r="O102" s="52">
        <f t="shared" si="39"/>
        <v>91.22</v>
      </c>
      <c r="P102" s="53">
        <f t="shared" si="33"/>
        <v>0.13611674823922643</v>
      </c>
      <c r="Q102" s="52">
        <f t="shared" si="34"/>
        <v>670.16000000000008</v>
      </c>
      <c r="R102" s="54">
        <f t="shared" si="35"/>
        <v>5420.52</v>
      </c>
      <c r="S102" s="52">
        <f t="shared" si="36"/>
        <v>737.82355616569168</v>
      </c>
      <c r="T102" s="48" t="s">
        <v>76</v>
      </c>
      <c r="U102" s="55">
        <v>5699</v>
      </c>
      <c r="V102" s="56">
        <v>490110</v>
      </c>
    </row>
    <row r="103" spans="1:22" ht="15" customHeight="1">
      <c r="A103" s="44" t="s">
        <v>256</v>
      </c>
      <c r="B103" s="45" t="s">
        <v>41</v>
      </c>
      <c r="C103" s="45" t="s">
        <v>243</v>
      </c>
      <c r="D103" s="45" t="s">
        <v>250</v>
      </c>
      <c r="E103" s="46" t="s">
        <v>73</v>
      </c>
      <c r="F103" s="58" t="s">
        <v>90</v>
      </c>
      <c r="G103" s="48" t="s">
        <v>24</v>
      </c>
      <c r="H103" s="59" t="s">
        <v>75</v>
      </c>
      <c r="I103" s="60">
        <v>7000001007</v>
      </c>
      <c r="J103" s="61">
        <v>130</v>
      </c>
      <c r="K103" s="60">
        <v>10</v>
      </c>
      <c r="L103" s="61">
        <f t="shared" si="37"/>
        <v>140</v>
      </c>
      <c r="M103" s="62">
        <v>0.18</v>
      </c>
      <c r="N103" s="61">
        <f t="shared" si="38"/>
        <v>25.2</v>
      </c>
      <c r="O103" s="61">
        <f t="shared" si="39"/>
        <v>165.2</v>
      </c>
      <c r="P103" s="63">
        <v>0</v>
      </c>
      <c r="Q103" s="61">
        <f>O103</f>
        <v>165.2</v>
      </c>
      <c r="R103" s="64">
        <f>Q103</f>
        <v>165.2</v>
      </c>
      <c r="S103" s="61">
        <f>Q103</f>
        <v>165.2</v>
      </c>
      <c r="T103" s="60" t="s">
        <v>91</v>
      </c>
      <c r="U103" s="55">
        <v>5699</v>
      </c>
      <c r="V103" s="56">
        <v>49119990</v>
      </c>
    </row>
    <row r="104" spans="1:22" ht="15" customHeight="1">
      <c r="A104" s="44" t="s">
        <v>256</v>
      </c>
      <c r="B104" s="66" t="s">
        <v>41</v>
      </c>
      <c r="C104" s="66" t="s">
        <v>92</v>
      </c>
      <c r="D104" s="66" t="s">
        <v>93</v>
      </c>
      <c r="E104" s="67" t="s">
        <v>73</v>
      </c>
      <c r="F104" s="68" t="s">
        <v>94</v>
      </c>
      <c r="G104" s="69" t="s">
        <v>24</v>
      </c>
      <c r="H104" s="70" t="s">
        <v>75</v>
      </c>
      <c r="I104" s="71">
        <v>8400007</v>
      </c>
      <c r="J104" s="72">
        <v>96</v>
      </c>
      <c r="K104" s="73"/>
      <c r="L104" s="72">
        <f t="shared" si="37"/>
        <v>96</v>
      </c>
      <c r="M104" s="74">
        <v>0.18</v>
      </c>
      <c r="N104" s="72">
        <f t="shared" si="38"/>
        <v>17.28</v>
      </c>
      <c r="O104" s="72">
        <f t="shared" si="39"/>
        <v>113.28</v>
      </c>
      <c r="P104" s="75">
        <v>0</v>
      </c>
      <c r="Q104" s="72">
        <f>O104</f>
        <v>113.28</v>
      </c>
      <c r="R104" s="76">
        <f>Q104</f>
        <v>113.28</v>
      </c>
      <c r="S104" s="72">
        <f>Q104</f>
        <v>113.28</v>
      </c>
      <c r="T104" s="71" t="s">
        <v>91</v>
      </c>
      <c r="U104" s="77">
        <v>5699</v>
      </c>
      <c r="V104" s="78">
        <v>999299</v>
      </c>
    </row>
    <row r="105" spans="1:22" ht="15" customHeight="1">
      <c r="A105" s="44" t="s">
        <v>256</v>
      </c>
      <c r="B105" s="32" t="s">
        <v>42</v>
      </c>
      <c r="C105" s="32" t="s">
        <v>105</v>
      </c>
      <c r="D105" s="32" t="s">
        <v>184</v>
      </c>
      <c r="E105" s="33" t="s">
        <v>73</v>
      </c>
      <c r="F105" s="34" t="s">
        <v>81</v>
      </c>
      <c r="G105" s="35" t="s">
        <v>24</v>
      </c>
      <c r="H105" s="36" t="s">
        <v>75</v>
      </c>
      <c r="I105" s="35">
        <v>4000011770</v>
      </c>
      <c r="J105" s="39">
        <v>51.97</v>
      </c>
      <c r="K105" s="37"/>
      <c r="L105" s="39">
        <f t="shared" si="37"/>
        <v>51.97</v>
      </c>
      <c r="M105" s="38">
        <v>0</v>
      </c>
      <c r="N105" s="39">
        <f t="shared" si="38"/>
        <v>0</v>
      </c>
      <c r="O105" s="39">
        <f t="shared" si="39"/>
        <v>51.97</v>
      </c>
      <c r="P105" s="40">
        <f t="shared" ref="P105:P117" si="40">IFERROR(O105/Q105,"")</f>
        <v>8.3069594961797874E-2</v>
      </c>
      <c r="Q105" s="39">
        <f t="shared" ref="Q105:Q117" si="41">SUMIFS(O:O,T:T,T105,B:B,B105,A:A,A105,G:G,G105,E:E,E105)</f>
        <v>625.62000000000012</v>
      </c>
      <c r="R105" s="41">
        <f t="shared" ref="R105:R117" si="42">U105-SUMIFS(Q:Q,A:A,A105,B:B,B105,G:G,G105,E:E,E105,T:T,"Fixed Price ( Base Price with GST)")</f>
        <v>5431.848</v>
      </c>
      <c r="S105" s="39">
        <f t="shared" ref="S105:S117" si="43">P105*R105</f>
        <v>451.22141325405187</v>
      </c>
      <c r="T105" s="35" t="s">
        <v>76</v>
      </c>
      <c r="U105" s="42">
        <v>5699</v>
      </c>
      <c r="V105" s="43">
        <v>490110</v>
      </c>
    </row>
    <row r="106" spans="1:22" ht="15" customHeight="1">
      <c r="A106" s="44" t="s">
        <v>256</v>
      </c>
      <c r="B106" s="45" t="s">
        <v>42</v>
      </c>
      <c r="C106" s="45" t="s">
        <v>105</v>
      </c>
      <c r="D106" s="45" t="s">
        <v>185</v>
      </c>
      <c r="E106" s="46" t="s">
        <v>73</v>
      </c>
      <c r="F106" s="47" t="s">
        <v>81</v>
      </c>
      <c r="G106" s="48" t="s">
        <v>24</v>
      </c>
      <c r="H106" s="49" t="s">
        <v>75</v>
      </c>
      <c r="I106" s="48">
        <v>4000011771</v>
      </c>
      <c r="J106" s="52">
        <v>21.76</v>
      </c>
      <c r="K106" s="50"/>
      <c r="L106" s="52">
        <f t="shared" si="37"/>
        <v>21.76</v>
      </c>
      <c r="M106" s="51">
        <v>0</v>
      </c>
      <c r="N106" s="52">
        <f t="shared" si="38"/>
        <v>0</v>
      </c>
      <c r="O106" s="52">
        <f t="shared" si="39"/>
        <v>21.76</v>
      </c>
      <c r="P106" s="53">
        <f t="shared" si="40"/>
        <v>3.478149675521882E-2</v>
      </c>
      <c r="Q106" s="52">
        <f t="shared" si="41"/>
        <v>625.62000000000012</v>
      </c>
      <c r="R106" s="54">
        <f t="shared" si="42"/>
        <v>5431.848</v>
      </c>
      <c r="S106" s="52">
        <f t="shared" si="43"/>
        <v>188.92780358684183</v>
      </c>
      <c r="T106" s="48" t="s">
        <v>76</v>
      </c>
      <c r="U106" s="55">
        <v>5699</v>
      </c>
      <c r="V106" s="56">
        <v>490110</v>
      </c>
    </row>
    <row r="107" spans="1:22" ht="15" customHeight="1">
      <c r="A107" s="44" t="s">
        <v>256</v>
      </c>
      <c r="B107" s="45" t="s">
        <v>42</v>
      </c>
      <c r="C107" s="45" t="s">
        <v>71</v>
      </c>
      <c r="D107" s="45" t="s">
        <v>186</v>
      </c>
      <c r="E107" s="46" t="s">
        <v>73</v>
      </c>
      <c r="F107" s="47" t="s">
        <v>74</v>
      </c>
      <c r="G107" s="48" t="s">
        <v>24</v>
      </c>
      <c r="H107" s="49" t="s">
        <v>75</v>
      </c>
      <c r="I107" s="48">
        <v>4000011772</v>
      </c>
      <c r="J107" s="52">
        <v>68.62</v>
      </c>
      <c r="K107" s="50"/>
      <c r="L107" s="52">
        <f t="shared" si="37"/>
        <v>68.62</v>
      </c>
      <c r="M107" s="51">
        <v>0</v>
      </c>
      <c r="N107" s="52">
        <f t="shared" si="38"/>
        <v>0</v>
      </c>
      <c r="O107" s="52">
        <f t="shared" si="39"/>
        <v>68.62</v>
      </c>
      <c r="P107" s="53">
        <f t="shared" si="40"/>
        <v>0.10968319427128287</v>
      </c>
      <c r="Q107" s="52">
        <f t="shared" si="41"/>
        <v>625.62000000000012</v>
      </c>
      <c r="R107" s="54">
        <f t="shared" si="42"/>
        <v>5431.848</v>
      </c>
      <c r="S107" s="52">
        <f t="shared" si="43"/>
        <v>595.78243943607936</v>
      </c>
      <c r="T107" s="48" t="s">
        <v>76</v>
      </c>
      <c r="U107" s="55">
        <v>5699</v>
      </c>
      <c r="V107" s="56">
        <v>490110</v>
      </c>
    </row>
    <row r="108" spans="1:22" ht="15" customHeight="1">
      <c r="A108" s="44" t="s">
        <v>256</v>
      </c>
      <c r="B108" s="45" t="s">
        <v>42</v>
      </c>
      <c r="C108" s="45" t="s">
        <v>78</v>
      </c>
      <c r="D108" s="45" t="s">
        <v>187</v>
      </c>
      <c r="E108" s="46" t="s">
        <v>73</v>
      </c>
      <c r="F108" s="47" t="s">
        <v>74</v>
      </c>
      <c r="G108" s="48" t="s">
        <v>24</v>
      </c>
      <c r="H108" s="49" t="s">
        <v>75</v>
      </c>
      <c r="I108" s="48">
        <v>4000011774</v>
      </c>
      <c r="J108" s="52">
        <v>21.8</v>
      </c>
      <c r="K108" s="50"/>
      <c r="L108" s="52">
        <f t="shared" si="37"/>
        <v>21.8</v>
      </c>
      <c r="M108" s="51">
        <v>0</v>
      </c>
      <c r="N108" s="52">
        <f t="shared" si="38"/>
        <v>0</v>
      </c>
      <c r="O108" s="52">
        <f t="shared" si="39"/>
        <v>21.8</v>
      </c>
      <c r="P108" s="53">
        <f t="shared" si="40"/>
        <v>3.4845433330136497E-2</v>
      </c>
      <c r="Q108" s="52">
        <f t="shared" si="41"/>
        <v>625.62000000000012</v>
      </c>
      <c r="R108" s="54">
        <f t="shared" si="42"/>
        <v>5431.848</v>
      </c>
      <c r="S108" s="52">
        <f t="shared" si="43"/>
        <v>189.27509734343528</v>
      </c>
      <c r="T108" s="48" t="s">
        <v>76</v>
      </c>
      <c r="U108" s="55">
        <v>5699</v>
      </c>
      <c r="V108" s="56">
        <v>490110</v>
      </c>
    </row>
    <row r="109" spans="1:22" ht="15" customHeight="1">
      <c r="A109" s="44" t="s">
        <v>256</v>
      </c>
      <c r="B109" s="45" t="s">
        <v>42</v>
      </c>
      <c r="C109" s="45" t="s">
        <v>78</v>
      </c>
      <c r="D109" s="45" t="s">
        <v>188</v>
      </c>
      <c r="E109" s="46" t="s">
        <v>73</v>
      </c>
      <c r="F109" s="47" t="s">
        <v>74</v>
      </c>
      <c r="G109" s="48" t="s">
        <v>24</v>
      </c>
      <c r="H109" s="49" t="s">
        <v>75</v>
      </c>
      <c r="I109" s="48">
        <v>4000011773</v>
      </c>
      <c r="J109" s="52">
        <v>60.31</v>
      </c>
      <c r="K109" s="50"/>
      <c r="L109" s="52">
        <f t="shared" si="37"/>
        <v>60.31</v>
      </c>
      <c r="M109" s="51">
        <v>0</v>
      </c>
      <c r="N109" s="52">
        <f t="shared" si="38"/>
        <v>0</v>
      </c>
      <c r="O109" s="52">
        <f t="shared" si="39"/>
        <v>60.31</v>
      </c>
      <c r="P109" s="53">
        <f t="shared" si="40"/>
        <v>9.6400370832134513E-2</v>
      </c>
      <c r="Q109" s="52">
        <f t="shared" si="41"/>
        <v>625.62000000000012</v>
      </c>
      <c r="R109" s="54">
        <f t="shared" si="42"/>
        <v>5431.848</v>
      </c>
      <c r="S109" s="52">
        <f t="shared" si="43"/>
        <v>523.63216150378821</v>
      </c>
      <c r="T109" s="48" t="s">
        <v>76</v>
      </c>
      <c r="U109" s="55">
        <v>5699</v>
      </c>
      <c r="V109" s="56">
        <v>490110</v>
      </c>
    </row>
    <row r="110" spans="1:22" ht="15" customHeight="1">
      <c r="A110" s="44" t="s">
        <v>256</v>
      </c>
      <c r="B110" s="45" t="s">
        <v>42</v>
      </c>
      <c r="C110" s="45" t="s">
        <v>78</v>
      </c>
      <c r="D110" s="45" t="s">
        <v>189</v>
      </c>
      <c r="E110" s="46" t="s">
        <v>73</v>
      </c>
      <c r="F110" s="47" t="s">
        <v>74</v>
      </c>
      <c r="G110" s="48" t="s">
        <v>24</v>
      </c>
      <c r="H110" s="49" t="s">
        <v>75</v>
      </c>
      <c r="I110" s="48">
        <v>4000011775</v>
      </c>
      <c r="J110" s="52">
        <v>13.59</v>
      </c>
      <c r="K110" s="50"/>
      <c r="L110" s="52">
        <f t="shared" si="37"/>
        <v>13.59</v>
      </c>
      <c r="M110" s="51">
        <v>0</v>
      </c>
      <c r="N110" s="52">
        <f t="shared" si="38"/>
        <v>0</v>
      </c>
      <c r="O110" s="52">
        <f t="shared" si="39"/>
        <v>13.59</v>
      </c>
      <c r="P110" s="53">
        <f t="shared" si="40"/>
        <v>2.1722451328282339E-2</v>
      </c>
      <c r="Q110" s="52">
        <f t="shared" si="41"/>
        <v>625.62000000000012</v>
      </c>
      <c r="R110" s="54">
        <f t="shared" si="42"/>
        <v>5431.848</v>
      </c>
      <c r="S110" s="52">
        <f t="shared" si="43"/>
        <v>117.99305380262777</v>
      </c>
      <c r="T110" s="48" t="s">
        <v>76</v>
      </c>
      <c r="U110" s="55">
        <v>5699</v>
      </c>
      <c r="V110" s="56">
        <v>490110</v>
      </c>
    </row>
    <row r="111" spans="1:22" ht="15" customHeight="1">
      <c r="A111" s="44" t="s">
        <v>256</v>
      </c>
      <c r="B111" s="45" t="s">
        <v>42</v>
      </c>
      <c r="C111" s="45" t="s">
        <v>161</v>
      </c>
      <c r="D111" s="45" t="s">
        <v>190</v>
      </c>
      <c r="E111" s="46" t="s">
        <v>73</v>
      </c>
      <c r="F111" s="47" t="s">
        <v>74</v>
      </c>
      <c r="G111" s="48" t="s">
        <v>24</v>
      </c>
      <c r="H111" s="49" t="s">
        <v>75</v>
      </c>
      <c r="I111" s="48">
        <v>4000011776</v>
      </c>
      <c r="J111" s="52">
        <v>85.28</v>
      </c>
      <c r="K111" s="50"/>
      <c r="L111" s="52">
        <f t="shared" si="37"/>
        <v>85.28</v>
      </c>
      <c r="M111" s="51">
        <v>0</v>
      </c>
      <c r="N111" s="52">
        <f t="shared" si="38"/>
        <v>0</v>
      </c>
      <c r="O111" s="52">
        <f t="shared" si="39"/>
        <v>85.28</v>
      </c>
      <c r="P111" s="53">
        <f t="shared" si="40"/>
        <v>0.13631277772449726</v>
      </c>
      <c r="Q111" s="52">
        <f t="shared" si="41"/>
        <v>625.62000000000012</v>
      </c>
      <c r="R111" s="54">
        <f t="shared" si="42"/>
        <v>5431.848</v>
      </c>
      <c r="S111" s="52">
        <f t="shared" si="43"/>
        <v>740.43028905725498</v>
      </c>
      <c r="T111" s="48" t="s">
        <v>76</v>
      </c>
      <c r="U111" s="55">
        <v>5699</v>
      </c>
      <c r="V111" s="56">
        <v>490110</v>
      </c>
    </row>
    <row r="112" spans="1:22" ht="15" customHeight="1">
      <c r="A112" s="44" t="s">
        <v>256</v>
      </c>
      <c r="B112" s="45" t="s">
        <v>42</v>
      </c>
      <c r="C112" s="45" t="s">
        <v>105</v>
      </c>
      <c r="D112" s="45" t="s">
        <v>191</v>
      </c>
      <c r="E112" s="46" t="s">
        <v>73</v>
      </c>
      <c r="F112" s="47" t="s">
        <v>81</v>
      </c>
      <c r="G112" s="48" t="s">
        <v>24</v>
      </c>
      <c r="H112" s="57" t="s">
        <v>84</v>
      </c>
      <c r="I112" s="48">
        <v>4000011777</v>
      </c>
      <c r="J112" s="52">
        <v>57.48</v>
      </c>
      <c r="K112" s="50"/>
      <c r="L112" s="52">
        <f t="shared" si="37"/>
        <v>57.48</v>
      </c>
      <c r="M112" s="51">
        <v>0</v>
      </c>
      <c r="N112" s="52">
        <f t="shared" si="38"/>
        <v>0</v>
      </c>
      <c r="O112" s="52">
        <f t="shared" si="39"/>
        <v>57.48</v>
      </c>
      <c r="P112" s="53">
        <f t="shared" si="40"/>
        <v>9.1876858156708527E-2</v>
      </c>
      <c r="Q112" s="52">
        <f t="shared" si="41"/>
        <v>625.62000000000012</v>
      </c>
      <c r="R112" s="54">
        <f t="shared" si="42"/>
        <v>5431.848</v>
      </c>
      <c r="S112" s="52">
        <f t="shared" si="43"/>
        <v>499.06112822480088</v>
      </c>
      <c r="T112" s="48" t="s">
        <v>76</v>
      </c>
      <c r="U112" s="55">
        <v>5699</v>
      </c>
      <c r="V112" s="56">
        <v>490110</v>
      </c>
    </row>
    <row r="113" spans="1:22" ht="15" customHeight="1">
      <c r="A113" s="44" t="s">
        <v>256</v>
      </c>
      <c r="B113" s="45" t="s">
        <v>42</v>
      </c>
      <c r="C113" s="45" t="s">
        <v>105</v>
      </c>
      <c r="D113" s="45" t="s">
        <v>192</v>
      </c>
      <c r="E113" s="46" t="s">
        <v>73</v>
      </c>
      <c r="F113" s="47" t="s">
        <v>81</v>
      </c>
      <c r="G113" s="48" t="s">
        <v>24</v>
      </c>
      <c r="H113" s="57" t="s">
        <v>84</v>
      </c>
      <c r="I113" s="48">
        <v>4000011778</v>
      </c>
      <c r="J113" s="52">
        <v>18.579999999999998</v>
      </c>
      <c r="K113" s="50"/>
      <c r="L113" s="52">
        <f t="shared" si="37"/>
        <v>18.579999999999998</v>
      </c>
      <c r="M113" s="51">
        <v>0</v>
      </c>
      <c r="N113" s="52">
        <f t="shared" si="38"/>
        <v>0</v>
      </c>
      <c r="O113" s="52">
        <f t="shared" si="39"/>
        <v>18.579999999999998</v>
      </c>
      <c r="P113" s="53">
        <f t="shared" si="40"/>
        <v>2.9698539049263124E-2</v>
      </c>
      <c r="Q113" s="52">
        <f t="shared" si="41"/>
        <v>625.62000000000012</v>
      </c>
      <c r="R113" s="54">
        <f t="shared" si="42"/>
        <v>5431.848</v>
      </c>
      <c r="S113" s="52">
        <f t="shared" si="43"/>
        <v>161.31794993766181</v>
      </c>
      <c r="T113" s="48" t="s">
        <v>76</v>
      </c>
      <c r="U113" s="55">
        <v>5699</v>
      </c>
      <c r="V113" s="56">
        <v>490110</v>
      </c>
    </row>
    <row r="114" spans="1:22" ht="15" customHeight="1">
      <c r="A114" s="44" t="s">
        <v>256</v>
      </c>
      <c r="B114" s="45" t="s">
        <v>42</v>
      </c>
      <c r="C114" s="45" t="s">
        <v>71</v>
      </c>
      <c r="D114" s="45" t="s">
        <v>193</v>
      </c>
      <c r="E114" s="46" t="s">
        <v>73</v>
      </c>
      <c r="F114" s="47" t="s">
        <v>74</v>
      </c>
      <c r="G114" s="48" t="s">
        <v>24</v>
      </c>
      <c r="H114" s="57" t="s">
        <v>84</v>
      </c>
      <c r="I114" s="48">
        <v>4000011779</v>
      </c>
      <c r="J114" s="52">
        <v>68.62</v>
      </c>
      <c r="K114" s="50"/>
      <c r="L114" s="52">
        <f t="shared" si="37"/>
        <v>68.62</v>
      </c>
      <c r="M114" s="51">
        <v>0</v>
      </c>
      <c r="N114" s="52">
        <f t="shared" si="38"/>
        <v>0</v>
      </c>
      <c r="O114" s="52">
        <f t="shared" si="39"/>
        <v>68.62</v>
      </c>
      <c r="P114" s="53">
        <f t="shared" si="40"/>
        <v>0.10968319427128287</v>
      </c>
      <c r="Q114" s="52">
        <f t="shared" si="41"/>
        <v>625.62000000000012</v>
      </c>
      <c r="R114" s="54">
        <f t="shared" si="42"/>
        <v>5431.848</v>
      </c>
      <c r="S114" s="52">
        <f t="shared" si="43"/>
        <v>595.78243943607936</v>
      </c>
      <c r="T114" s="48" t="s">
        <v>76</v>
      </c>
      <c r="U114" s="55">
        <v>5699</v>
      </c>
      <c r="V114" s="56">
        <v>490110</v>
      </c>
    </row>
    <row r="115" spans="1:22" ht="15" customHeight="1">
      <c r="A115" s="44" t="s">
        <v>256</v>
      </c>
      <c r="B115" s="45" t="s">
        <v>42</v>
      </c>
      <c r="C115" s="45" t="s">
        <v>78</v>
      </c>
      <c r="D115" s="45" t="s">
        <v>194</v>
      </c>
      <c r="E115" s="46" t="s">
        <v>73</v>
      </c>
      <c r="F115" s="47" t="s">
        <v>74</v>
      </c>
      <c r="G115" s="48" t="s">
        <v>24</v>
      </c>
      <c r="H115" s="57" t="s">
        <v>84</v>
      </c>
      <c r="I115" s="48">
        <v>4000011862</v>
      </c>
      <c r="J115" s="52">
        <v>64.13</v>
      </c>
      <c r="K115" s="50"/>
      <c r="L115" s="52">
        <f t="shared" si="37"/>
        <v>64.13</v>
      </c>
      <c r="M115" s="51">
        <v>0</v>
      </c>
      <c r="N115" s="52">
        <f t="shared" si="38"/>
        <v>0</v>
      </c>
      <c r="O115" s="52">
        <f t="shared" si="39"/>
        <v>64.13</v>
      </c>
      <c r="P115" s="53">
        <f t="shared" si="40"/>
        <v>0.10250631373677309</v>
      </c>
      <c r="Q115" s="52">
        <f t="shared" si="41"/>
        <v>625.62000000000012</v>
      </c>
      <c r="R115" s="54">
        <f t="shared" si="42"/>
        <v>5431.848</v>
      </c>
      <c r="S115" s="52">
        <f t="shared" si="43"/>
        <v>556.7987152584634</v>
      </c>
      <c r="T115" s="48" t="s">
        <v>76</v>
      </c>
      <c r="U115" s="55">
        <v>5699</v>
      </c>
      <c r="V115" s="56">
        <v>490110</v>
      </c>
    </row>
    <row r="116" spans="1:22" ht="15" customHeight="1">
      <c r="A116" s="44" t="s">
        <v>256</v>
      </c>
      <c r="B116" s="45" t="s">
        <v>42</v>
      </c>
      <c r="C116" s="45" t="s">
        <v>78</v>
      </c>
      <c r="D116" s="45" t="s">
        <v>195</v>
      </c>
      <c r="E116" s="46" t="s">
        <v>73</v>
      </c>
      <c r="F116" s="47" t="s">
        <v>74</v>
      </c>
      <c r="G116" s="48" t="s">
        <v>24</v>
      </c>
      <c r="H116" s="57" t="s">
        <v>84</v>
      </c>
      <c r="I116" s="48">
        <v>4000011863</v>
      </c>
      <c r="J116" s="52">
        <v>16.48</v>
      </c>
      <c r="K116" s="50"/>
      <c r="L116" s="52">
        <f t="shared" si="37"/>
        <v>16.48</v>
      </c>
      <c r="M116" s="51">
        <v>0</v>
      </c>
      <c r="N116" s="52">
        <f t="shared" si="38"/>
        <v>0</v>
      </c>
      <c r="O116" s="52">
        <f t="shared" si="39"/>
        <v>16.48</v>
      </c>
      <c r="P116" s="53">
        <f t="shared" si="40"/>
        <v>2.634186886608484E-2</v>
      </c>
      <c r="Q116" s="52">
        <f t="shared" si="41"/>
        <v>625.62000000000012</v>
      </c>
      <c r="R116" s="54">
        <f t="shared" si="42"/>
        <v>5431.848</v>
      </c>
      <c r="S116" s="52">
        <f t="shared" si="43"/>
        <v>143.08502771650521</v>
      </c>
      <c r="T116" s="48" t="s">
        <v>76</v>
      </c>
      <c r="U116" s="55">
        <v>5699</v>
      </c>
      <c r="V116" s="56">
        <v>490110</v>
      </c>
    </row>
    <row r="117" spans="1:22" ht="15" customHeight="1">
      <c r="A117" s="44" t="s">
        <v>256</v>
      </c>
      <c r="B117" s="45" t="s">
        <v>42</v>
      </c>
      <c r="C117" s="45" t="s">
        <v>161</v>
      </c>
      <c r="D117" s="45" t="s">
        <v>196</v>
      </c>
      <c r="E117" s="46" t="s">
        <v>73</v>
      </c>
      <c r="F117" s="47" t="s">
        <v>74</v>
      </c>
      <c r="G117" s="48" t="s">
        <v>24</v>
      </c>
      <c r="H117" s="57" t="s">
        <v>84</v>
      </c>
      <c r="I117" s="48">
        <v>4000011864</v>
      </c>
      <c r="J117" s="52">
        <v>77</v>
      </c>
      <c r="K117" s="50"/>
      <c r="L117" s="52">
        <f t="shared" si="37"/>
        <v>77</v>
      </c>
      <c r="M117" s="51">
        <v>0</v>
      </c>
      <c r="N117" s="52">
        <f t="shared" si="38"/>
        <v>0</v>
      </c>
      <c r="O117" s="52">
        <f t="shared" si="39"/>
        <v>77</v>
      </c>
      <c r="P117" s="53">
        <f t="shared" si="40"/>
        <v>0.12307790671653718</v>
      </c>
      <c r="Q117" s="52">
        <f t="shared" si="41"/>
        <v>625.62000000000012</v>
      </c>
      <c r="R117" s="54">
        <f t="shared" si="42"/>
        <v>5431.848</v>
      </c>
      <c r="S117" s="52">
        <f t="shared" si="43"/>
        <v>668.54048144240903</v>
      </c>
      <c r="T117" s="48" t="s">
        <v>76</v>
      </c>
      <c r="U117" s="55">
        <v>5699</v>
      </c>
      <c r="V117" s="56">
        <v>490110</v>
      </c>
    </row>
    <row r="118" spans="1:22" ht="15" customHeight="1">
      <c r="A118" s="44" t="s">
        <v>256</v>
      </c>
      <c r="B118" s="45" t="s">
        <v>42</v>
      </c>
      <c r="C118" s="45" t="s">
        <v>243</v>
      </c>
      <c r="D118" s="45" t="s">
        <v>251</v>
      </c>
      <c r="E118" s="46" t="s">
        <v>73</v>
      </c>
      <c r="F118" s="58" t="s">
        <v>90</v>
      </c>
      <c r="G118" s="48" t="s">
        <v>24</v>
      </c>
      <c r="H118" s="59" t="s">
        <v>75</v>
      </c>
      <c r="I118" s="60">
        <v>7000001008</v>
      </c>
      <c r="J118" s="61">
        <v>120.4</v>
      </c>
      <c r="K118" s="60">
        <v>10</v>
      </c>
      <c r="L118" s="61">
        <f t="shared" si="37"/>
        <v>130.4</v>
      </c>
      <c r="M118" s="62">
        <v>0.18</v>
      </c>
      <c r="N118" s="61">
        <f t="shared" si="38"/>
        <v>23.472000000000001</v>
      </c>
      <c r="O118" s="61">
        <f t="shared" si="39"/>
        <v>153.87200000000001</v>
      </c>
      <c r="P118" s="63">
        <v>0</v>
      </c>
      <c r="Q118" s="61">
        <f>O118</f>
        <v>153.87200000000001</v>
      </c>
      <c r="R118" s="64">
        <f>Q118</f>
        <v>153.87200000000001</v>
      </c>
      <c r="S118" s="61">
        <f>Q118</f>
        <v>153.87200000000001</v>
      </c>
      <c r="T118" s="60" t="s">
        <v>91</v>
      </c>
      <c r="U118" s="55">
        <v>5699</v>
      </c>
      <c r="V118" s="56">
        <v>49119990</v>
      </c>
    </row>
    <row r="119" spans="1:22" ht="15" customHeight="1">
      <c r="A119" s="44" t="s">
        <v>256</v>
      </c>
      <c r="B119" s="66" t="s">
        <v>42</v>
      </c>
      <c r="C119" s="66" t="s">
        <v>92</v>
      </c>
      <c r="D119" s="66" t="s">
        <v>93</v>
      </c>
      <c r="E119" s="67" t="s">
        <v>73</v>
      </c>
      <c r="F119" s="68" t="s">
        <v>94</v>
      </c>
      <c r="G119" s="69" t="s">
        <v>24</v>
      </c>
      <c r="H119" s="70" t="s">
        <v>75</v>
      </c>
      <c r="I119" s="71">
        <v>8400007</v>
      </c>
      <c r="J119" s="72">
        <v>96</v>
      </c>
      <c r="K119" s="73"/>
      <c r="L119" s="72">
        <f t="shared" si="37"/>
        <v>96</v>
      </c>
      <c r="M119" s="74">
        <v>0.18</v>
      </c>
      <c r="N119" s="72">
        <f t="shared" si="38"/>
        <v>17.28</v>
      </c>
      <c r="O119" s="72">
        <f t="shared" si="39"/>
        <v>113.28</v>
      </c>
      <c r="P119" s="75">
        <v>0</v>
      </c>
      <c r="Q119" s="72">
        <f>O119</f>
        <v>113.28</v>
      </c>
      <c r="R119" s="76">
        <f>Q119</f>
        <v>113.28</v>
      </c>
      <c r="S119" s="72">
        <f>Q119</f>
        <v>113.28</v>
      </c>
      <c r="T119" s="71" t="s">
        <v>91</v>
      </c>
      <c r="U119" s="77">
        <v>5699</v>
      </c>
      <c r="V119" s="78">
        <v>999299</v>
      </c>
    </row>
    <row r="120" spans="1:22" ht="15" customHeight="1">
      <c r="A120" s="44" t="s">
        <v>256</v>
      </c>
      <c r="B120" s="32" t="s">
        <v>43</v>
      </c>
      <c r="C120" s="32" t="s">
        <v>198</v>
      </c>
      <c r="D120" s="32" t="s">
        <v>199</v>
      </c>
      <c r="E120" s="33" t="s">
        <v>73</v>
      </c>
      <c r="F120" s="34" t="s">
        <v>74</v>
      </c>
      <c r="G120" s="35" t="s">
        <v>24</v>
      </c>
      <c r="H120" s="36" t="s">
        <v>75</v>
      </c>
      <c r="I120" s="35">
        <v>4000011865</v>
      </c>
      <c r="J120" s="39">
        <v>22.9</v>
      </c>
      <c r="K120" s="37"/>
      <c r="L120" s="39">
        <f t="shared" si="37"/>
        <v>22.9</v>
      </c>
      <c r="M120" s="38">
        <v>0</v>
      </c>
      <c r="N120" s="39">
        <f t="shared" si="38"/>
        <v>0</v>
      </c>
      <c r="O120" s="39">
        <f t="shared" si="39"/>
        <v>22.9</v>
      </c>
      <c r="P120" s="40">
        <f t="shared" ref="P120:P129" si="44">IFERROR(O120/Q120,"")</f>
        <v>8.4405292838450469E-2</v>
      </c>
      <c r="Q120" s="39">
        <f t="shared" ref="Q120:Q129" si="45">SUMIFS(O:O,T:T,T120,B:B,B120,A:A,A120,G:G,G120,E:E,E120)</f>
        <v>271.31</v>
      </c>
      <c r="R120" s="41">
        <f t="shared" ref="R120:R129" si="46">U120-SUMIFS(Q:Q,A:A,A120,B:B,B120,G:G,G120,E:E,E120,T:T,"Fixed Price ( Base Price with GST)")</f>
        <v>3590.188528014397</v>
      </c>
      <c r="S120" s="39">
        <f t="shared" ref="S120:S129" si="47">P120*R120</f>
        <v>303.0309140523006</v>
      </c>
      <c r="T120" s="35" t="s">
        <v>76</v>
      </c>
      <c r="U120" s="42">
        <v>3999</v>
      </c>
      <c r="V120" s="43">
        <v>490110</v>
      </c>
    </row>
    <row r="121" spans="1:22" ht="15" customHeight="1">
      <c r="A121" s="44" t="s">
        <v>256</v>
      </c>
      <c r="B121" s="45" t="s">
        <v>43</v>
      </c>
      <c r="C121" s="45" t="s">
        <v>200</v>
      </c>
      <c r="D121" s="45" t="s">
        <v>201</v>
      </c>
      <c r="E121" s="46" t="s">
        <v>73</v>
      </c>
      <c r="F121" s="47" t="s">
        <v>74</v>
      </c>
      <c r="G121" s="48" t="s">
        <v>24</v>
      </c>
      <c r="H121" s="49" t="s">
        <v>75</v>
      </c>
      <c r="I121" s="48">
        <v>4000011866</v>
      </c>
      <c r="J121" s="52">
        <v>12.46</v>
      </c>
      <c r="K121" s="50"/>
      <c r="L121" s="52">
        <f t="shared" si="37"/>
        <v>12.46</v>
      </c>
      <c r="M121" s="51">
        <v>0</v>
      </c>
      <c r="N121" s="52">
        <f t="shared" si="38"/>
        <v>0</v>
      </c>
      <c r="O121" s="52">
        <f t="shared" si="39"/>
        <v>12.46</v>
      </c>
      <c r="P121" s="53">
        <f t="shared" si="44"/>
        <v>4.5925325273672185E-2</v>
      </c>
      <c r="Q121" s="52">
        <f t="shared" si="45"/>
        <v>271.31</v>
      </c>
      <c r="R121" s="54">
        <f t="shared" si="46"/>
        <v>3590.188528014397</v>
      </c>
      <c r="S121" s="52">
        <f t="shared" si="47"/>
        <v>164.88057594286752</v>
      </c>
      <c r="T121" s="48" t="s">
        <v>76</v>
      </c>
      <c r="U121" s="55">
        <v>3999</v>
      </c>
      <c r="V121" s="56">
        <v>490110</v>
      </c>
    </row>
    <row r="122" spans="1:22" ht="15" customHeight="1">
      <c r="A122" s="44" t="s">
        <v>256</v>
      </c>
      <c r="B122" s="45" t="s">
        <v>43</v>
      </c>
      <c r="C122" s="45" t="s">
        <v>202</v>
      </c>
      <c r="D122" s="45" t="s">
        <v>203</v>
      </c>
      <c r="E122" s="46" t="s">
        <v>73</v>
      </c>
      <c r="F122" s="47" t="s">
        <v>81</v>
      </c>
      <c r="G122" s="48" t="s">
        <v>24</v>
      </c>
      <c r="H122" s="49" t="s">
        <v>75</v>
      </c>
      <c r="I122" s="48">
        <v>4000011867</v>
      </c>
      <c r="J122" s="52">
        <v>42.11</v>
      </c>
      <c r="K122" s="50"/>
      <c r="L122" s="52">
        <f t="shared" si="37"/>
        <v>42.11</v>
      </c>
      <c r="M122" s="51">
        <v>0</v>
      </c>
      <c r="N122" s="52">
        <f t="shared" si="38"/>
        <v>0</v>
      </c>
      <c r="O122" s="52">
        <f t="shared" si="39"/>
        <v>42.11</v>
      </c>
      <c r="P122" s="53">
        <f t="shared" si="44"/>
        <v>0.15520990748590174</v>
      </c>
      <c r="Q122" s="52">
        <f t="shared" si="45"/>
        <v>271.31</v>
      </c>
      <c r="R122" s="54">
        <f t="shared" si="46"/>
        <v>3590.188528014397</v>
      </c>
      <c r="S122" s="52">
        <f t="shared" si="47"/>
        <v>557.23282929006029</v>
      </c>
      <c r="T122" s="48" t="s">
        <v>76</v>
      </c>
      <c r="U122" s="55">
        <v>3999</v>
      </c>
      <c r="V122" s="56">
        <v>490110</v>
      </c>
    </row>
    <row r="123" spans="1:22" ht="15" customHeight="1">
      <c r="A123" s="44" t="s">
        <v>256</v>
      </c>
      <c r="B123" s="45" t="s">
        <v>43</v>
      </c>
      <c r="C123" s="45" t="s">
        <v>202</v>
      </c>
      <c r="D123" s="45" t="s">
        <v>204</v>
      </c>
      <c r="E123" s="46" t="s">
        <v>73</v>
      </c>
      <c r="F123" s="47" t="s">
        <v>74</v>
      </c>
      <c r="G123" s="48" t="s">
        <v>24</v>
      </c>
      <c r="H123" s="49" t="s">
        <v>75</v>
      </c>
      <c r="I123" s="48">
        <v>4000011868</v>
      </c>
      <c r="J123" s="52">
        <v>16.7</v>
      </c>
      <c r="K123" s="50"/>
      <c r="L123" s="52">
        <f t="shared" si="37"/>
        <v>16.7</v>
      </c>
      <c r="M123" s="51">
        <v>0</v>
      </c>
      <c r="N123" s="52">
        <f t="shared" si="38"/>
        <v>0</v>
      </c>
      <c r="O123" s="52">
        <f t="shared" si="39"/>
        <v>16.7</v>
      </c>
      <c r="P123" s="53">
        <f t="shared" si="44"/>
        <v>6.1553204821053406E-2</v>
      </c>
      <c r="Q123" s="52">
        <f t="shared" si="45"/>
        <v>271.31</v>
      </c>
      <c r="R123" s="54">
        <f t="shared" si="46"/>
        <v>3590.188528014397</v>
      </c>
      <c r="S123" s="52">
        <f t="shared" si="47"/>
        <v>220.98760981106642</v>
      </c>
      <c r="T123" s="48" t="s">
        <v>76</v>
      </c>
      <c r="U123" s="55">
        <v>3999</v>
      </c>
      <c r="V123" s="56">
        <v>490110</v>
      </c>
    </row>
    <row r="124" spans="1:22" ht="15" customHeight="1">
      <c r="A124" s="44" t="s">
        <v>256</v>
      </c>
      <c r="B124" s="45" t="s">
        <v>43</v>
      </c>
      <c r="C124" s="45" t="s">
        <v>205</v>
      </c>
      <c r="D124" s="45" t="s">
        <v>206</v>
      </c>
      <c r="E124" s="46" t="s">
        <v>73</v>
      </c>
      <c r="F124" s="47" t="s">
        <v>74</v>
      </c>
      <c r="G124" s="48" t="s">
        <v>24</v>
      </c>
      <c r="H124" s="49" t="s">
        <v>75</v>
      </c>
      <c r="I124" s="48">
        <v>4000011869</v>
      </c>
      <c r="J124" s="52">
        <v>37.69</v>
      </c>
      <c r="K124" s="50"/>
      <c r="L124" s="52">
        <f t="shared" si="37"/>
        <v>37.69</v>
      </c>
      <c r="M124" s="51">
        <v>0</v>
      </c>
      <c r="N124" s="52">
        <f t="shared" si="38"/>
        <v>0</v>
      </c>
      <c r="O124" s="52">
        <f t="shared" si="39"/>
        <v>37.69</v>
      </c>
      <c r="P124" s="53">
        <f t="shared" si="44"/>
        <v>0.13891858022188638</v>
      </c>
      <c r="Q124" s="52">
        <f t="shared" si="45"/>
        <v>271.31</v>
      </c>
      <c r="R124" s="54">
        <f t="shared" si="46"/>
        <v>3590.188528014397</v>
      </c>
      <c r="S124" s="52">
        <f t="shared" si="47"/>
        <v>498.7438930406642</v>
      </c>
      <c r="T124" s="48" t="s">
        <v>76</v>
      </c>
      <c r="U124" s="55">
        <v>3999</v>
      </c>
      <c r="V124" s="56">
        <v>490110</v>
      </c>
    </row>
    <row r="125" spans="1:22" ht="15" customHeight="1">
      <c r="A125" s="44" t="s">
        <v>256</v>
      </c>
      <c r="B125" s="45" t="s">
        <v>43</v>
      </c>
      <c r="C125" s="45" t="s">
        <v>205</v>
      </c>
      <c r="D125" s="45" t="s">
        <v>207</v>
      </c>
      <c r="E125" s="46" t="s">
        <v>73</v>
      </c>
      <c r="F125" s="47" t="s">
        <v>81</v>
      </c>
      <c r="G125" s="48" t="s">
        <v>24</v>
      </c>
      <c r="H125" s="49" t="s">
        <v>75</v>
      </c>
      <c r="I125" s="48">
        <v>4000011870</v>
      </c>
      <c r="J125" s="52">
        <v>18.13</v>
      </c>
      <c r="K125" s="50"/>
      <c r="L125" s="52">
        <f t="shared" si="37"/>
        <v>18.13</v>
      </c>
      <c r="M125" s="51">
        <v>0</v>
      </c>
      <c r="N125" s="52">
        <f t="shared" si="38"/>
        <v>0</v>
      </c>
      <c r="O125" s="52">
        <f t="shared" si="39"/>
        <v>18.13</v>
      </c>
      <c r="P125" s="53">
        <f t="shared" si="44"/>
        <v>6.6823928347646597E-2</v>
      </c>
      <c r="Q125" s="52">
        <f t="shared" si="45"/>
        <v>271.31</v>
      </c>
      <c r="R125" s="54">
        <f t="shared" si="46"/>
        <v>3590.188528014397</v>
      </c>
      <c r="S125" s="52">
        <f t="shared" si="47"/>
        <v>239.91050095057687</v>
      </c>
      <c r="T125" s="48" t="s">
        <v>76</v>
      </c>
      <c r="U125" s="55">
        <v>3999</v>
      </c>
      <c r="V125" s="56">
        <v>490110</v>
      </c>
    </row>
    <row r="126" spans="1:22" ht="15" customHeight="1">
      <c r="A126" s="44" t="s">
        <v>256</v>
      </c>
      <c r="B126" s="45" t="s">
        <v>43</v>
      </c>
      <c r="C126" s="45" t="s">
        <v>202</v>
      </c>
      <c r="D126" s="45" t="s">
        <v>208</v>
      </c>
      <c r="E126" s="46" t="s">
        <v>73</v>
      </c>
      <c r="F126" s="47" t="s">
        <v>74</v>
      </c>
      <c r="G126" s="48" t="s">
        <v>24</v>
      </c>
      <c r="H126" s="57" t="s">
        <v>84</v>
      </c>
      <c r="I126" s="48">
        <v>4000011871</v>
      </c>
      <c r="J126" s="52">
        <v>42.11</v>
      </c>
      <c r="K126" s="50"/>
      <c r="L126" s="52">
        <f t="shared" si="37"/>
        <v>42.11</v>
      </c>
      <c r="M126" s="51">
        <v>0</v>
      </c>
      <c r="N126" s="52">
        <f t="shared" si="38"/>
        <v>0</v>
      </c>
      <c r="O126" s="52">
        <f t="shared" si="39"/>
        <v>42.11</v>
      </c>
      <c r="P126" s="53">
        <f t="shared" si="44"/>
        <v>0.15520990748590174</v>
      </c>
      <c r="Q126" s="52">
        <f t="shared" si="45"/>
        <v>271.31</v>
      </c>
      <c r="R126" s="54">
        <f t="shared" si="46"/>
        <v>3590.188528014397</v>
      </c>
      <c r="S126" s="52">
        <f t="shared" si="47"/>
        <v>557.23282929006029</v>
      </c>
      <c r="T126" s="48" t="s">
        <v>76</v>
      </c>
      <c r="U126" s="55">
        <v>3999</v>
      </c>
      <c r="V126" s="56">
        <v>490110</v>
      </c>
    </row>
    <row r="127" spans="1:22" ht="15" customHeight="1">
      <c r="A127" s="44" t="s">
        <v>256</v>
      </c>
      <c r="B127" s="45" t="s">
        <v>43</v>
      </c>
      <c r="C127" s="45" t="s">
        <v>202</v>
      </c>
      <c r="D127" s="45" t="s">
        <v>209</v>
      </c>
      <c r="E127" s="46" t="s">
        <v>73</v>
      </c>
      <c r="F127" s="47" t="s">
        <v>74</v>
      </c>
      <c r="G127" s="48" t="s">
        <v>24</v>
      </c>
      <c r="H127" s="57" t="s">
        <v>84</v>
      </c>
      <c r="I127" s="48">
        <v>4000011873</v>
      </c>
      <c r="J127" s="52">
        <v>18.13</v>
      </c>
      <c r="K127" s="50"/>
      <c r="L127" s="52">
        <f t="shared" si="37"/>
        <v>18.13</v>
      </c>
      <c r="M127" s="51">
        <v>0</v>
      </c>
      <c r="N127" s="52">
        <f t="shared" si="38"/>
        <v>0</v>
      </c>
      <c r="O127" s="52">
        <f t="shared" si="39"/>
        <v>18.13</v>
      </c>
      <c r="P127" s="53">
        <f t="shared" si="44"/>
        <v>6.6823928347646597E-2</v>
      </c>
      <c r="Q127" s="52">
        <f t="shared" si="45"/>
        <v>271.31</v>
      </c>
      <c r="R127" s="54">
        <f t="shared" si="46"/>
        <v>3590.188528014397</v>
      </c>
      <c r="S127" s="52">
        <f t="shared" si="47"/>
        <v>239.91050095057687</v>
      </c>
      <c r="T127" s="48" t="s">
        <v>76</v>
      </c>
      <c r="U127" s="55">
        <v>3999</v>
      </c>
      <c r="V127" s="56">
        <v>490110</v>
      </c>
    </row>
    <row r="128" spans="1:22" ht="15" customHeight="1">
      <c r="A128" s="44" t="s">
        <v>256</v>
      </c>
      <c r="B128" s="45" t="s">
        <v>43</v>
      </c>
      <c r="C128" s="45" t="s">
        <v>205</v>
      </c>
      <c r="D128" s="45" t="s">
        <v>210</v>
      </c>
      <c r="E128" s="46" t="s">
        <v>73</v>
      </c>
      <c r="F128" s="47" t="s">
        <v>81</v>
      </c>
      <c r="G128" s="48" t="s">
        <v>24</v>
      </c>
      <c r="H128" s="57" t="s">
        <v>84</v>
      </c>
      <c r="I128" s="48">
        <v>4000011874</v>
      </c>
      <c r="J128" s="52">
        <v>44.38</v>
      </c>
      <c r="K128" s="50"/>
      <c r="L128" s="52">
        <f t="shared" si="37"/>
        <v>44.38</v>
      </c>
      <c r="M128" s="51">
        <v>0</v>
      </c>
      <c r="N128" s="52">
        <f t="shared" si="38"/>
        <v>0</v>
      </c>
      <c r="O128" s="52">
        <f t="shared" si="39"/>
        <v>44.38</v>
      </c>
      <c r="P128" s="53">
        <f t="shared" si="44"/>
        <v>0.16357672035678744</v>
      </c>
      <c r="Q128" s="52">
        <f t="shared" si="45"/>
        <v>271.31</v>
      </c>
      <c r="R128" s="54">
        <f t="shared" si="46"/>
        <v>3590.188528014397</v>
      </c>
      <c r="S128" s="52">
        <f t="shared" si="47"/>
        <v>587.27126487515739</v>
      </c>
      <c r="T128" s="48" t="s">
        <v>76</v>
      </c>
      <c r="U128" s="55">
        <v>3999</v>
      </c>
      <c r="V128" s="56">
        <v>490110</v>
      </c>
    </row>
    <row r="129" spans="1:22" ht="15" customHeight="1">
      <c r="A129" s="44" t="s">
        <v>256</v>
      </c>
      <c r="B129" s="45" t="s">
        <v>43</v>
      </c>
      <c r="C129" s="45" t="s">
        <v>205</v>
      </c>
      <c r="D129" s="45" t="s">
        <v>211</v>
      </c>
      <c r="E129" s="46" t="s">
        <v>73</v>
      </c>
      <c r="F129" s="47" t="s">
        <v>81</v>
      </c>
      <c r="G129" s="48" t="s">
        <v>24</v>
      </c>
      <c r="H129" s="57" t="s">
        <v>84</v>
      </c>
      <c r="I129" s="48">
        <v>4000011875</v>
      </c>
      <c r="J129" s="52">
        <v>16.7</v>
      </c>
      <c r="K129" s="50"/>
      <c r="L129" s="52">
        <f t="shared" si="37"/>
        <v>16.7</v>
      </c>
      <c r="M129" s="51">
        <v>0</v>
      </c>
      <c r="N129" s="52">
        <f t="shared" si="38"/>
        <v>0</v>
      </c>
      <c r="O129" s="52">
        <f t="shared" si="39"/>
        <v>16.7</v>
      </c>
      <c r="P129" s="53">
        <f t="shared" si="44"/>
        <v>6.1553204821053406E-2</v>
      </c>
      <c r="Q129" s="52">
        <f t="shared" si="45"/>
        <v>271.31</v>
      </c>
      <c r="R129" s="54">
        <f t="shared" si="46"/>
        <v>3590.188528014397</v>
      </c>
      <c r="S129" s="52">
        <f t="shared" si="47"/>
        <v>220.98760981106642</v>
      </c>
      <c r="T129" s="48" t="s">
        <v>76</v>
      </c>
      <c r="U129" s="55">
        <v>3999</v>
      </c>
      <c r="V129" s="56">
        <v>490110</v>
      </c>
    </row>
    <row r="130" spans="1:22" ht="15" customHeight="1">
      <c r="A130" s="44" t="s">
        <v>256</v>
      </c>
      <c r="B130" s="45" t="s">
        <v>43</v>
      </c>
      <c r="C130" s="45" t="s">
        <v>243</v>
      </c>
      <c r="D130" s="45" t="s">
        <v>252</v>
      </c>
      <c r="E130" s="46" t="s">
        <v>73</v>
      </c>
      <c r="F130" s="58" t="s">
        <v>90</v>
      </c>
      <c r="G130" s="48" t="s">
        <v>24</v>
      </c>
      <c r="H130" s="59" t="s">
        <v>75</v>
      </c>
      <c r="I130" s="60">
        <v>7000001010</v>
      </c>
      <c r="J130" s="61">
        <v>215.1</v>
      </c>
      <c r="K130" s="60">
        <v>10</v>
      </c>
      <c r="L130" s="61">
        <v>250.45039998780001</v>
      </c>
      <c r="M130" s="62">
        <v>0.18</v>
      </c>
      <c r="N130" s="61">
        <v>45.081071997803903</v>
      </c>
      <c r="O130" s="61">
        <v>295.53147198560299</v>
      </c>
      <c r="P130" s="63">
        <v>0</v>
      </c>
      <c r="Q130" s="61">
        <v>295.53147198560299</v>
      </c>
      <c r="R130" s="64">
        <v>295.53147198560299</v>
      </c>
      <c r="S130" s="61">
        <v>295.53147198560299</v>
      </c>
      <c r="T130" s="60" t="s">
        <v>91</v>
      </c>
      <c r="U130" s="55">
        <v>3999</v>
      </c>
      <c r="V130" s="56">
        <v>49119990</v>
      </c>
    </row>
    <row r="131" spans="1:22" ht="15" customHeight="1">
      <c r="A131" s="44" t="s">
        <v>256</v>
      </c>
      <c r="B131" s="66" t="s">
        <v>43</v>
      </c>
      <c r="C131" s="66" t="s">
        <v>92</v>
      </c>
      <c r="D131" s="66" t="s">
        <v>93</v>
      </c>
      <c r="E131" s="67" t="s">
        <v>73</v>
      </c>
      <c r="F131" s="68" t="s">
        <v>94</v>
      </c>
      <c r="G131" s="69" t="s">
        <v>24</v>
      </c>
      <c r="H131" s="70" t="s">
        <v>75</v>
      </c>
      <c r="I131" s="71">
        <v>8400007</v>
      </c>
      <c r="J131" s="72">
        <v>96</v>
      </c>
      <c r="K131" s="73"/>
      <c r="L131" s="72">
        <f t="shared" ref="L131:L162" si="48">J131+K131</f>
        <v>96</v>
      </c>
      <c r="M131" s="74">
        <v>0.18</v>
      </c>
      <c r="N131" s="72">
        <f t="shared" ref="N131:N162" si="49">M131*L131</f>
        <v>17.28</v>
      </c>
      <c r="O131" s="72">
        <f t="shared" ref="O131:O162" si="50">L131+N131</f>
        <v>113.28</v>
      </c>
      <c r="P131" s="75">
        <v>0</v>
      </c>
      <c r="Q131" s="72">
        <f>O131</f>
        <v>113.28</v>
      </c>
      <c r="R131" s="76">
        <f>Q131</f>
        <v>113.28</v>
      </c>
      <c r="S131" s="72">
        <f>Q131</f>
        <v>113.28</v>
      </c>
      <c r="T131" s="71" t="s">
        <v>91</v>
      </c>
      <c r="U131" s="77">
        <v>3999</v>
      </c>
      <c r="V131" s="78">
        <v>999299</v>
      </c>
    </row>
    <row r="132" spans="1:22" ht="15" customHeight="1">
      <c r="A132" s="44" t="s">
        <v>256</v>
      </c>
      <c r="B132" s="45" t="s">
        <v>44</v>
      </c>
      <c r="C132" s="45" t="s">
        <v>213</v>
      </c>
      <c r="D132" s="45" t="s">
        <v>214</v>
      </c>
      <c r="E132" s="46" t="s">
        <v>73</v>
      </c>
      <c r="F132" s="47" t="s">
        <v>74</v>
      </c>
      <c r="G132" s="48" t="s">
        <v>24</v>
      </c>
      <c r="H132" s="49" t="s">
        <v>75</v>
      </c>
      <c r="I132" s="48">
        <v>4000011876</v>
      </c>
      <c r="J132" s="52">
        <v>40.57</v>
      </c>
      <c r="K132" s="50"/>
      <c r="L132" s="52">
        <f t="shared" si="48"/>
        <v>40.57</v>
      </c>
      <c r="M132" s="51">
        <v>0</v>
      </c>
      <c r="N132" s="52">
        <f t="shared" si="49"/>
        <v>0</v>
      </c>
      <c r="O132" s="52">
        <f t="shared" si="50"/>
        <v>40.57</v>
      </c>
      <c r="P132" s="53">
        <f t="shared" ref="P132:P141" si="51">IFERROR(O132/Q132,"")</f>
        <v>0.12725447758853237</v>
      </c>
      <c r="Q132" s="52">
        <f t="shared" ref="Q132:Q141" si="52">SUMIFS(O:O,T:T,T132,B:B,B132,A:A,A132,G:G,G132,E:E,E132)</f>
        <v>318.81</v>
      </c>
      <c r="R132" s="54">
        <f t="shared" ref="R132:R141" si="53">U132-SUMIFS(Q:Q,A:A,A132,B:B,B132,G:G,G132,E:E,E132,T:T,"Fixed Price ( Base Price with GST)")</f>
        <v>3650.5459999999998</v>
      </c>
      <c r="S132" s="52">
        <f t="shared" ref="S132:S141" si="54">P132*R132</f>
        <v>464.54832414290644</v>
      </c>
      <c r="T132" s="48" t="s">
        <v>76</v>
      </c>
      <c r="U132" s="42">
        <v>3999</v>
      </c>
      <c r="V132" s="80">
        <v>490110</v>
      </c>
    </row>
    <row r="133" spans="1:22" ht="15" customHeight="1">
      <c r="A133" s="44" t="s">
        <v>256</v>
      </c>
      <c r="B133" s="45" t="s">
        <v>44</v>
      </c>
      <c r="C133" s="45" t="s">
        <v>200</v>
      </c>
      <c r="D133" s="45" t="s">
        <v>215</v>
      </c>
      <c r="E133" s="46" t="s">
        <v>73</v>
      </c>
      <c r="F133" s="47" t="s">
        <v>74</v>
      </c>
      <c r="G133" s="48" t="s">
        <v>24</v>
      </c>
      <c r="H133" s="49" t="s">
        <v>75</v>
      </c>
      <c r="I133" s="48">
        <v>4000011820</v>
      </c>
      <c r="J133" s="52">
        <v>12.36</v>
      </c>
      <c r="K133" s="50"/>
      <c r="L133" s="52">
        <f t="shared" si="48"/>
        <v>12.36</v>
      </c>
      <c r="M133" s="51">
        <v>0</v>
      </c>
      <c r="N133" s="52">
        <f t="shared" si="49"/>
        <v>0</v>
      </c>
      <c r="O133" s="52">
        <f t="shared" si="50"/>
        <v>12.36</v>
      </c>
      <c r="P133" s="53">
        <f t="shared" si="51"/>
        <v>3.8769172861578993E-2</v>
      </c>
      <c r="Q133" s="52">
        <f t="shared" si="52"/>
        <v>318.81</v>
      </c>
      <c r="R133" s="54">
        <f t="shared" si="53"/>
        <v>3650.5459999999998</v>
      </c>
      <c r="S133" s="52">
        <f t="shared" si="54"/>
        <v>141.52864891314573</v>
      </c>
      <c r="T133" s="48" t="s">
        <v>76</v>
      </c>
      <c r="U133" s="55">
        <v>3999</v>
      </c>
      <c r="V133" s="80">
        <v>490110</v>
      </c>
    </row>
    <row r="134" spans="1:22" ht="15" customHeight="1">
      <c r="A134" s="44" t="s">
        <v>256</v>
      </c>
      <c r="B134" s="45" t="s">
        <v>44</v>
      </c>
      <c r="C134" s="45" t="s">
        <v>205</v>
      </c>
      <c r="D134" s="45" t="s">
        <v>216</v>
      </c>
      <c r="E134" s="46" t="s">
        <v>73</v>
      </c>
      <c r="F134" s="47" t="s">
        <v>81</v>
      </c>
      <c r="G134" s="48" t="s">
        <v>24</v>
      </c>
      <c r="H134" s="49" t="s">
        <v>75</v>
      </c>
      <c r="I134" s="48">
        <v>4000011821</v>
      </c>
      <c r="J134" s="52">
        <v>46.45</v>
      </c>
      <c r="K134" s="50"/>
      <c r="L134" s="52">
        <f t="shared" si="48"/>
        <v>46.45</v>
      </c>
      <c r="M134" s="51">
        <v>0</v>
      </c>
      <c r="N134" s="52">
        <f t="shared" si="49"/>
        <v>0</v>
      </c>
      <c r="O134" s="52">
        <f t="shared" si="50"/>
        <v>46.45</v>
      </c>
      <c r="P134" s="53">
        <f t="shared" si="51"/>
        <v>0.14569806467802141</v>
      </c>
      <c r="Q134" s="52">
        <f t="shared" si="52"/>
        <v>318.81</v>
      </c>
      <c r="R134" s="54">
        <f t="shared" si="53"/>
        <v>3650.5459999999998</v>
      </c>
      <c r="S134" s="52">
        <f t="shared" si="54"/>
        <v>531.87748721809226</v>
      </c>
      <c r="T134" s="48" t="s">
        <v>76</v>
      </c>
      <c r="U134" s="55">
        <v>3999</v>
      </c>
      <c r="V134" s="80">
        <v>490110</v>
      </c>
    </row>
    <row r="135" spans="1:22" ht="15" customHeight="1">
      <c r="A135" s="44" t="s">
        <v>256</v>
      </c>
      <c r="B135" s="45" t="s">
        <v>44</v>
      </c>
      <c r="C135" s="45" t="s">
        <v>205</v>
      </c>
      <c r="D135" s="45" t="s">
        <v>217</v>
      </c>
      <c r="E135" s="46" t="s">
        <v>73</v>
      </c>
      <c r="F135" s="47" t="s">
        <v>74</v>
      </c>
      <c r="G135" s="48" t="s">
        <v>24</v>
      </c>
      <c r="H135" s="49" t="s">
        <v>75</v>
      </c>
      <c r="I135" s="48">
        <v>4000011822</v>
      </c>
      <c r="J135" s="52">
        <v>18.12</v>
      </c>
      <c r="K135" s="50"/>
      <c r="L135" s="52">
        <f t="shared" si="48"/>
        <v>18.12</v>
      </c>
      <c r="M135" s="51">
        <v>0</v>
      </c>
      <c r="N135" s="52">
        <f t="shared" si="49"/>
        <v>0</v>
      </c>
      <c r="O135" s="52">
        <f t="shared" si="50"/>
        <v>18.12</v>
      </c>
      <c r="P135" s="53">
        <f t="shared" si="51"/>
        <v>5.6836360214547854E-2</v>
      </c>
      <c r="Q135" s="52">
        <f t="shared" si="52"/>
        <v>318.81</v>
      </c>
      <c r="R135" s="54">
        <f t="shared" si="53"/>
        <v>3650.5459999999998</v>
      </c>
      <c r="S135" s="52">
        <f t="shared" si="54"/>
        <v>207.48374743577679</v>
      </c>
      <c r="T135" s="48" t="s">
        <v>76</v>
      </c>
      <c r="U135" s="55">
        <v>3999</v>
      </c>
      <c r="V135" s="80">
        <v>490110</v>
      </c>
    </row>
    <row r="136" spans="1:22" ht="15" customHeight="1">
      <c r="A136" s="44" t="s">
        <v>256</v>
      </c>
      <c r="B136" s="45" t="s">
        <v>44</v>
      </c>
      <c r="C136" s="45" t="s">
        <v>202</v>
      </c>
      <c r="D136" s="45" t="s">
        <v>218</v>
      </c>
      <c r="E136" s="46" t="s">
        <v>73</v>
      </c>
      <c r="F136" s="47" t="s">
        <v>74</v>
      </c>
      <c r="G136" s="48" t="s">
        <v>24</v>
      </c>
      <c r="H136" s="49" t="s">
        <v>75</v>
      </c>
      <c r="I136" s="48">
        <v>4000011823</v>
      </c>
      <c r="J136" s="52">
        <v>46.45</v>
      </c>
      <c r="K136" s="50"/>
      <c r="L136" s="52">
        <f t="shared" si="48"/>
        <v>46.45</v>
      </c>
      <c r="M136" s="51">
        <v>0</v>
      </c>
      <c r="N136" s="52">
        <f t="shared" si="49"/>
        <v>0</v>
      </c>
      <c r="O136" s="52">
        <f t="shared" si="50"/>
        <v>46.45</v>
      </c>
      <c r="P136" s="53">
        <f t="shared" si="51"/>
        <v>0.14569806467802141</v>
      </c>
      <c r="Q136" s="52">
        <f t="shared" si="52"/>
        <v>318.81</v>
      </c>
      <c r="R136" s="54">
        <f t="shared" si="53"/>
        <v>3650.5459999999998</v>
      </c>
      <c r="S136" s="52">
        <f t="shared" si="54"/>
        <v>531.87748721809226</v>
      </c>
      <c r="T136" s="48" t="s">
        <v>76</v>
      </c>
      <c r="U136" s="55">
        <v>3999</v>
      </c>
      <c r="V136" s="80">
        <v>490110</v>
      </c>
    </row>
    <row r="137" spans="1:22" ht="15" customHeight="1">
      <c r="A137" s="44" t="s">
        <v>256</v>
      </c>
      <c r="B137" s="45" t="s">
        <v>44</v>
      </c>
      <c r="C137" s="45" t="s">
        <v>202</v>
      </c>
      <c r="D137" s="45" t="s">
        <v>219</v>
      </c>
      <c r="E137" s="46" t="s">
        <v>73</v>
      </c>
      <c r="F137" s="47" t="s">
        <v>81</v>
      </c>
      <c r="G137" s="48" t="s">
        <v>24</v>
      </c>
      <c r="H137" s="49" t="s">
        <v>75</v>
      </c>
      <c r="I137" s="48">
        <v>4000011824</v>
      </c>
      <c r="J137" s="52">
        <v>19.66</v>
      </c>
      <c r="K137" s="50"/>
      <c r="L137" s="52">
        <f t="shared" si="48"/>
        <v>19.66</v>
      </c>
      <c r="M137" s="51">
        <v>0</v>
      </c>
      <c r="N137" s="52">
        <f t="shared" si="49"/>
        <v>0</v>
      </c>
      <c r="O137" s="52">
        <f t="shared" si="50"/>
        <v>19.66</v>
      </c>
      <c r="P137" s="53">
        <f t="shared" si="51"/>
        <v>6.1666823499890215E-2</v>
      </c>
      <c r="Q137" s="52">
        <f t="shared" si="52"/>
        <v>318.81</v>
      </c>
      <c r="R137" s="54">
        <f t="shared" si="53"/>
        <v>3650.5459999999998</v>
      </c>
      <c r="S137" s="52">
        <f t="shared" si="54"/>
        <v>225.1175758602302</v>
      </c>
      <c r="T137" s="48" t="s">
        <v>76</v>
      </c>
      <c r="U137" s="55">
        <v>3999</v>
      </c>
      <c r="V137" s="80">
        <v>490110</v>
      </c>
    </row>
    <row r="138" spans="1:22" ht="15" customHeight="1">
      <c r="A138" s="44" t="s">
        <v>256</v>
      </c>
      <c r="B138" s="45" t="s">
        <v>44</v>
      </c>
      <c r="C138" s="45" t="s">
        <v>202</v>
      </c>
      <c r="D138" s="45" t="s">
        <v>220</v>
      </c>
      <c r="E138" s="46" t="s">
        <v>73</v>
      </c>
      <c r="F138" s="47" t="s">
        <v>74</v>
      </c>
      <c r="G138" s="48" t="s">
        <v>24</v>
      </c>
      <c r="H138" s="57" t="s">
        <v>84</v>
      </c>
      <c r="I138" s="48">
        <v>4000011825</v>
      </c>
      <c r="J138" s="52">
        <v>48.71</v>
      </c>
      <c r="K138" s="50"/>
      <c r="L138" s="52">
        <f t="shared" si="48"/>
        <v>48.71</v>
      </c>
      <c r="M138" s="51">
        <v>0</v>
      </c>
      <c r="N138" s="52">
        <f t="shared" si="49"/>
        <v>0</v>
      </c>
      <c r="O138" s="52">
        <f t="shared" si="50"/>
        <v>48.71</v>
      </c>
      <c r="P138" s="53">
        <f t="shared" si="51"/>
        <v>0.15278692638248487</v>
      </c>
      <c r="Q138" s="52">
        <f t="shared" si="52"/>
        <v>318.81</v>
      </c>
      <c r="R138" s="54">
        <f t="shared" si="53"/>
        <v>3650.5459999999998</v>
      </c>
      <c r="S138" s="52">
        <f t="shared" si="54"/>
        <v>557.75570295787452</v>
      </c>
      <c r="T138" s="48" t="s">
        <v>76</v>
      </c>
      <c r="U138" s="55">
        <v>3999</v>
      </c>
      <c r="V138" s="80">
        <v>490110</v>
      </c>
    </row>
    <row r="139" spans="1:22" ht="15" customHeight="1">
      <c r="A139" s="44" t="s">
        <v>256</v>
      </c>
      <c r="B139" s="45" t="s">
        <v>44</v>
      </c>
      <c r="C139" s="45" t="s">
        <v>202</v>
      </c>
      <c r="D139" s="45" t="s">
        <v>221</v>
      </c>
      <c r="E139" s="46" t="s">
        <v>73</v>
      </c>
      <c r="F139" s="47" t="s">
        <v>74</v>
      </c>
      <c r="G139" s="48" t="s">
        <v>24</v>
      </c>
      <c r="H139" s="57" t="s">
        <v>84</v>
      </c>
      <c r="I139" s="48">
        <v>4000011827</v>
      </c>
      <c r="J139" s="52">
        <v>19.66</v>
      </c>
      <c r="K139" s="50"/>
      <c r="L139" s="52">
        <f t="shared" si="48"/>
        <v>19.66</v>
      </c>
      <c r="M139" s="51">
        <v>0</v>
      </c>
      <c r="N139" s="52">
        <f t="shared" si="49"/>
        <v>0</v>
      </c>
      <c r="O139" s="52">
        <f t="shared" si="50"/>
        <v>19.66</v>
      </c>
      <c r="P139" s="53">
        <f t="shared" si="51"/>
        <v>6.1666823499890215E-2</v>
      </c>
      <c r="Q139" s="52">
        <f t="shared" si="52"/>
        <v>318.81</v>
      </c>
      <c r="R139" s="54">
        <f t="shared" si="53"/>
        <v>3650.5459999999998</v>
      </c>
      <c r="S139" s="52">
        <f t="shared" si="54"/>
        <v>225.1175758602302</v>
      </c>
      <c r="T139" s="48" t="s">
        <v>76</v>
      </c>
      <c r="U139" s="55">
        <v>3999</v>
      </c>
      <c r="V139" s="80">
        <v>490110</v>
      </c>
    </row>
    <row r="140" spans="1:22" ht="15" customHeight="1">
      <c r="A140" s="44" t="s">
        <v>256</v>
      </c>
      <c r="B140" s="45" t="s">
        <v>44</v>
      </c>
      <c r="C140" s="45" t="s">
        <v>205</v>
      </c>
      <c r="D140" s="45" t="s">
        <v>222</v>
      </c>
      <c r="E140" s="46" t="s">
        <v>73</v>
      </c>
      <c r="F140" s="47" t="s">
        <v>81</v>
      </c>
      <c r="G140" s="48" t="s">
        <v>24</v>
      </c>
      <c r="H140" s="57" t="s">
        <v>84</v>
      </c>
      <c r="I140" s="48">
        <v>4000011828</v>
      </c>
      <c r="J140" s="52">
        <v>48.71</v>
      </c>
      <c r="K140" s="50"/>
      <c r="L140" s="52">
        <f t="shared" si="48"/>
        <v>48.71</v>
      </c>
      <c r="M140" s="51">
        <v>0</v>
      </c>
      <c r="N140" s="52">
        <f t="shared" si="49"/>
        <v>0</v>
      </c>
      <c r="O140" s="52">
        <f t="shared" si="50"/>
        <v>48.71</v>
      </c>
      <c r="P140" s="53">
        <f t="shared" si="51"/>
        <v>0.15278692638248487</v>
      </c>
      <c r="Q140" s="52">
        <f t="shared" si="52"/>
        <v>318.81</v>
      </c>
      <c r="R140" s="54">
        <f t="shared" si="53"/>
        <v>3650.5459999999998</v>
      </c>
      <c r="S140" s="52">
        <f t="shared" si="54"/>
        <v>557.75570295787452</v>
      </c>
      <c r="T140" s="48" t="s">
        <v>76</v>
      </c>
      <c r="U140" s="55">
        <v>3999</v>
      </c>
      <c r="V140" s="80">
        <v>490110</v>
      </c>
    </row>
    <row r="141" spans="1:22" ht="15" customHeight="1">
      <c r="A141" s="44" t="s">
        <v>256</v>
      </c>
      <c r="B141" s="45" t="s">
        <v>44</v>
      </c>
      <c r="C141" s="45" t="s">
        <v>205</v>
      </c>
      <c r="D141" s="45" t="s">
        <v>223</v>
      </c>
      <c r="E141" s="46" t="s">
        <v>73</v>
      </c>
      <c r="F141" s="47" t="s">
        <v>81</v>
      </c>
      <c r="G141" s="48" t="s">
        <v>24</v>
      </c>
      <c r="H141" s="57" t="s">
        <v>84</v>
      </c>
      <c r="I141" s="48">
        <v>4000011829</v>
      </c>
      <c r="J141" s="52">
        <v>18.12</v>
      </c>
      <c r="K141" s="50"/>
      <c r="L141" s="52">
        <f t="shared" si="48"/>
        <v>18.12</v>
      </c>
      <c r="M141" s="51">
        <v>0</v>
      </c>
      <c r="N141" s="52">
        <f t="shared" si="49"/>
        <v>0</v>
      </c>
      <c r="O141" s="52">
        <f t="shared" si="50"/>
        <v>18.12</v>
      </c>
      <c r="P141" s="53">
        <f t="shared" si="51"/>
        <v>5.6836360214547854E-2</v>
      </c>
      <c r="Q141" s="52">
        <f t="shared" si="52"/>
        <v>318.81</v>
      </c>
      <c r="R141" s="54">
        <f t="shared" si="53"/>
        <v>3650.5459999999998</v>
      </c>
      <c r="S141" s="52">
        <f t="shared" si="54"/>
        <v>207.48374743577679</v>
      </c>
      <c r="T141" s="48" t="s">
        <v>76</v>
      </c>
      <c r="U141" s="55">
        <v>3999</v>
      </c>
      <c r="V141" s="80">
        <v>490110</v>
      </c>
    </row>
    <row r="142" spans="1:22" ht="15" customHeight="1">
      <c r="A142" s="44" t="s">
        <v>256</v>
      </c>
      <c r="B142" s="45" t="s">
        <v>44</v>
      </c>
      <c r="C142" s="45" t="s">
        <v>243</v>
      </c>
      <c r="D142" s="45" t="s">
        <v>253</v>
      </c>
      <c r="E142" s="46" t="s">
        <v>73</v>
      </c>
      <c r="F142" s="58" t="s">
        <v>90</v>
      </c>
      <c r="G142" s="48" t="s">
        <v>24</v>
      </c>
      <c r="H142" s="59" t="s">
        <v>75</v>
      </c>
      <c r="I142" s="60">
        <v>7000001009</v>
      </c>
      <c r="J142" s="61">
        <v>189.3</v>
      </c>
      <c r="K142" s="60">
        <v>10</v>
      </c>
      <c r="L142" s="61">
        <f t="shared" si="48"/>
        <v>199.3</v>
      </c>
      <c r="M142" s="62">
        <v>0.18</v>
      </c>
      <c r="N142" s="61">
        <f t="shared" si="49"/>
        <v>35.874000000000002</v>
      </c>
      <c r="O142" s="61">
        <f t="shared" si="50"/>
        <v>235.17400000000001</v>
      </c>
      <c r="P142" s="63">
        <v>0</v>
      </c>
      <c r="Q142" s="61">
        <f>O142</f>
        <v>235.17400000000001</v>
      </c>
      <c r="R142" s="64">
        <f>Q142</f>
        <v>235.17400000000001</v>
      </c>
      <c r="S142" s="61">
        <f>Q142</f>
        <v>235.17400000000001</v>
      </c>
      <c r="T142" s="60" t="s">
        <v>91</v>
      </c>
      <c r="U142" s="55">
        <v>3999</v>
      </c>
      <c r="V142" s="80">
        <v>49119990</v>
      </c>
    </row>
    <row r="143" spans="1:22" ht="15" customHeight="1">
      <c r="A143" s="44" t="s">
        <v>256</v>
      </c>
      <c r="B143" s="45" t="s">
        <v>44</v>
      </c>
      <c r="C143" s="45" t="s">
        <v>92</v>
      </c>
      <c r="D143" s="45" t="s">
        <v>93</v>
      </c>
      <c r="E143" s="46" t="s">
        <v>73</v>
      </c>
      <c r="F143" s="81" t="s">
        <v>94</v>
      </c>
      <c r="G143" s="48" t="s">
        <v>24</v>
      </c>
      <c r="H143" s="59" t="s">
        <v>75</v>
      </c>
      <c r="I143" s="60">
        <v>8400007</v>
      </c>
      <c r="J143" s="61">
        <v>96</v>
      </c>
      <c r="K143" s="82"/>
      <c r="L143" s="61">
        <f t="shared" si="48"/>
        <v>96</v>
      </c>
      <c r="M143" s="62">
        <v>0.18</v>
      </c>
      <c r="N143" s="61">
        <f t="shared" si="49"/>
        <v>17.28</v>
      </c>
      <c r="O143" s="61">
        <f t="shared" si="50"/>
        <v>113.28</v>
      </c>
      <c r="P143" s="63">
        <v>0</v>
      </c>
      <c r="Q143" s="61">
        <f>O143</f>
        <v>113.28</v>
      </c>
      <c r="R143" s="64">
        <f>Q143</f>
        <v>113.28</v>
      </c>
      <c r="S143" s="61">
        <f>Q143</f>
        <v>113.28</v>
      </c>
      <c r="T143" s="60" t="s">
        <v>91</v>
      </c>
      <c r="U143" s="77">
        <v>3999</v>
      </c>
      <c r="V143" s="80">
        <v>999299</v>
      </c>
    </row>
    <row r="144" spans="1:22" ht="15" customHeight="1">
      <c r="A144" s="44" t="s">
        <v>256</v>
      </c>
      <c r="B144" s="32" t="s">
        <v>45</v>
      </c>
      <c r="C144" s="32" t="s">
        <v>198</v>
      </c>
      <c r="D144" s="32" t="s">
        <v>225</v>
      </c>
      <c r="E144" s="33" t="s">
        <v>73</v>
      </c>
      <c r="F144" s="34" t="s">
        <v>74</v>
      </c>
      <c r="G144" s="35" t="s">
        <v>24</v>
      </c>
      <c r="H144" s="36" t="s">
        <v>75</v>
      </c>
      <c r="I144" s="35">
        <v>4000011830</v>
      </c>
      <c r="J144" s="39">
        <v>16.68</v>
      </c>
      <c r="K144" s="83"/>
      <c r="L144" s="84">
        <f t="shared" si="48"/>
        <v>16.68</v>
      </c>
      <c r="M144" s="85">
        <v>0</v>
      </c>
      <c r="N144" s="84">
        <f t="shared" si="49"/>
        <v>0</v>
      </c>
      <c r="O144" s="84">
        <f t="shared" si="50"/>
        <v>16.68</v>
      </c>
      <c r="P144" s="86">
        <f t="shared" ref="P144:P153" si="55">IFERROR(O144/Q144,"")</f>
        <v>6.6356367108246814E-2</v>
      </c>
      <c r="Q144" s="87">
        <f t="shared" ref="Q144:Q153" si="56">SUMIFS(O:O,T:T,T144,B:B,B144,A:A,A144,G:G,G144,E:E,E144)</f>
        <v>251.36999999999998</v>
      </c>
      <c r="R144" s="88">
        <f t="shared" ref="R144:R153" si="57">U144-SUMIFS(Q:Q,A:A,A144,B:B,B144,G:G,G144,E:E,E144,T:T,"Fixed Price ( Base Price with GST)")</f>
        <v>3659.75</v>
      </c>
      <c r="S144" s="87">
        <f t="shared" ref="S144:S153" si="58">P144*R144</f>
        <v>242.84771452440629</v>
      </c>
      <c r="T144" s="35" t="s">
        <v>76</v>
      </c>
      <c r="U144" s="42">
        <v>3999</v>
      </c>
      <c r="V144" s="43">
        <v>490110</v>
      </c>
    </row>
    <row r="145" spans="1:22" ht="15" customHeight="1">
      <c r="A145" s="44" t="s">
        <v>256</v>
      </c>
      <c r="B145" s="45" t="s">
        <v>45</v>
      </c>
      <c r="C145" s="45" t="s">
        <v>200</v>
      </c>
      <c r="D145" s="45" t="s">
        <v>226</v>
      </c>
      <c r="E145" s="46" t="s">
        <v>73</v>
      </c>
      <c r="F145" s="47" t="s">
        <v>74</v>
      </c>
      <c r="G145" s="48" t="s">
        <v>24</v>
      </c>
      <c r="H145" s="49" t="s">
        <v>75</v>
      </c>
      <c r="I145" s="48">
        <v>4000011831</v>
      </c>
      <c r="J145" s="52">
        <v>14.95</v>
      </c>
      <c r="K145" s="50"/>
      <c r="L145" s="52">
        <f t="shared" si="48"/>
        <v>14.95</v>
      </c>
      <c r="M145" s="51">
        <v>0</v>
      </c>
      <c r="N145" s="52">
        <f t="shared" si="49"/>
        <v>0</v>
      </c>
      <c r="O145" s="52">
        <f t="shared" si="50"/>
        <v>14.95</v>
      </c>
      <c r="P145" s="53">
        <f t="shared" si="55"/>
        <v>5.9474082030473011E-2</v>
      </c>
      <c r="Q145" s="52">
        <f t="shared" si="56"/>
        <v>251.36999999999998</v>
      </c>
      <c r="R145" s="54">
        <f t="shared" si="57"/>
        <v>3659.75</v>
      </c>
      <c r="S145" s="52">
        <f t="shared" si="58"/>
        <v>217.6602717110236</v>
      </c>
      <c r="T145" s="48" t="s">
        <v>76</v>
      </c>
      <c r="U145" s="55">
        <v>3999</v>
      </c>
      <c r="V145" s="56">
        <v>490110</v>
      </c>
    </row>
    <row r="146" spans="1:22" ht="15" customHeight="1">
      <c r="A146" s="44" t="s">
        <v>256</v>
      </c>
      <c r="B146" s="45" t="s">
        <v>45</v>
      </c>
      <c r="C146" s="45" t="s">
        <v>202</v>
      </c>
      <c r="D146" s="45" t="s">
        <v>227</v>
      </c>
      <c r="E146" s="46" t="s">
        <v>73</v>
      </c>
      <c r="F146" s="47" t="s">
        <v>81</v>
      </c>
      <c r="G146" s="48" t="s">
        <v>24</v>
      </c>
      <c r="H146" s="49" t="s">
        <v>75</v>
      </c>
      <c r="I146" s="48">
        <v>4000011832</v>
      </c>
      <c r="J146" s="52">
        <v>29.82</v>
      </c>
      <c r="K146" s="50"/>
      <c r="L146" s="52">
        <f t="shared" si="48"/>
        <v>29.82</v>
      </c>
      <c r="M146" s="51">
        <v>0</v>
      </c>
      <c r="N146" s="52">
        <f t="shared" si="49"/>
        <v>0</v>
      </c>
      <c r="O146" s="52">
        <f t="shared" si="50"/>
        <v>29.82</v>
      </c>
      <c r="P146" s="53">
        <f t="shared" si="55"/>
        <v>0.11862990810359232</v>
      </c>
      <c r="Q146" s="52">
        <f t="shared" si="56"/>
        <v>251.36999999999998</v>
      </c>
      <c r="R146" s="54">
        <f t="shared" si="57"/>
        <v>3659.75</v>
      </c>
      <c r="S146" s="52">
        <f t="shared" si="58"/>
        <v>434.15580618212198</v>
      </c>
      <c r="T146" s="48" t="s">
        <v>76</v>
      </c>
      <c r="U146" s="55">
        <v>3999</v>
      </c>
      <c r="V146" s="56">
        <v>490110</v>
      </c>
    </row>
    <row r="147" spans="1:22" ht="15" customHeight="1">
      <c r="A147" s="44" t="s">
        <v>256</v>
      </c>
      <c r="B147" s="45" t="s">
        <v>45</v>
      </c>
      <c r="C147" s="45" t="s">
        <v>202</v>
      </c>
      <c r="D147" s="45" t="s">
        <v>228</v>
      </c>
      <c r="E147" s="46" t="s">
        <v>73</v>
      </c>
      <c r="F147" s="47" t="s">
        <v>74</v>
      </c>
      <c r="G147" s="48" t="s">
        <v>24</v>
      </c>
      <c r="H147" s="49" t="s">
        <v>75</v>
      </c>
      <c r="I147" s="48">
        <v>4000011833</v>
      </c>
      <c r="J147" s="52">
        <v>12.45</v>
      </c>
      <c r="K147" s="50"/>
      <c r="L147" s="52">
        <f t="shared" si="48"/>
        <v>12.45</v>
      </c>
      <c r="M147" s="51">
        <v>0</v>
      </c>
      <c r="N147" s="52">
        <f t="shared" si="49"/>
        <v>0</v>
      </c>
      <c r="O147" s="52">
        <f t="shared" si="50"/>
        <v>12.45</v>
      </c>
      <c r="P147" s="53">
        <f t="shared" si="55"/>
        <v>4.9528583363169829E-2</v>
      </c>
      <c r="Q147" s="52">
        <f t="shared" si="56"/>
        <v>251.36999999999998</v>
      </c>
      <c r="R147" s="54">
        <f t="shared" si="57"/>
        <v>3659.75</v>
      </c>
      <c r="S147" s="52">
        <f t="shared" si="58"/>
        <v>181.26223296336079</v>
      </c>
      <c r="T147" s="48" t="s">
        <v>76</v>
      </c>
      <c r="U147" s="55">
        <v>3999</v>
      </c>
      <c r="V147" s="56">
        <v>490110</v>
      </c>
    </row>
    <row r="148" spans="1:22" ht="15" customHeight="1">
      <c r="A148" s="44" t="s">
        <v>256</v>
      </c>
      <c r="B148" s="45" t="s">
        <v>45</v>
      </c>
      <c r="C148" s="45" t="s">
        <v>205</v>
      </c>
      <c r="D148" s="45" t="s">
        <v>229</v>
      </c>
      <c r="E148" s="46" t="s">
        <v>73</v>
      </c>
      <c r="F148" s="47" t="s">
        <v>74</v>
      </c>
      <c r="G148" s="48" t="s">
        <v>24</v>
      </c>
      <c r="H148" s="49" t="s">
        <v>75</v>
      </c>
      <c r="I148" s="48">
        <v>4000011834</v>
      </c>
      <c r="J148" s="52">
        <v>39.03</v>
      </c>
      <c r="K148" s="50"/>
      <c r="L148" s="52">
        <f t="shared" si="48"/>
        <v>39.03</v>
      </c>
      <c r="M148" s="51">
        <v>0</v>
      </c>
      <c r="N148" s="52">
        <f t="shared" si="49"/>
        <v>0</v>
      </c>
      <c r="O148" s="52">
        <f t="shared" si="50"/>
        <v>39.03</v>
      </c>
      <c r="P148" s="53">
        <f t="shared" si="55"/>
        <v>0.15526912519393724</v>
      </c>
      <c r="Q148" s="52">
        <f t="shared" si="56"/>
        <v>251.36999999999998</v>
      </c>
      <c r="R148" s="54">
        <f t="shared" si="57"/>
        <v>3659.75</v>
      </c>
      <c r="S148" s="52">
        <f t="shared" si="58"/>
        <v>568.24618092851176</v>
      </c>
      <c r="T148" s="48" t="s">
        <v>76</v>
      </c>
      <c r="U148" s="55">
        <v>3999</v>
      </c>
      <c r="V148" s="56">
        <v>490110</v>
      </c>
    </row>
    <row r="149" spans="1:22" ht="15" customHeight="1">
      <c r="A149" s="44" t="s">
        <v>256</v>
      </c>
      <c r="B149" s="45" t="s">
        <v>45</v>
      </c>
      <c r="C149" s="45" t="s">
        <v>205</v>
      </c>
      <c r="D149" s="45" t="s">
        <v>230</v>
      </c>
      <c r="E149" s="46" t="s">
        <v>73</v>
      </c>
      <c r="F149" s="47" t="s">
        <v>81</v>
      </c>
      <c r="G149" s="48" t="s">
        <v>24</v>
      </c>
      <c r="H149" s="49" t="s">
        <v>75</v>
      </c>
      <c r="I149" s="48">
        <v>4000011835</v>
      </c>
      <c r="J149" s="52">
        <v>14.04</v>
      </c>
      <c r="K149" s="50"/>
      <c r="L149" s="52">
        <f t="shared" si="48"/>
        <v>14.04</v>
      </c>
      <c r="M149" s="51">
        <v>0</v>
      </c>
      <c r="N149" s="52">
        <f t="shared" si="49"/>
        <v>0</v>
      </c>
      <c r="O149" s="52">
        <f t="shared" si="50"/>
        <v>14.04</v>
      </c>
      <c r="P149" s="53">
        <f t="shared" si="55"/>
        <v>5.5853920515574654E-2</v>
      </c>
      <c r="Q149" s="52">
        <f t="shared" si="56"/>
        <v>251.36999999999998</v>
      </c>
      <c r="R149" s="54">
        <f t="shared" si="57"/>
        <v>3659.75</v>
      </c>
      <c r="S149" s="52">
        <f t="shared" si="58"/>
        <v>204.41138560687435</v>
      </c>
      <c r="T149" s="48" t="s">
        <v>76</v>
      </c>
      <c r="U149" s="55">
        <v>3999</v>
      </c>
      <c r="V149" s="56">
        <v>490110</v>
      </c>
    </row>
    <row r="150" spans="1:22" ht="15" customHeight="1">
      <c r="A150" s="44" t="s">
        <v>256</v>
      </c>
      <c r="B150" s="45" t="s">
        <v>45</v>
      </c>
      <c r="C150" s="45" t="s">
        <v>202</v>
      </c>
      <c r="D150" s="45" t="s">
        <v>231</v>
      </c>
      <c r="E150" s="46" t="s">
        <v>73</v>
      </c>
      <c r="F150" s="47" t="s">
        <v>74</v>
      </c>
      <c r="G150" s="48" t="s">
        <v>24</v>
      </c>
      <c r="H150" s="57" t="s">
        <v>84</v>
      </c>
      <c r="I150" s="48">
        <v>4000011836</v>
      </c>
      <c r="J150" s="52">
        <v>36.79</v>
      </c>
      <c r="K150" s="50"/>
      <c r="L150" s="52">
        <f t="shared" si="48"/>
        <v>36.79</v>
      </c>
      <c r="M150" s="51">
        <v>0</v>
      </c>
      <c r="N150" s="52">
        <f t="shared" si="49"/>
        <v>0</v>
      </c>
      <c r="O150" s="52">
        <f t="shared" si="50"/>
        <v>36.79</v>
      </c>
      <c r="P150" s="53">
        <f t="shared" si="55"/>
        <v>0.14635795838803359</v>
      </c>
      <c r="Q150" s="52">
        <f t="shared" si="56"/>
        <v>251.36999999999998</v>
      </c>
      <c r="R150" s="54">
        <f t="shared" si="57"/>
        <v>3659.75</v>
      </c>
      <c r="S150" s="52">
        <f t="shared" si="58"/>
        <v>535.63353821060593</v>
      </c>
      <c r="T150" s="48" t="s">
        <v>76</v>
      </c>
      <c r="U150" s="55">
        <v>3999</v>
      </c>
      <c r="V150" s="56">
        <v>490110</v>
      </c>
    </row>
    <row r="151" spans="1:22" ht="15" customHeight="1">
      <c r="A151" s="44" t="s">
        <v>256</v>
      </c>
      <c r="B151" s="45" t="s">
        <v>45</v>
      </c>
      <c r="C151" s="45" t="s">
        <v>202</v>
      </c>
      <c r="D151" s="45" t="s">
        <v>232</v>
      </c>
      <c r="E151" s="46" t="s">
        <v>73</v>
      </c>
      <c r="F151" s="47" t="s">
        <v>74</v>
      </c>
      <c r="G151" s="48" t="s">
        <v>24</v>
      </c>
      <c r="H151" s="57" t="s">
        <v>84</v>
      </c>
      <c r="I151" s="48">
        <v>4000011838</v>
      </c>
      <c r="J151" s="52">
        <v>14.04</v>
      </c>
      <c r="K151" s="50"/>
      <c r="L151" s="52">
        <f t="shared" si="48"/>
        <v>14.04</v>
      </c>
      <c r="M151" s="51">
        <v>0</v>
      </c>
      <c r="N151" s="52">
        <f t="shared" si="49"/>
        <v>0</v>
      </c>
      <c r="O151" s="52">
        <f t="shared" si="50"/>
        <v>14.04</v>
      </c>
      <c r="P151" s="53">
        <f t="shared" si="55"/>
        <v>5.5853920515574654E-2</v>
      </c>
      <c r="Q151" s="52">
        <f t="shared" si="56"/>
        <v>251.36999999999998</v>
      </c>
      <c r="R151" s="54">
        <f t="shared" si="57"/>
        <v>3659.75</v>
      </c>
      <c r="S151" s="52">
        <f t="shared" si="58"/>
        <v>204.41138560687435</v>
      </c>
      <c r="T151" s="48" t="s">
        <v>76</v>
      </c>
      <c r="U151" s="55">
        <v>3999</v>
      </c>
      <c r="V151" s="56">
        <v>490110</v>
      </c>
    </row>
    <row r="152" spans="1:22" ht="15" customHeight="1">
      <c r="A152" s="44" t="s">
        <v>256</v>
      </c>
      <c r="B152" s="45" t="s">
        <v>45</v>
      </c>
      <c r="C152" s="45" t="s">
        <v>205</v>
      </c>
      <c r="D152" s="45" t="s">
        <v>233</v>
      </c>
      <c r="E152" s="46" t="s">
        <v>73</v>
      </c>
      <c r="F152" s="47" t="s">
        <v>81</v>
      </c>
      <c r="G152" s="48" t="s">
        <v>24</v>
      </c>
      <c r="H152" s="57" t="s">
        <v>84</v>
      </c>
      <c r="I152" s="48">
        <v>4000011839</v>
      </c>
      <c r="J152" s="52">
        <v>58.1</v>
      </c>
      <c r="K152" s="50"/>
      <c r="L152" s="52">
        <f t="shared" si="48"/>
        <v>58.1</v>
      </c>
      <c r="M152" s="51">
        <v>0</v>
      </c>
      <c r="N152" s="52">
        <f t="shared" si="49"/>
        <v>0</v>
      </c>
      <c r="O152" s="52">
        <f t="shared" si="50"/>
        <v>58.1</v>
      </c>
      <c r="P152" s="53">
        <f t="shared" si="55"/>
        <v>0.23113338902812589</v>
      </c>
      <c r="Q152" s="52">
        <f t="shared" si="56"/>
        <v>251.36999999999998</v>
      </c>
      <c r="R152" s="54">
        <f t="shared" si="57"/>
        <v>3659.75</v>
      </c>
      <c r="S152" s="52">
        <f t="shared" si="58"/>
        <v>845.89042049568366</v>
      </c>
      <c r="T152" s="48" t="s">
        <v>76</v>
      </c>
      <c r="U152" s="55">
        <v>3999</v>
      </c>
      <c r="V152" s="56">
        <v>490110</v>
      </c>
    </row>
    <row r="153" spans="1:22" ht="15" customHeight="1">
      <c r="A153" s="44" t="s">
        <v>256</v>
      </c>
      <c r="B153" s="45" t="s">
        <v>45</v>
      </c>
      <c r="C153" s="45" t="s">
        <v>205</v>
      </c>
      <c r="D153" s="45" t="s">
        <v>234</v>
      </c>
      <c r="E153" s="46" t="s">
        <v>73</v>
      </c>
      <c r="F153" s="47" t="s">
        <v>81</v>
      </c>
      <c r="G153" s="48" t="s">
        <v>24</v>
      </c>
      <c r="H153" s="57" t="s">
        <v>84</v>
      </c>
      <c r="I153" s="48">
        <v>4000011840</v>
      </c>
      <c r="J153" s="52">
        <v>15.47</v>
      </c>
      <c r="K153" s="50"/>
      <c r="L153" s="52">
        <f t="shared" si="48"/>
        <v>15.47</v>
      </c>
      <c r="M153" s="51">
        <v>0</v>
      </c>
      <c r="N153" s="52">
        <f t="shared" si="49"/>
        <v>0</v>
      </c>
      <c r="O153" s="52">
        <f t="shared" si="50"/>
        <v>15.47</v>
      </c>
      <c r="P153" s="53">
        <f t="shared" si="55"/>
        <v>6.154274575327208E-2</v>
      </c>
      <c r="Q153" s="52">
        <f t="shared" si="56"/>
        <v>251.36999999999998</v>
      </c>
      <c r="R153" s="54">
        <f t="shared" si="57"/>
        <v>3659.75</v>
      </c>
      <c r="S153" s="52">
        <f t="shared" si="58"/>
        <v>225.2310637705375</v>
      </c>
      <c r="T153" s="48" t="s">
        <v>76</v>
      </c>
      <c r="U153" s="55">
        <v>3999</v>
      </c>
      <c r="V153" s="56">
        <v>490110</v>
      </c>
    </row>
    <row r="154" spans="1:22" ht="15" customHeight="1">
      <c r="A154" s="44" t="s">
        <v>256</v>
      </c>
      <c r="B154" s="45" t="s">
        <v>45</v>
      </c>
      <c r="C154" s="45" t="s">
        <v>243</v>
      </c>
      <c r="D154" s="45" t="s">
        <v>254</v>
      </c>
      <c r="E154" s="46" t="s">
        <v>73</v>
      </c>
      <c r="F154" s="58" t="s">
        <v>90</v>
      </c>
      <c r="G154" s="48" t="s">
        <v>24</v>
      </c>
      <c r="H154" s="59" t="s">
        <v>75</v>
      </c>
      <c r="I154" s="60">
        <v>7000001011</v>
      </c>
      <c r="J154" s="61">
        <v>181.5</v>
      </c>
      <c r="K154" s="60">
        <v>10</v>
      </c>
      <c r="L154" s="61">
        <f t="shared" si="48"/>
        <v>191.5</v>
      </c>
      <c r="M154" s="62">
        <v>0.18</v>
      </c>
      <c r="N154" s="61">
        <f t="shared" si="49"/>
        <v>34.47</v>
      </c>
      <c r="O154" s="61">
        <f t="shared" si="50"/>
        <v>225.97</v>
      </c>
      <c r="P154" s="63">
        <v>0</v>
      </c>
      <c r="Q154" s="61">
        <f>O154</f>
        <v>225.97</v>
      </c>
      <c r="R154" s="64">
        <f>Q154</f>
        <v>225.97</v>
      </c>
      <c r="S154" s="61">
        <f>Q154</f>
        <v>225.97</v>
      </c>
      <c r="T154" s="60" t="s">
        <v>91</v>
      </c>
      <c r="U154" s="55">
        <v>3999</v>
      </c>
      <c r="V154" s="56">
        <v>49119990</v>
      </c>
    </row>
    <row r="155" spans="1:22" ht="15" customHeight="1">
      <c r="A155" s="44" t="s">
        <v>256</v>
      </c>
      <c r="B155" s="66" t="s">
        <v>45</v>
      </c>
      <c r="C155" s="66" t="s">
        <v>92</v>
      </c>
      <c r="D155" s="66" t="s">
        <v>93</v>
      </c>
      <c r="E155" s="67" t="s">
        <v>73</v>
      </c>
      <c r="F155" s="68" t="s">
        <v>94</v>
      </c>
      <c r="G155" s="69" t="s">
        <v>24</v>
      </c>
      <c r="H155" s="70" t="s">
        <v>75</v>
      </c>
      <c r="I155" s="71">
        <v>8400007</v>
      </c>
      <c r="J155" s="72">
        <v>96</v>
      </c>
      <c r="K155" s="73"/>
      <c r="L155" s="72">
        <f t="shared" si="48"/>
        <v>96</v>
      </c>
      <c r="M155" s="74">
        <v>0.18</v>
      </c>
      <c r="N155" s="72">
        <f t="shared" si="49"/>
        <v>17.28</v>
      </c>
      <c r="O155" s="72">
        <f t="shared" si="50"/>
        <v>113.28</v>
      </c>
      <c r="P155" s="75">
        <v>0</v>
      </c>
      <c r="Q155" s="72">
        <f>O155</f>
        <v>113.28</v>
      </c>
      <c r="R155" s="76">
        <f>Q155</f>
        <v>113.28</v>
      </c>
      <c r="S155" s="72">
        <f>Q155</f>
        <v>113.28</v>
      </c>
      <c r="T155" s="71" t="s">
        <v>91</v>
      </c>
      <c r="U155" s="77">
        <v>3999</v>
      </c>
      <c r="V155" s="78">
        <v>999299</v>
      </c>
    </row>
    <row r="156" spans="1:22" ht="15" customHeight="1">
      <c r="A156" s="44" t="s">
        <v>256</v>
      </c>
      <c r="B156" s="32" t="s">
        <v>46</v>
      </c>
      <c r="C156" s="32" t="s">
        <v>200</v>
      </c>
      <c r="D156" s="32" t="s">
        <v>236</v>
      </c>
      <c r="E156" s="33" t="s">
        <v>73</v>
      </c>
      <c r="F156" s="34" t="s">
        <v>74</v>
      </c>
      <c r="G156" s="35" t="s">
        <v>24</v>
      </c>
      <c r="H156" s="36" t="s">
        <v>75</v>
      </c>
      <c r="I156" s="35">
        <v>4000011841</v>
      </c>
      <c r="J156" s="39">
        <v>31.85</v>
      </c>
      <c r="K156" s="37"/>
      <c r="L156" s="39">
        <f t="shared" si="48"/>
        <v>31.85</v>
      </c>
      <c r="M156" s="38">
        <v>0</v>
      </c>
      <c r="N156" s="39">
        <f t="shared" si="49"/>
        <v>0</v>
      </c>
      <c r="O156" s="39">
        <f t="shared" si="50"/>
        <v>31.85</v>
      </c>
      <c r="P156" s="40">
        <f>IFERROR(O156/Q156,"")</f>
        <v>9.7159940209267562E-2</v>
      </c>
      <c r="Q156" s="39">
        <f>SUMIFS(O:O,T:T,T156,B:B,B156,A:A,A156,G:G,G156,E:E,E156)</f>
        <v>327.81</v>
      </c>
      <c r="R156" s="41">
        <f>U156-SUMIFS(Q:Q,A:A,A156,B:B,B156,G:G,G156,E:E,E156,T:T,"Fixed Price ( Base Price with GST)")</f>
        <v>3580.2179999999998</v>
      </c>
      <c r="S156" s="39">
        <f>P156*R156</f>
        <v>347.85376681614349</v>
      </c>
      <c r="T156" s="35" t="s">
        <v>76</v>
      </c>
      <c r="U156" s="42">
        <v>3999</v>
      </c>
      <c r="V156" s="43">
        <v>490110</v>
      </c>
    </row>
    <row r="157" spans="1:22" ht="15" customHeight="1">
      <c r="A157" s="44" t="s">
        <v>256</v>
      </c>
      <c r="B157" s="45" t="s">
        <v>46</v>
      </c>
      <c r="C157" s="45" t="s">
        <v>202</v>
      </c>
      <c r="D157" s="45" t="s">
        <v>237</v>
      </c>
      <c r="E157" s="46" t="s">
        <v>73</v>
      </c>
      <c r="F157" s="47" t="s">
        <v>74</v>
      </c>
      <c r="G157" s="48" t="s">
        <v>24</v>
      </c>
      <c r="H157" s="49" t="s">
        <v>75</v>
      </c>
      <c r="I157" s="48">
        <v>4000011842</v>
      </c>
      <c r="J157" s="52">
        <v>59.62</v>
      </c>
      <c r="K157" s="50"/>
      <c r="L157" s="52">
        <f t="shared" si="48"/>
        <v>59.62</v>
      </c>
      <c r="M157" s="51">
        <v>0</v>
      </c>
      <c r="N157" s="52">
        <f t="shared" si="49"/>
        <v>0</v>
      </c>
      <c r="O157" s="52">
        <f t="shared" si="50"/>
        <v>59.62</v>
      </c>
      <c r="P157" s="53">
        <f>IFERROR(O157/Q157,"")</f>
        <v>0.18187364631951433</v>
      </c>
      <c r="Q157" s="52">
        <f>SUMIFS(O:O,T:T,T157,B:B,B157,A:A,A157,G:G,G157,E:E,E157)</f>
        <v>327.81</v>
      </c>
      <c r="R157" s="54">
        <f>U157-SUMIFS(Q:Q,A:A,A157,B:B,B157,G:G,G157,E:E,E157,T:T,"Fixed Price ( Base Price with GST)")</f>
        <v>3580.2179999999998</v>
      </c>
      <c r="S157" s="52">
        <f>P157*R157</f>
        <v>651.14730227875896</v>
      </c>
      <c r="T157" s="48" t="s">
        <v>76</v>
      </c>
      <c r="U157" s="55">
        <v>3999</v>
      </c>
      <c r="V157" s="56">
        <v>490110</v>
      </c>
    </row>
    <row r="158" spans="1:22" ht="15" customHeight="1">
      <c r="A158" s="44" t="s">
        <v>256</v>
      </c>
      <c r="B158" s="45" t="s">
        <v>46</v>
      </c>
      <c r="C158" s="45" t="s">
        <v>205</v>
      </c>
      <c r="D158" s="45" t="s">
        <v>238</v>
      </c>
      <c r="E158" s="46" t="s">
        <v>73</v>
      </c>
      <c r="F158" s="47" t="s">
        <v>74</v>
      </c>
      <c r="G158" s="48" t="s">
        <v>24</v>
      </c>
      <c r="H158" s="49" t="s">
        <v>75</v>
      </c>
      <c r="I158" s="48">
        <v>4000011843</v>
      </c>
      <c r="J158" s="52">
        <v>83.8</v>
      </c>
      <c r="K158" s="50"/>
      <c r="L158" s="52">
        <f t="shared" si="48"/>
        <v>83.8</v>
      </c>
      <c r="M158" s="51">
        <v>0</v>
      </c>
      <c r="N158" s="52">
        <f t="shared" si="49"/>
        <v>0</v>
      </c>
      <c r="O158" s="52">
        <f t="shared" si="50"/>
        <v>83.8</v>
      </c>
      <c r="P158" s="53">
        <f>IFERROR(O158/Q158,"")</f>
        <v>0.25563588664165215</v>
      </c>
      <c r="Q158" s="52">
        <f>SUMIFS(O:O,T:T,T158,B:B,B158,A:A,A158,G:G,G158,E:E,E158)</f>
        <v>327.81</v>
      </c>
      <c r="R158" s="54">
        <f>U158-SUMIFS(Q:Q,A:A,A158,B:B,B158,G:G,G158,E:E,E158,T:T,"Fixed Price ( Base Price with GST)")</f>
        <v>3580.2179999999998</v>
      </c>
      <c r="S158" s="52">
        <f>P158*R158</f>
        <v>915.23220280040255</v>
      </c>
      <c r="T158" s="48" t="s">
        <v>76</v>
      </c>
      <c r="U158" s="55">
        <v>3999</v>
      </c>
      <c r="V158" s="56">
        <v>490110</v>
      </c>
    </row>
    <row r="159" spans="1:22" ht="15" customHeight="1">
      <c r="A159" s="44" t="s">
        <v>256</v>
      </c>
      <c r="B159" s="45" t="s">
        <v>46</v>
      </c>
      <c r="C159" s="45" t="s">
        <v>202</v>
      </c>
      <c r="D159" s="45" t="s">
        <v>239</v>
      </c>
      <c r="E159" s="46" t="s">
        <v>73</v>
      </c>
      <c r="F159" s="47" t="s">
        <v>74</v>
      </c>
      <c r="G159" s="48" t="s">
        <v>24</v>
      </c>
      <c r="H159" s="57" t="s">
        <v>84</v>
      </c>
      <c r="I159" s="48">
        <v>4000011844</v>
      </c>
      <c r="J159" s="52">
        <v>59.62</v>
      </c>
      <c r="K159" s="50"/>
      <c r="L159" s="52">
        <f t="shared" si="48"/>
        <v>59.62</v>
      </c>
      <c r="M159" s="51">
        <v>0</v>
      </c>
      <c r="N159" s="52">
        <f t="shared" si="49"/>
        <v>0</v>
      </c>
      <c r="O159" s="52">
        <f t="shared" si="50"/>
        <v>59.62</v>
      </c>
      <c r="P159" s="53">
        <f>IFERROR(O159/Q159,"")</f>
        <v>0.18187364631951433</v>
      </c>
      <c r="Q159" s="52">
        <f>SUMIFS(O:O,T:T,T159,B:B,B159,A:A,A159,G:G,G159,E:E,E159)</f>
        <v>327.81</v>
      </c>
      <c r="R159" s="54">
        <f>U159-SUMIFS(Q:Q,A:A,A159,B:B,B159,G:G,G159,E:E,E159,T:T,"Fixed Price ( Base Price with GST)")</f>
        <v>3580.2179999999998</v>
      </c>
      <c r="S159" s="52">
        <f>P159*R159</f>
        <v>651.14730227875896</v>
      </c>
      <c r="T159" s="48" t="s">
        <v>76</v>
      </c>
      <c r="U159" s="55">
        <v>3999</v>
      </c>
      <c r="V159" s="56">
        <v>490110</v>
      </c>
    </row>
    <row r="160" spans="1:22" ht="15" customHeight="1">
      <c r="A160" s="44" t="s">
        <v>256</v>
      </c>
      <c r="B160" s="45" t="s">
        <v>46</v>
      </c>
      <c r="C160" s="45" t="s">
        <v>205</v>
      </c>
      <c r="D160" s="45" t="s">
        <v>240</v>
      </c>
      <c r="E160" s="46" t="s">
        <v>73</v>
      </c>
      <c r="F160" s="47" t="s">
        <v>74</v>
      </c>
      <c r="G160" s="48" t="s">
        <v>24</v>
      </c>
      <c r="H160" s="57" t="s">
        <v>84</v>
      </c>
      <c r="I160" s="48">
        <v>4000011845</v>
      </c>
      <c r="J160" s="52">
        <v>92.92</v>
      </c>
      <c r="K160" s="50"/>
      <c r="L160" s="52">
        <f t="shared" si="48"/>
        <v>92.92</v>
      </c>
      <c r="M160" s="51">
        <v>0</v>
      </c>
      <c r="N160" s="52">
        <f t="shared" si="49"/>
        <v>0</v>
      </c>
      <c r="O160" s="52">
        <f t="shared" si="50"/>
        <v>92.92</v>
      </c>
      <c r="P160" s="53">
        <f>IFERROR(O160/Q160,"")</f>
        <v>0.28345688051005158</v>
      </c>
      <c r="Q160" s="52">
        <f>SUMIFS(O:O,T:T,T160,B:B,B160,A:A,A160,G:G,G160,E:E,E160)</f>
        <v>327.81</v>
      </c>
      <c r="R160" s="54">
        <f>U160-SUMIFS(Q:Q,A:A,A160,B:B,B160,G:G,G160,E:E,E160,T:T,"Fixed Price ( Base Price with GST)")</f>
        <v>3580.2179999999998</v>
      </c>
      <c r="S160" s="52">
        <f>P160*R160</f>
        <v>1014.8374258259358</v>
      </c>
      <c r="T160" s="48" t="s">
        <v>76</v>
      </c>
      <c r="U160" s="55">
        <v>3999</v>
      </c>
      <c r="V160" s="56">
        <v>490110</v>
      </c>
    </row>
    <row r="161" spans="1:22" ht="15" customHeight="1">
      <c r="A161" s="44" t="s">
        <v>256</v>
      </c>
      <c r="B161" s="45" t="s">
        <v>46</v>
      </c>
      <c r="C161" s="45" t="s">
        <v>243</v>
      </c>
      <c r="D161" s="45" t="s">
        <v>255</v>
      </c>
      <c r="E161" s="46" t="s">
        <v>73</v>
      </c>
      <c r="F161" s="58" t="s">
        <v>90</v>
      </c>
      <c r="G161" s="48" t="s">
        <v>24</v>
      </c>
      <c r="H161" s="59" t="s">
        <v>75</v>
      </c>
      <c r="I161" s="60">
        <v>7000001012</v>
      </c>
      <c r="J161" s="61">
        <v>248.9</v>
      </c>
      <c r="K161" s="60">
        <v>10</v>
      </c>
      <c r="L161" s="61">
        <f t="shared" si="48"/>
        <v>258.89999999999998</v>
      </c>
      <c r="M161" s="62">
        <v>0.18</v>
      </c>
      <c r="N161" s="61">
        <f t="shared" si="49"/>
        <v>46.601999999999997</v>
      </c>
      <c r="O161" s="61">
        <f t="shared" si="50"/>
        <v>305.50199999999995</v>
      </c>
      <c r="P161" s="63">
        <v>0</v>
      </c>
      <c r="Q161" s="61">
        <f>O161</f>
        <v>305.50199999999995</v>
      </c>
      <c r="R161" s="64">
        <f>Q161</f>
        <v>305.50199999999995</v>
      </c>
      <c r="S161" s="61">
        <f>Q161</f>
        <v>305.50199999999995</v>
      </c>
      <c r="T161" s="60" t="s">
        <v>91</v>
      </c>
      <c r="U161" s="55">
        <v>3999</v>
      </c>
      <c r="V161" s="56">
        <v>49119990</v>
      </c>
    </row>
    <row r="162" spans="1:22" ht="15" customHeight="1">
      <c r="A162" s="44" t="s">
        <v>256</v>
      </c>
      <c r="B162" s="66" t="s">
        <v>46</v>
      </c>
      <c r="C162" s="66" t="s">
        <v>92</v>
      </c>
      <c r="D162" s="66" t="s">
        <v>93</v>
      </c>
      <c r="E162" s="67" t="s">
        <v>73</v>
      </c>
      <c r="F162" s="68" t="s">
        <v>94</v>
      </c>
      <c r="G162" s="69" t="s">
        <v>24</v>
      </c>
      <c r="H162" s="70" t="s">
        <v>75</v>
      </c>
      <c r="I162" s="71">
        <v>8400007</v>
      </c>
      <c r="J162" s="72">
        <v>96</v>
      </c>
      <c r="K162" s="73"/>
      <c r="L162" s="72">
        <f t="shared" si="48"/>
        <v>96</v>
      </c>
      <c r="M162" s="74">
        <v>0.18</v>
      </c>
      <c r="N162" s="72">
        <f t="shared" si="49"/>
        <v>17.28</v>
      </c>
      <c r="O162" s="72">
        <f t="shared" si="50"/>
        <v>113.28</v>
      </c>
      <c r="P162" s="75">
        <v>0</v>
      </c>
      <c r="Q162" s="72">
        <f>O162</f>
        <v>113.28</v>
      </c>
      <c r="R162" s="76">
        <f>Q162</f>
        <v>113.28</v>
      </c>
      <c r="S162" s="72">
        <f>Q162</f>
        <v>113.28</v>
      </c>
      <c r="T162" s="71" t="s">
        <v>91</v>
      </c>
      <c r="U162" s="77">
        <v>3999</v>
      </c>
      <c r="V162" s="78">
        <v>999299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04"/>
  <sheetViews>
    <sheetView workbookViewId="0"/>
  </sheetViews>
  <sheetFormatPr baseColWidth="10" defaultColWidth="8.6640625" defaultRowHeight="15"/>
  <cols>
    <col min="1" max="1" width="15" customWidth="1"/>
    <col min="2" max="2" width="7.83203125" customWidth="1"/>
    <col min="3" max="3" width="18.6640625" customWidth="1"/>
    <col min="4" max="4" width="34.33203125" customWidth="1"/>
    <col min="5" max="5" width="9.33203125" customWidth="1"/>
    <col min="7" max="7" width="8.33203125" customWidth="1"/>
    <col min="8" max="8" width="8.83203125" customWidth="1"/>
    <col min="10" max="10" width="9.6640625" customWidth="1"/>
    <col min="13" max="13" width="7.5" customWidth="1"/>
    <col min="14" max="14" width="8.5" customWidth="1"/>
    <col min="20" max="20" width="21.1640625" customWidth="1"/>
    <col min="22" max="22" width="8.83203125" customWidth="1"/>
  </cols>
  <sheetData>
    <row r="1" spans="1:22" ht="24">
      <c r="A1" s="93" t="s">
        <v>49</v>
      </c>
      <c r="B1" s="93" t="s">
        <v>50</v>
      </c>
      <c r="C1" s="93" t="s">
        <v>51</v>
      </c>
      <c r="D1" s="93" t="s">
        <v>52</v>
      </c>
      <c r="E1" s="94" t="s">
        <v>53</v>
      </c>
      <c r="F1" s="93" t="s">
        <v>54</v>
      </c>
      <c r="G1" s="93" t="s">
        <v>55</v>
      </c>
      <c r="H1" s="93" t="s">
        <v>472</v>
      </c>
      <c r="I1" s="93" t="s">
        <v>473</v>
      </c>
      <c r="J1" s="95" t="s">
        <v>58</v>
      </c>
      <c r="K1" s="96" t="s">
        <v>59</v>
      </c>
      <c r="L1" s="97" t="s">
        <v>60</v>
      </c>
      <c r="M1" s="96" t="s">
        <v>61</v>
      </c>
      <c r="N1" s="98" t="s">
        <v>62</v>
      </c>
      <c r="O1" s="99" t="s">
        <v>63</v>
      </c>
      <c r="P1" s="96" t="s">
        <v>64</v>
      </c>
      <c r="Q1" s="100" t="s">
        <v>65</v>
      </c>
      <c r="R1" s="100" t="s">
        <v>66</v>
      </c>
      <c r="S1" s="100" t="s">
        <v>67</v>
      </c>
      <c r="T1" s="96" t="s">
        <v>68</v>
      </c>
      <c r="U1" s="101" t="s">
        <v>69</v>
      </c>
      <c r="V1" s="102" t="s">
        <v>469</v>
      </c>
    </row>
    <row r="2" spans="1:22">
      <c r="A2" s="103" t="s">
        <v>47</v>
      </c>
      <c r="B2" s="104" t="s">
        <v>35</v>
      </c>
      <c r="C2" s="104" t="s">
        <v>257</v>
      </c>
      <c r="D2" s="104" t="s">
        <v>258</v>
      </c>
      <c r="E2" s="105" t="s">
        <v>73</v>
      </c>
      <c r="F2" s="106" t="s">
        <v>74</v>
      </c>
      <c r="G2" s="106" t="s">
        <v>28</v>
      </c>
      <c r="H2" s="106" t="s">
        <v>75</v>
      </c>
      <c r="I2" s="107">
        <v>4000010172</v>
      </c>
      <c r="J2" s="108">
        <v>155.69999999999999</v>
      </c>
      <c r="K2" s="106"/>
      <c r="L2" s="109">
        <v>155.69999999999999</v>
      </c>
      <c r="M2" s="110">
        <v>0</v>
      </c>
      <c r="N2" s="111">
        <v>0</v>
      </c>
      <c r="O2" s="109">
        <v>155.69999999999999</v>
      </c>
      <c r="P2" s="112">
        <v>1</v>
      </c>
      <c r="Q2" s="113">
        <v>155.69999999999999</v>
      </c>
      <c r="R2" s="113">
        <v>300</v>
      </c>
      <c r="S2" s="113">
        <v>300</v>
      </c>
      <c r="T2" s="109" t="s">
        <v>76</v>
      </c>
      <c r="U2" s="109">
        <v>300</v>
      </c>
      <c r="V2" s="104">
        <v>490300</v>
      </c>
    </row>
    <row r="3" spans="1:22">
      <c r="A3" s="103" t="s">
        <v>47</v>
      </c>
      <c r="B3" s="104" t="s">
        <v>35</v>
      </c>
      <c r="C3" s="104" t="s">
        <v>259</v>
      </c>
      <c r="D3" s="104" t="s">
        <v>260</v>
      </c>
      <c r="E3" s="105" t="s">
        <v>73</v>
      </c>
      <c r="F3" s="106" t="s">
        <v>90</v>
      </c>
      <c r="G3" s="106" t="s">
        <v>28</v>
      </c>
      <c r="H3" s="106" t="s">
        <v>75</v>
      </c>
      <c r="I3" s="107">
        <v>4000006504</v>
      </c>
      <c r="J3" s="108">
        <v>332.47</v>
      </c>
      <c r="K3" s="106"/>
      <c r="L3" s="106">
        <v>332.47</v>
      </c>
      <c r="M3" s="114">
        <v>0.18</v>
      </c>
      <c r="N3" s="108">
        <v>59.84</v>
      </c>
      <c r="O3" s="106">
        <v>392.31</v>
      </c>
      <c r="P3" s="115">
        <v>1</v>
      </c>
      <c r="Q3" s="116">
        <v>392.31</v>
      </c>
      <c r="R3" s="116">
        <v>700</v>
      </c>
      <c r="S3" s="116">
        <v>700</v>
      </c>
      <c r="T3" s="106" t="s">
        <v>76</v>
      </c>
      <c r="U3" s="106">
        <v>700</v>
      </c>
      <c r="V3" s="104">
        <v>90172090</v>
      </c>
    </row>
    <row r="4" spans="1:22">
      <c r="A4" s="103" t="s">
        <v>47</v>
      </c>
      <c r="B4" s="104" t="s">
        <v>35</v>
      </c>
      <c r="C4" s="104" t="s">
        <v>261</v>
      </c>
      <c r="D4" s="103" t="s">
        <v>262</v>
      </c>
      <c r="E4" s="105" t="s">
        <v>73</v>
      </c>
      <c r="F4" s="106" t="s">
        <v>74</v>
      </c>
      <c r="G4" s="106" t="s">
        <v>28</v>
      </c>
      <c r="H4" s="106" t="s">
        <v>75</v>
      </c>
      <c r="I4" s="107">
        <v>4000010083</v>
      </c>
      <c r="J4" s="117">
        <v>44.25</v>
      </c>
      <c r="K4" s="106"/>
      <c r="L4" s="109">
        <v>44.25</v>
      </c>
      <c r="M4" s="110">
        <v>0</v>
      </c>
      <c r="N4" s="111">
        <v>0</v>
      </c>
      <c r="O4" s="109">
        <v>44.25</v>
      </c>
      <c r="P4" s="112">
        <v>0.5</v>
      </c>
      <c r="Q4" s="113">
        <v>88.5</v>
      </c>
      <c r="R4" s="113">
        <v>500</v>
      </c>
      <c r="S4" s="118">
        <v>250</v>
      </c>
      <c r="T4" s="109" t="s">
        <v>76</v>
      </c>
      <c r="U4" s="109">
        <v>500</v>
      </c>
      <c r="V4" s="104">
        <v>490300</v>
      </c>
    </row>
    <row r="5" spans="1:22">
      <c r="A5" s="103" t="s">
        <v>47</v>
      </c>
      <c r="B5" s="104" t="s">
        <v>35</v>
      </c>
      <c r="C5" s="104" t="s">
        <v>261</v>
      </c>
      <c r="D5" s="103" t="s">
        <v>263</v>
      </c>
      <c r="E5" s="105" t="s">
        <v>73</v>
      </c>
      <c r="F5" s="106" t="s">
        <v>74</v>
      </c>
      <c r="G5" s="106" t="s">
        <v>28</v>
      </c>
      <c r="H5" s="106" t="s">
        <v>84</v>
      </c>
      <c r="I5" s="107">
        <v>4000010105</v>
      </c>
      <c r="J5" s="117">
        <v>44.25</v>
      </c>
      <c r="K5" s="106"/>
      <c r="L5" s="109">
        <v>44.25</v>
      </c>
      <c r="M5" s="110">
        <v>0</v>
      </c>
      <c r="N5" s="111">
        <v>0</v>
      </c>
      <c r="O5" s="109">
        <v>44.25</v>
      </c>
      <c r="P5" s="112">
        <v>0.5</v>
      </c>
      <c r="Q5" s="113">
        <v>88.5</v>
      </c>
      <c r="R5" s="113">
        <v>500</v>
      </c>
      <c r="S5" s="118">
        <v>250</v>
      </c>
      <c r="T5" s="109" t="s">
        <v>76</v>
      </c>
      <c r="U5" s="109">
        <v>500</v>
      </c>
      <c r="V5" s="104">
        <v>490300</v>
      </c>
    </row>
    <row r="6" spans="1:22">
      <c r="A6" s="103" t="s">
        <v>47</v>
      </c>
      <c r="B6" s="104" t="s">
        <v>35</v>
      </c>
      <c r="C6" s="104" t="s">
        <v>264</v>
      </c>
      <c r="D6" s="103" t="s">
        <v>265</v>
      </c>
      <c r="E6" s="105" t="s">
        <v>73</v>
      </c>
      <c r="F6" s="106" t="s">
        <v>74</v>
      </c>
      <c r="G6" s="106" t="s">
        <v>28</v>
      </c>
      <c r="H6" s="106" t="s">
        <v>75</v>
      </c>
      <c r="I6" s="107">
        <v>4000010167</v>
      </c>
      <c r="J6" s="117">
        <v>57.35</v>
      </c>
      <c r="K6" s="106"/>
      <c r="L6" s="109">
        <v>57.35</v>
      </c>
      <c r="M6" s="110">
        <v>0</v>
      </c>
      <c r="N6" s="111">
        <v>0</v>
      </c>
      <c r="O6" s="109">
        <v>57.35</v>
      </c>
      <c r="P6" s="112">
        <v>1</v>
      </c>
      <c r="Q6" s="113">
        <v>57.35</v>
      </c>
      <c r="R6" s="113">
        <v>375</v>
      </c>
      <c r="S6" s="113">
        <v>375</v>
      </c>
      <c r="T6" s="109" t="s">
        <v>76</v>
      </c>
      <c r="U6" s="109">
        <v>375</v>
      </c>
      <c r="V6" s="104">
        <v>490300</v>
      </c>
    </row>
    <row r="7" spans="1:22">
      <c r="A7" s="103" t="s">
        <v>47</v>
      </c>
      <c r="B7" s="104" t="s">
        <v>35</v>
      </c>
      <c r="C7" s="104" t="s">
        <v>266</v>
      </c>
      <c r="D7" s="104" t="s">
        <v>267</v>
      </c>
      <c r="E7" s="105" t="s">
        <v>73</v>
      </c>
      <c r="F7" s="106" t="s">
        <v>74</v>
      </c>
      <c r="G7" s="106" t="s">
        <v>28</v>
      </c>
      <c r="H7" s="106" t="s">
        <v>75</v>
      </c>
      <c r="I7" s="107">
        <v>4000010156</v>
      </c>
      <c r="J7" s="108">
        <v>267.83999999999997</v>
      </c>
      <c r="K7" s="106"/>
      <c r="L7" s="106">
        <v>267.83999999999997</v>
      </c>
      <c r="M7" s="114">
        <v>0.12</v>
      </c>
      <c r="N7" s="108">
        <v>32.14</v>
      </c>
      <c r="O7" s="106">
        <v>299.98</v>
      </c>
      <c r="P7" s="115">
        <v>1</v>
      </c>
      <c r="Q7" s="116">
        <v>299.98</v>
      </c>
      <c r="R7" s="116">
        <v>300</v>
      </c>
      <c r="S7" s="116">
        <v>300</v>
      </c>
      <c r="T7" s="106" t="s">
        <v>76</v>
      </c>
      <c r="U7" s="106">
        <v>300</v>
      </c>
      <c r="V7" s="104">
        <v>48202000</v>
      </c>
    </row>
    <row r="8" spans="1:22">
      <c r="A8" s="103" t="s">
        <v>47</v>
      </c>
      <c r="B8" s="104" t="s">
        <v>35</v>
      </c>
      <c r="C8" s="104" t="s">
        <v>268</v>
      </c>
      <c r="D8" s="104" t="s">
        <v>269</v>
      </c>
      <c r="E8" s="105" t="s">
        <v>73</v>
      </c>
      <c r="F8" s="106" t="s">
        <v>74</v>
      </c>
      <c r="G8" s="106" t="s">
        <v>28</v>
      </c>
      <c r="H8" s="106" t="s">
        <v>75</v>
      </c>
      <c r="I8" s="107">
        <v>4000010084</v>
      </c>
      <c r="J8" s="108">
        <v>165.58</v>
      </c>
      <c r="K8" s="106"/>
      <c r="L8" s="106">
        <v>165.58</v>
      </c>
      <c r="M8" s="114">
        <v>0</v>
      </c>
      <c r="N8" s="108">
        <v>0</v>
      </c>
      <c r="O8" s="106">
        <v>165.58</v>
      </c>
      <c r="P8" s="115">
        <v>0.50239999999999996</v>
      </c>
      <c r="Q8" s="116">
        <v>329.59</v>
      </c>
      <c r="R8" s="116">
        <v>560</v>
      </c>
      <c r="S8" s="116">
        <v>281.33</v>
      </c>
      <c r="T8" s="106" t="s">
        <v>76</v>
      </c>
      <c r="U8" s="106">
        <v>560</v>
      </c>
      <c r="V8" s="104">
        <v>490110</v>
      </c>
    </row>
    <row r="9" spans="1:22">
      <c r="A9" s="103" t="s">
        <v>47</v>
      </c>
      <c r="B9" s="104" t="s">
        <v>35</v>
      </c>
      <c r="C9" s="104" t="s">
        <v>268</v>
      </c>
      <c r="D9" s="104" t="s">
        <v>270</v>
      </c>
      <c r="E9" s="105" t="s">
        <v>73</v>
      </c>
      <c r="F9" s="106" t="s">
        <v>74</v>
      </c>
      <c r="G9" s="106" t="s">
        <v>28</v>
      </c>
      <c r="H9" s="106" t="s">
        <v>84</v>
      </c>
      <c r="I9" s="107">
        <v>4000010106</v>
      </c>
      <c r="J9" s="108">
        <v>164.01</v>
      </c>
      <c r="K9" s="106"/>
      <c r="L9" s="106">
        <v>164.01</v>
      </c>
      <c r="M9" s="114">
        <v>0</v>
      </c>
      <c r="N9" s="108">
        <v>0</v>
      </c>
      <c r="O9" s="106">
        <v>164.01</v>
      </c>
      <c r="P9" s="115">
        <v>0.49759999999999999</v>
      </c>
      <c r="Q9" s="116">
        <v>329.59</v>
      </c>
      <c r="R9" s="116">
        <v>560</v>
      </c>
      <c r="S9" s="116">
        <v>278.67</v>
      </c>
      <c r="T9" s="106" t="s">
        <v>76</v>
      </c>
      <c r="U9" s="106">
        <v>560</v>
      </c>
      <c r="V9" s="104">
        <v>490110</v>
      </c>
    </row>
    <row r="10" spans="1:22">
      <c r="A10" s="103" t="s">
        <v>47</v>
      </c>
      <c r="B10" s="104" t="s">
        <v>35</v>
      </c>
      <c r="C10" s="104" t="s">
        <v>271</v>
      </c>
      <c r="D10" s="104" t="s">
        <v>272</v>
      </c>
      <c r="E10" s="105" t="s">
        <v>73</v>
      </c>
      <c r="F10" s="119" t="s">
        <v>74</v>
      </c>
      <c r="G10" s="106" t="s">
        <v>28</v>
      </c>
      <c r="H10" s="106" t="s">
        <v>75</v>
      </c>
      <c r="I10" s="107">
        <v>4000010056</v>
      </c>
      <c r="J10" s="120">
        <v>38.229999999999997</v>
      </c>
      <c r="K10" s="119"/>
      <c r="L10" s="119">
        <v>38.229999999999997</v>
      </c>
      <c r="M10" s="121">
        <v>0</v>
      </c>
      <c r="N10" s="120">
        <v>0</v>
      </c>
      <c r="O10" s="119">
        <v>38.229999999999997</v>
      </c>
      <c r="P10" s="122">
        <v>1</v>
      </c>
      <c r="Q10" s="123">
        <v>38.229999999999997</v>
      </c>
      <c r="R10" s="123">
        <v>200</v>
      </c>
      <c r="S10" s="123">
        <v>200</v>
      </c>
      <c r="T10" s="119" t="s">
        <v>76</v>
      </c>
      <c r="U10" s="119">
        <v>200</v>
      </c>
      <c r="V10" s="103">
        <v>490110</v>
      </c>
    </row>
    <row r="11" spans="1:22">
      <c r="A11" s="103" t="s">
        <v>47</v>
      </c>
      <c r="B11" s="104" t="s">
        <v>35</v>
      </c>
      <c r="C11" s="104" t="s">
        <v>273</v>
      </c>
      <c r="D11" s="104" t="s">
        <v>274</v>
      </c>
      <c r="E11" s="105" t="s">
        <v>73</v>
      </c>
      <c r="F11" s="106" t="s">
        <v>74</v>
      </c>
      <c r="G11" s="106" t="s">
        <v>28</v>
      </c>
      <c r="H11" s="106" t="s">
        <v>75</v>
      </c>
      <c r="I11" s="107">
        <v>4000001482</v>
      </c>
      <c r="J11" s="108">
        <v>66</v>
      </c>
      <c r="K11" s="106"/>
      <c r="L11" s="106">
        <v>66</v>
      </c>
      <c r="M11" s="114">
        <v>0</v>
      </c>
      <c r="N11" s="108">
        <v>0</v>
      </c>
      <c r="O11" s="106">
        <v>66</v>
      </c>
      <c r="P11" s="115">
        <v>0.3947</v>
      </c>
      <c r="Q11" s="116">
        <v>167.2</v>
      </c>
      <c r="R11" s="116">
        <v>540</v>
      </c>
      <c r="S11" s="116">
        <v>213.16</v>
      </c>
      <c r="T11" s="106" t="s">
        <v>76</v>
      </c>
      <c r="U11" s="106">
        <v>560</v>
      </c>
      <c r="V11" s="104">
        <v>490110</v>
      </c>
    </row>
    <row r="12" spans="1:22">
      <c r="A12" s="103" t="s">
        <v>47</v>
      </c>
      <c r="B12" s="104" t="s">
        <v>35</v>
      </c>
      <c r="C12" s="104" t="s">
        <v>273</v>
      </c>
      <c r="D12" s="104" t="s">
        <v>275</v>
      </c>
      <c r="E12" s="105" t="s">
        <v>73</v>
      </c>
      <c r="F12" s="106" t="s">
        <v>74</v>
      </c>
      <c r="G12" s="106" t="s">
        <v>28</v>
      </c>
      <c r="H12" s="106" t="s">
        <v>84</v>
      </c>
      <c r="I12" s="107">
        <v>4000001474</v>
      </c>
      <c r="J12" s="108">
        <v>101.2</v>
      </c>
      <c r="K12" s="106"/>
      <c r="L12" s="106">
        <v>101.2</v>
      </c>
      <c r="M12" s="114">
        <v>0</v>
      </c>
      <c r="N12" s="108">
        <v>0</v>
      </c>
      <c r="O12" s="106">
        <v>101.2</v>
      </c>
      <c r="P12" s="115">
        <v>0.60529999999999995</v>
      </c>
      <c r="Q12" s="116">
        <v>167.2</v>
      </c>
      <c r="R12" s="116">
        <v>540</v>
      </c>
      <c r="S12" s="116">
        <v>326.83999999999997</v>
      </c>
      <c r="T12" s="106" t="s">
        <v>76</v>
      </c>
      <c r="U12" s="106">
        <v>560</v>
      </c>
      <c r="V12" s="104">
        <v>490110</v>
      </c>
    </row>
    <row r="13" spans="1:22">
      <c r="A13" s="103" t="s">
        <v>47</v>
      </c>
      <c r="B13" s="104" t="s">
        <v>36</v>
      </c>
      <c r="C13" s="104" t="s">
        <v>257</v>
      </c>
      <c r="D13" s="104" t="s">
        <v>276</v>
      </c>
      <c r="E13" s="105" t="s">
        <v>73</v>
      </c>
      <c r="F13" s="106" t="s">
        <v>74</v>
      </c>
      <c r="G13" s="106" t="s">
        <v>28</v>
      </c>
      <c r="H13" s="106" t="s">
        <v>75</v>
      </c>
      <c r="I13" s="107">
        <v>4000010100</v>
      </c>
      <c r="J13" s="108">
        <v>115.44</v>
      </c>
      <c r="K13" s="106"/>
      <c r="L13" s="106">
        <v>115.44</v>
      </c>
      <c r="M13" s="114">
        <v>0</v>
      </c>
      <c r="N13" s="108">
        <v>0</v>
      </c>
      <c r="O13" s="106">
        <v>115.44</v>
      </c>
      <c r="P13" s="115">
        <v>1</v>
      </c>
      <c r="Q13" s="116">
        <v>115.44</v>
      </c>
      <c r="R13" s="116">
        <v>300</v>
      </c>
      <c r="S13" s="116">
        <v>300</v>
      </c>
      <c r="T13" s="106" t="s">
        <v>76</v>
      </c>
      <c r="U13" s="109">
        <v>300</v>
      </c>
      <c r="V13" s="104">
        <v>490300</v>
      </c>
    </row>
    <row r="14" spans="1:22">
      <c r="A14" s="103" t="s">
        <v>47</v>
      </c>
      <c r="B14" s="104" t="s">
        <v>36</v>
      </c>
      <c r="C14" s="104" t="s">
        <v>259</v>
      </c>
      <c r="D14" s="104" t="s">
        <v>277</v>
      </c>
      <c r="E14" s="105" t="s">
        <v>73</v>
      </c>
      <c r="F14" s="106" t="s">
        <v>90</v>
      </c>
      <c r="G14" s="106" t="s">
        <v>28</v>
      </c>
      <c r="H14" s="106" t="s">
        <v>75</v>
      </c>
      <c r="I14" s="107">
        <v>4000006505</v>
      </c>
      <c r="J14" s="108">
        <v>296.72000000000003</v>
      </c>
      <c r="K14" s="106"/>
      <c r="L14" s="106">
        <v>296.72000000000003</v>
      </c>
      <c r="M14" s="114">
        <v>0.18</v>
      </c>
      <c r="N14" s="108">
        <v>53.41</v>
      </c>
      <c r="O14" s="106">
        <v>350.13</v>
      </c>
      <c r="P14" s="115">
        <v>1</v>
      </c>
      <c r="Q14" s="116">
        <v>350.13</v>
      </c>
      <c r="R14" s="116">
        <v>700</v>
      </c>
      <c r="S14" s="116">
        <v>700</v>
      </c>
      <c r="T14" s="106" t="s">
        <v>76</v>
      </c>
      <c r="U14" s="106">
        <v>700</v>
      </c>
      <c r="V14" s="104">
        <v>90172090</v>
      </c>
    </row>
    <row r="15" spans="1:22">
      <c r="A15" s="103" t="s">
        <v>47</v>
      </c>
      <c r="B15" s="104" t="s">
        <v>36</v>
      </c>
      <c r="C15" s="104" t="s">
        <v>261</v>
      </c>
      <c r="D15" s="104" t="s">
        <v>278</v>
      </c>
      <c r="E15" s="105" t="s">
        <v>73</v>
      </c>
      <c r="F15" s="106" t="s">
        <v>74</v>
      </c>
      <c r="G15" s="106" t="s">
        <v>28</v>
      </c>
      <c r="H15" s="106" t="s">
        <v>75</v>
      </c>
      <c r="I15" s="107">
        <v>4000010086</v>
      </c>
      <c r="J15" s="117">
        <v>44.25</v>
      </c>
      <c r="K15" s="106"/>
      <c r="L15" s="106">
        <v>44.25</v>
      </c>
      <c r="M15" s="114">
        <v>0</v>
      </c>
      <c r="N15" s="108">
        <v>0</v>
      </c>
      <c r="O15" s="106">
        <v>44.25</v>
      </c>
      <c r="P15" s="115">
        <v>0.5</v>
      </c>
      <c r="Q15" s="116">
        <v>88.5</v>
      </c>
      <c r="R15" s="116">
        <v>500</v>
      </c>
      <c r="S15" s="118">
        <v>250</v>
      </c>
      <c r="T15" s="106" t="s">
        <v>76</v>
      </c>
      <c r="U15" s="106">
        <v>500</v>
      </c>
      <c r="V15" s="104">
        <v>490300</v>
      </c>
    </row>
    <row r="16" spans="1:22">
      <c r="A16" s="103" t="s">
        <v>47</v>
      </c>
      <c r="B16" s="104" t="s">
        <v>36</v>
      </c>
      <c r="C16" s="104" t="s">
        <v>261</v>
      </c>
      <c r="D16" s="104" t="s">
        <v>279</v>
      </c>
      <c r="E16" s="105" t="s">
        <v>73</v>
      </c>
      <c r="F16" s="106" t="s">
        <v>74</v>
      </c>
      <c r="G16" s="106" t="s">
        <v>28</v>
      </c>
      <c r="H16" s="106" t="s">
        <v>84</v>
      </c>
      <c r="I16" s="107">
        <v>4000010108</v>
      </c>
      <c r="J16" s="117">
        <v>44.25</v>
      </c>
      <c r="K16" s="106"/>
      <c r="L16" s="106">
        <v>44.25</v>
      </c>
      <c r="M16" s="114">
        <v>0</v>
      </c>
      <c r="N16" s="108">
        <v>0</v>
      </c>
      <c r="O16" s="106">
        <v>44.25</v>
      </c>
      <c r="P16" s="115">
        <v>0.5</v>
      </c>
      <c r="Q16" s="116">
        <v>88.5</v>
      </c>
      <c r="R16" s="116">
        <v>500</v>
      </c>
      <c r="S16" s="118">
        <v>250</v>
      </c>
      <c r="T16" s="106" t="s">
        <v>76</v>
      </c>
      <c r="U16" s="106">
        <v>500</v>
      </c>
      <c r="V16" s="104">
        <v>490300</v>
      </c>
    </row>
    <row r="17" spans="1:22">
      <c r="A17" s="103" t="s">
        <v>47</v>
      </c>
      <c r="B17" s="104" t="s">
        <v>36</v>
      </c>
      <c r="C17" s="104" t="s">
        <v>264</v>
      </c>
      <c r="D17" s="104" t="s">
        <v>280</v>
      </c>
      <c r="E17" s="105" t="s">
        <v>73</v>
      </c>
      <c r="F17" s="106" t="s">
        <v>74</v>
      </c>
      <c r="G17" s="106" t="s">
        <v>28</v>
      </c>
      <c r="H17" s="106" t="s">
        <v>75</v>
      </c>
      <c r="I17" s="107">
        <v>4000010122</v>
      </c>
      <c r="J17" s="117">
        <v>57.35</v>
      </c>
      <c r="K17" s="106"/>
      <c r="L17" s="106">
        <v>57.35</v>
      </c>
      <c r="M17" s="114">
        <v>0</v>
      </c>
      <c r="N17" s="108">
        <v>0</v>
      </c>
      <c r="O17" s="106">
        <v>57.35</v>
      </c>
      <c r="P17" s="115">
        <v>1</v>
      </c>
      <c r="Q17" s="116">
        <v>57.35</v>
      </c>
      <c r="R17" s="116">
        <v>375</v>
      </c>
      <c r="S17" s="116">
        <v>375</v>
      </c>
      <c r="T17" s="106" t="s">
        <v>76</v>
      </c>
      <c r="U17" s="106">
        <v>375</v>
      </c>
      <c r="V17" s="104">
        <v>490300</v>
      </c>
    </row>
    <row r="18" spans="1:22">
      <c r="A18" s="103" t="s">
        <v>47</v>
      </c>
      <c r="B18" s="104" t="s">
        <v>36</v>
      </c>
      <c r="C18" s="104" t="s">
        <v>266</v>
      </c>
      <c r="D18" s="104" t="s">
        <v>281</v>
      </c>
      <c r="E18" s="105" t="s">
        <v>73</v>
      </c>
      <c r="F18" s="106" t="s">
        <v>74</v>
      </c>
      <c r="G18" s="106" t="s">
        <v>28</v>
      </c>
      <c r="H18" s="106" t="s">
        <v>75</v>
      </c>
      <c r="I18" s="107">
        <v>4000010111</v>
      </c>
      <c r="J18" s="108">
        <v>267.83999999999997</v>
      </c>
      <c r="K18" s="106"/>
      <c r="L18" s="106">
        <v>267.83999999999997</v>
      </c>
      <c r="M18" s="114">
        <v>0.12</v>
      </c>
      <c r="N18" s="108">
        <v>32.14</v>
      </c>
      <c r="O18" s="106">
        <v>299.98</v>
      </c>
      <c r="P18" s="115">
        <v>1</v>
      </c>
      <c r="Q18" s="116">
        <v>299.98</v>
      </c>
      <c r="R18" s="116">
        <v>300</v>
      </c>
      <c r="S18" s="116">
        <v>300</v>
      </c>
      <c r="T18" s="106" t="s">
        <v>76</v>
      </c>
      <c r="U18" s="106">
        <v>300</v>
      </c>
      <c r="V18" s="104">
        <v>48202000</v>
      </c>
    </row>
    <row r="19" spans="1:22">
      <c r="A19" s="103" t="s">
        <v>47</v>
      </c>
      <c r="B19" s="104" t="s">
        <v>36</v>
      </c>
      <c r="C19" s="104" t="s">
        <v>282</v>
      </c>
      <c r="D19" s="104" t="s">
        <v>283</v>
      </c>
      <c r="E19" s="105" t="s">
        <v>73</v>
      </c>
      <c r="F19" s="106" t="s">
        <v>74</v>
      </c>
      <c r="G19" s="106" t="s">
        <v>28</v>
      </c>
      <c r="H19" s="106" t="s">
        <v>75</v>
      </c>
      <c r="I19" s="107">
        <v>4000010087</v>
      </c>
      <c r="J19" s="108">
        <v>153.29</v>
      </c>
      <c r="K19" s="106"/>
      <c r="L19" s="106">
        <v>153.29</v>
      </c>
      <c r="M19" s="114">
        <v>0</v>
      </c>
      <c r="N19" s="108">
        <v>0</v>
      </c>
      <c r="O19" s="106">
        <v>153.29</v>
      </c>
      <c r="P19" s="115">
        <v>0.6048</v>
      </c>
      <c r="Q19" s="116">
        <v>253.44</v>
      </c>
      <c r="R19" s="116">
        <v>560</v>
      </c>
      <c r="S19" s="116">
        <v>338.71</v>
      </c>
      <c r="T19" s="106" t="s">
        <v>76</v>
      </c>
      <c r="U19" s="106">
        <v>560</v>
      </c>
      <c r="V19" s="104">
        <v>490110</v>
      </c>
    </row>
    <row r="20" spans="1:22">
      <c r="A20" s="103" t="s">
        <v>47</v>
      </c>
      <c r="B20" s="104" t="s">
        <v>36</v>
      </c>
      <c r="C20" s="104" t="s">
        <v>282</v>
      </c>
      <c r="D20" s="104" t="s">
        <v>284</v>
      </c>
      <c r="E20" s="105" t="s">
        <v>73</v>
      </c>
      <c r="F20" s="106" t="s">
        <v>74</v>
      </c>
      <c r="G20" s="106" t="s">
        <v>28</v>
      </c>
      <c r="H20" s="106" t="s">
        <v>84</v>
      </c>
      <c r="I20" s="107">
        <v>4000010109</v>
      </c>
      <c r="J20" s="108">
        <v>100.15</v>
      </c>
      <c r="K20" s="106"/>
      <c r="L20" s="106">
        <v>100.15</v>
      </c>
      <c r="M20" s="114">
        <v>0</v>
      </c>
      <c r="N20" s="108">
        <v>0</v>
      </c>
      <c r="O20" s="106">
        <v>100.15</v>
      </c>
      <c r="P20" s="115">
        <v>0.3952</v>
      </c>
      <c r="Q20" s="116">
        <v>253.44</v>
      </c>
      <c r="R20" s="116">
        <v>560</v>
      </c>
      <c r="S20" s="116">
        <v>221.29</v>
      </c>
      <c r="T20" s="106" t="s">
        <v>76</v>
      </c>
      <c r="U20" s="106">
        <v>560</v>
      </c>
      <c r="V20" s="104">
        <v>490110</v>
      </c>
    </row>
    <row r="21" spans="1:22">
      <c r="A21" s="103" t="s">
        <v>47</v>
      </c>
      <c r="B21" s="104" t="s">
        <v>36</v>
      </c>
      <c r="C21" s="104" t="s">
        <v>271</v>
      </c>
      <c r="D21" s="104" t="s">
        <v>285</v>
      </c>
      <c r="E21" s="105" t="s">
        <v>73</v>
      </c>
      <c r="F21" s="106" t="s">
        <v>74</v>
      </c>
      <c r="G21" s="106" t="s">
        <v>28</v>
      </c>
      <c r="H21" s="106" t="s">
        <v>75</v>
      </c>
      <c r="I21" s="107">
        <v>4000010133</v>
      </c>
      <c r="J21" s="108">
        <v>39.19</v>
      </c>
      <c r="K21" s="106"/>
      <c r="L21" s="106">
        <v>39.19</v>
      </c>
      <c r="M21" s="114">
        <v>0</v>
      </c>
      <c r="N21" s="108">
        <v>0</v>
      </c>
      <c r="O21" s="106">
        <v>39.19</v>
      </c>
      <c r="P21" s="115">
        <v>1</v>
      </c>
      <c r="Q21" s="116">
        <v>39.19</v>
      </c>
      <c r="R21" s="116">
        <v>200</v>
      </c>
      <c r="S21" s="116">
        <v>200</v>
      </c>
      <c r="T21" s="106" t="s">
        <v>76</v>
      </c>
      <c r="U21" s="119">
        <v>200</v>
      </c>
      <c r="V21" s="104">
        <v>490110</v>
      </c>
    </row>
    <row r="22" spans="1:22">
      <c r="A22" s="103" t="s">
        <v>47</v>
      </c>
      <c r="B22" s="104" t="s">
        <v>36</v>
      </c>
      <c r="C22" s="104" t="s">
        <v>273</v>
      </c>
      <c r="D22" s="104" t="s">
        <v>286</v>
      </c>
      <c r="E22" s="105" t="s">
        <v>73</v>
      </c>
      <c r="F22" s="106" t="s">
        <v>74</v>
      </c>
      <c r="G22" s="106" t="s">
        <v>28</v>
      </c>
      <c r="H22" s="106" t="s">
        <v>75</v>
      </c>
      <c r="I22" s="107">
        <v>4000001484</v>
      </c>
      <c r="J22" s="108">
        <v>74.8</v>
      </c>
      <c r="K22" s="106"/>
      <c r="L22" s="106">
        <v>74.8</v>
      </c>
      <c r="M22" s="114">
        <v>0</v>
      </c>
      <c r="N22" s="108">
        <v>0</v>
      </c>
      <c r="O22" s="106">
        <v>74.8</v>
      </c>
      <c r="P22" s="115">
        <v>0.39529999999999998</v>
      </c>
      <c r="Q22" s="116">
        <v>189.2</v>
      </c>
      <c r="R22" s="116">
        <v>1480</v>
      </c>
      <c r="S22" s="116">
        <v>585.12</v>
      </c>
      <c r="T22" s="106" t="s">
        <v>76</v>
      </c>
      <c r="U22" s="106">
        <v>560</v>
      </c>
      <c r="V22" s="104">
        <v>490110</v>
      </c>
    </row>
    <row r="23" spans="1:22">
      <c r="A23" s="103" t="s">
        <v>47</v>
      </c>
      <c r="B23" s="104" t="s">
        <v>36</v>
      </c>
      <c r="C23" s="104" t="s">
        <v>273</v>
      </c>
      <c r="D23" s="104" t="s">
        <v>287</v>
      </c>
      <c r="E23" s="105" t="s">
        <v>73</v>
      </c>
      <c r="F23" s="106" t="s">
        <v>74</v>
      </c>
      <c r="G23" s="106" t="s">
        <v>28</v>
      </c>
      <c r="H23" s="106" t="s">
        <v>84</v>
      </c>
      <c r="I23" s="107">
        <v>4000001475</v>
      </c>
      <c r="J23" s="108">
        <v>114.4</v>
      </c>
      <c r="K23" s="106"/>
      <c r="L23" s="106">
        <v>114.4</v>
      </c>
      <c r="M23" s="114">
        <v>0</v>
      </c>
      <c r="N23" s="108">
        <v>0</v>
      </c>
      <c r="O23" s="106">
        <v>114.4</v>
      </c>
      <c r="P23" s="115">
        <v>0.60470000000000002</v>
      </c>
      <c r="Q23" s="116">
        <v>189.2</v>
      </c>
      <c r="R23" s="116">
        <v>1480</v>
      </c>
      <c r="S23" s="116">
        <v>894.88</v>
      </c>
      <c r="T23" s="106" t="s">
        <v>76</v>
      </c>
      <c r="U23" s="106">
        <v>1480</v>
      </c>
      <c r="V23" s="104">
        <v>490110</v>
      </c>
    </row>
    <row r="24" spans="1:22">
      <c r="A24" s="103" t="s">
        <v>47</v>
      </c>
      <c r="B24" s="104" t="s">
        <v>37</v>
      </c>
      <c r="C24" s="104" t="s">
        <v>257</v>
      </c>
      <c r="D24" s="104" t="s">
        <v>288</v>
      </c>
      <c r="E24" s="105" t="s">
        <v>73</v>
      </c>
      <c r="F24" s="106" t="s">
        <v>74</v>
      </c>
      <c r="G24" s="106" t="s">
        <v>28</v>
      </c>
      <c r="H24" s="106" t="s">
        <v>75</v>
      </c>
      <c r="I24" s="107">
        <v>4000010142</v>
      </c>
      <c r="J24" s="108">
        <v>103.46</v>
      </c>
      <c r="K24" s="106"/>
      <c r="L24" s="106">
        <v>103.46</v>
      </c>
      <c r="M24" s="114">
        <v>0</v>
      </c>
      <c r="N24" s="108">
        <v>0</v>
      </c>
      <c r="O24" s="106">
        <v>103.46</v>
      </c>
      <c r="P24" s="115">
        <v>1</v>
      </c>
      <c r="Q24" s="116">
        <v>103.46</v>
      </c>
      <c r="R24" s="116">
        <v>300</v>
      </c>
      <c r="S24" s="116">
        <v>300</v>
      </c>
      <c r="T24" s="106" t="s">
        <v>76</v>
      </c>
      <c r="U24" s="109">
        <v>300</v>
      </c>
      <c r="V24" s="104">
        <v>490300</v>
      </c>
    </row>
    <row r="25" spans="1:22">
      <c r="A25" s="103" t="s">
        <v>47</v>
      </c>
      <c r="B25" s="104" t="s">
        <v>37</v>
      </c>
      <c r="C25" s="104" t="s">
        <v>259</v>
      </c>
      <c r="D25" s="104" t="s">
        <v>289</v>
      </c>
      <c r="E25" s="105" t="s">
        <v>73</v>
      </c>
      <c r="F25" s="106" t="s">
        <v>90</v>
      </c>
      <c r="G25" s="106" t="s">
        <v>28</v>
      </c>
      <c r="H25" s="106" t="s">
        <v>75</v>
      </c>
      <c r="I25" s="107">
        <v>4000006506</v>
      </c>
      <c r="J25" s="108">
        <v>417.77</v>
      </c>
      <c r="K25" s="106"/>
      <c r="L25" s="106">
        <v>417.77</v>
      </c>
      <c r="M25" s="114">
        <v>0.18</v>
      </c>
      <c r="N25" s="108">
        <v>75.2</v>
      </c>
      <c r="O25" s="106">
        <v>492.97</v>
      </c>
      <c r="P25" s="115">
        <v>1</v>
      </c>
      <c r="Q25" s="116">
        <v>492.97</v>
      </c>
      <c r="R25" s="116">
        <v>700</v>
      </c>
      <c r="S25" s="116">
        <v>700</v>
      </c>
      <c r="T25" s="106" t="s">
        <v>76</v>
      </c>
      <c r="U25" s="106">
        <v>700</v>
      </c>
      <c r="V25" s="104">
        <v>90172090</v>
      </c>
    </row>
    <row r="26" spans="1:22">
      <c r="A26" s="103" t="s">
        <v>47</v>
      </c>
      <c r="B26" s="104" t="s">
        <v>37</v>
      </c>
      <c r="C26" s="104" t="s">
        <v>261</v>
      </c>
      <c r="D26" s="104" t="s">
        <v>290</v>
      </c>
      <c r="E26" s="105" t="s">
        <v>73</v>
      </c>
      <c r="F26" s="106" t="s">
        <v>74</v>
      </c>
      <c r="G26" s="106" t="s">
        <v>28</v>
      </c>
      <c r="H26" s="106" t="s">
        <v>75</v>
      </c>
      <c r="I26" s="107">
        <v>4000010090</v>
      </c>
      <c r="J26" s="117">
        <v>44.25</v>
      </c>
      <c r="K26" s="106"/>
      <c r="L26" s="106">
        <v>44.25</v>
      </c>
      <c r="M26" s="114">
        <v>0</v>
      </c>
      <c r="N26" s="108">
        <v>0</v>
      </c>
      <c r="O26" s="106">
        <v>44.25</v>
      </c>
      <c r="P26" s="115">
        <v>0.5</v>
      </c>
      <c r="Q26" s="116">
        <v>88.5</v>
      </c>
      <c r="R26" s="116">
        <v>500</v>
      </c>
      <c r="S26" s="118">
        <v>250</v>
      </c>
      <c r="T26" s="106" t="s">
        <v>76</v>
      </c>
      <c r="U26" s="106">
        <v>500</v>
      </c>
      <c r="V26" s="104">
        <v>490110</v>
      </c>
    </row>
    <row r="27" spans="1:22">
      <c r="A27" s="103" t="s">
        <v>47</v>
      </c>
      <c r="B27" s="104" t="s">
        <v>37</v>
      </c>
      <c r="C27" s="104" t="s">
        <v>261</v>
      </c>
      <c r="D27" s="104" t="s">
        <v>291</v>
      </c>
      <c r="E27" s="105" t="s">
        <v>73</v>
      </c>
      <c r="F27" s="106" t="s">
        <v>74</v>
      </c>
      <c r="G27" s="106" t="s">
        <v>28</v>
      </c>
      <c r="H27" s="106" t="s">
        <v>84</v>
      </c>
      <c r="I27" s="107">
        <v>4000010174</v>
      </c>
      <c r="J27" s="117">
        <v>44.25</v>
      </c>
      <c r="K27" s="106"/>
      <c r="L27" s="106">
        <v>44.25</v>
      </c>
      <c r="M27" s="114">
        <v>0</v>
      </c>
      <c r="N27" s="108">
        <v>0</v>
      </c>
      <c r="O27" s="106">
        <v>44.25</v>
      </c>
      <c r="P27" s="115">
        <v>0.5</v>
      </c>
      <c r="Q27" s="116">
        <v>88.5</v>
      </c>
      <c r="R27" s="116">
        <v>500</v>
      </c>
      <c r="S27" s="118">
        <v>250</v>
      </c>
      <c r="T27" s="106" t="s">
        <v>76</v>
      </c>
      <c r="U27" s="106">
        <v>500</v>
      </c>
      <c r="V27" s="104">
        <v>490110</v>
      </c>
    </row>
    <row r="28" spans="1:22">
      <c r="A28" s="103" t="s">
        <v>47</v>
      </c>
      <c r="B28" s="104" t="s">
        <v>37</v>
      </c>
      <c r="C28" s="104" t="s">
        <v>264</v>
      </c>
      <c r="D28" s="104" t="s">
        <v>292</v>
      </c>
      <c r="E28" s="105" t="s">
        <v>73</v>
      </c>
      <c r="F28" s="106" t="s">
        <v>74</v>
      </c>
      <c r="G28" s="106" t="s">
        <v>28</v>
      </c>
      <c r="H28" s="106" t="s">
        <v>75</v>
      </c>
      <c r="I28" s="107">
        <v>4000010144</v>
      </c>
      <c r="J28" s="117">
        <v>57.35</v>
      </c>
      <c r="K28" s="106"/>
      <c r="L28" s="106">
        <v>57.35</v>
      </c>
      <c r="M28" s="114">
        <v>0</v>
      </c>
      <c r="N28" s="108">
        <v>0</v>
      </c>
      <c r="O28" s="106">
        <v>57.35</v>
      </c>
      <c r="P28" s="115">
        <v>1</v>
      </c>
      <c r="Q28" s="116">
        <v>57.35</v>
      </c>
      <c r="R28" s="116">
        <v>375</v>
      </c>
      <c r="S28" s="116">
        <v>375</v>
      </c>
      <c r="T28" s="106" t="s">
        <v>76</v>
      </c>
      <c r="U28" s="106">
        <v>375</v>
      </c>
      <c r="V28" s="104">
        <v>490110</v>
      </c>
    </row>
    <row r="29" spans="1:22">
      <c r="A29" s="103" t="s">
        <v>47</v>
      </c>
      <c r="B29" s="104" t="s">
        <v>37</v>
      </c>
      <c r="C29" s="104" t="s">
        <v>282</v>
      </c>
      <c r="D29" s="104" t="s">
        <v>293</v>
      </c>
      <c r="E29" s="105" t="s">
        <v>73</v>
      </c>
      <c r="F29" s="106" t="s">
        <v>74</v>
      </c>
      <c r="G29" s="106" t="s">
        <v>28</v>
      </c>
      <c r="H29" s="106" t="s">
        <v>75</v>
      </c>
      <c r="I29" s="107">
        <v>4000010091</v>
      </c>
      <c r="J29" s="108">
        <v>103.37</v>
      </c>
      <c r="K29" s="106"/>
      <c r="L29" s="106">
        <v>103.37</v>
      </c>
      <c r="M29" s="114">
        <v>0</v>
      </c>
      <c r="N29" s="108">
        <v>0</v>
      </c>
      <c r="O29" s="106">
        <v>103.37</v>
      </c>
      <c r="P29" s="115">
        <v>0.4496</v>
      </c>
      <c r="Q29" s="116">
        <v>229.89</v>
      </c>
      <c r="R29" s="116">
        <v>560</v>
      </c>
      <c r="S29" s="116">
        <v>251.8</v>
      </c>
      <c r="T29" s="106" t="s">
        <v>76</v>
      </c>
      <c r="U29" s="106">
        <v>560</v>
      </c>
      <c r="V29" s="104">
        <v>490110</v>
      </c>
    </row>
    <row r="30" spans="1:22">
      <c r="A30" s="103" t="s">
        <v>47</v>
      </c>
      <c r="B30" s="104" t="s">
        <v>37</v>
      </c>
      <c r="C30" s="104" t="s">
        <v>282</v>
      </c>
      <c r="D30" s="104" t="s">
        <v>294</v>
      </c>
      <c r="E30" s="105" t="s">
        <v>73</v>
      </c>
      <c r="F30" s="106" t="s">
        <v>74</v>
      </c>
      <c r="G30" s="106" t="s">
        <v>28</v>
      </c>
      <c r="H30" s="106" t="s">
        <v>84</v>
      </c>
      <c r="I30" s="107">
        <v>4000010175</v>
      </c>
      <c r="J30" s="108">
        <v>126.52</v>
      </c>
      <c r="K30" s="106"/>
      <c r="L30" s="106">
        <v>126.52</v>
      </c>
      <c r="M30" s="114">
        <v>0</v>
      </c>
      <c r="N30" s="108">
        <v>0</v>
      </c>
      <c r="O30" s="106">
        <v>126.52</v>
      </c>
      <c r="P30" s="115">
        <v>0.5504</v>
      </c>
      <c r="Q30" s="116">
        <v>229.89</v>
      </c>
      <c r="R30" s="116">
        <v>560</v>
      </c>
      <c r="S30" s="116">
        <v>308.2</v>
      </c>
      <c r="T30" s="106" t="s">
        <v>76</v>
      </c>
      <c r="U30" s="106">
        <v>560</v>
      </c>
      <c r="V30" s="104">
        <v>490110</v>
      </c>
    </row>
    <row r="31" spans="1:22">
      <c r="A31" s="103" t="s">
        <v>47</v>
      </c>
      <c r="B31" s="104" t="s">
        <v>37</v>
      </c>
      <c r="C31" s="104" t="s">
        <v>271</v>
      </c>
      <c r="D31" s="104" t="s">
        <v>295</v>
      </c>
      <c r="E31" s="105" t="s">
        <v>73</v>
      </c>
      <c r="F31" s="106" t="s">
        <v>74</v>
      </c>
      <c r="G31" s="106" t="s">
        <v>28</v>
      </c>
      <c r="H31" s="106" t="s">
        <v>75</v>
      </c>
      <c r="I31" s="107">
        <v>4000010146</v>
      </c>
      <c r="J31" s="108">
        <v>42.8</v>
      </c>
      <c r="K31" s="106"/>
      <c r="L31" s="106">
        <v>42.8</v>
      </c>
      <c r="M31" s="114">
        <v>0</v>
      </c>
      <c r="N31" s="108">
        <v>0</v>
      </c>
      <c r="O31" s="106">
        <v>42.8</v>
      </c>
      <c r="P31" s="115">
        <v>1</v>
      </c>
      <c r="Q31" s="116">
        <v>42.8</v>
      </c>
      <c r="R31" s="116">
        <v>200</v>
      </c>
      <c r="S31" s="116">
        <v>200</v>
      </c>
      <c r="T31" s="106" t="s">
        <v>76</v>
      </c>
      <c r="U31" s="119">
        <v>200</v>
      </c>
      <c r="V31" s="104">
        <v>490110</v>
      </c>
    </row>
    <row r="32" spans="1:22">
      <c r="A32" s="103" t="s">
        <v>47</v>
      </c>
      <c r="B32" s="104" t="s">
        <v>37</v>
      </c>
      <c r="C32" s="104" t="s">
        <v>273</v>
      </c>
      <c r="D32" s="104" t="s">
        <v>296</v>
      </c>
      <c r="E32" s="105" t="s">
        <v>73</v>
      </c>
      <c r="F32" s="106" t="s">
        <v>74</v>
      </c>
      <c r="G32" s="106" t="s">
        <v>28</v>
      </c>
      <c r="H32" s="106" t="s">
        <v>75</v>
      </c>
      <c r="I32" s="107">
        <v>4000001485</v>
      </c>
      <c r="J32" s="108">
        <v>96.8</v>
      </c>
      <c r="K32" s="106"/>
      <c r="L32" s="106">
        <v>96.8</v>
      </c>
      <c r="M32" s="114">
        <v>0</v>
      </c>
      <c r="N32" s="108">
        <v>0</v>
      </c>
      <c r="O32" s="106">
        <v>96.8</v>
      </c>
      <c r="P32" s="115">
        <v>0.44</v>
      </c>
      <c r="Q32" s="116">
        <v>220</v>
      </c>
      <c r="R32" s="116">
        <v>1616</v>
      </c>
      <c r="S32" s="116">
        <v>711.04</v>
      </c>
      <c r="T32" s="106" t="s">
        <v>76</v>
      </c>
      <c r="U32" s="106">
        <v>1616</v>
      </c>
      <c r="V32" s="104">
        <v>490110</v>
      </c>
    </row>
    <row r="33" spans="1:22">
      <c r="A33" s="103" t="s">
        <v>47</v>
      </c>
      <c r="B33" s="104" t="s">
        <v>37</v>
      </c>
      <c r="C33" s="104" t="s">
        <v>273</v>
      </c>
      <c r="D33" s="104" t="s">
        <v>297</v>
      </c>
      <c r="E33" s="105" t="s">
        <v>73</v>
      </c>
      <c r="F33" s="106" t="s">
        <v>74</v>
      </c>
      <c r="G33" s="106" t="s">
        <v>28</v>
      </c>
      <c r="H33" s="106" t="s">
        <v>84</v>
      </c>
      <c r="I33" s="107">
        <v>4000001476</v>
      </c>
      <c r="J33" s="108">
        <v>123.2</v>
      </c>
      <c r="K33" s="106"/>
      <c r="L33" s="106">
        <v>123.2</v>
      </c>
      <c r="M33" s="114">
        <v>0</v>
      </c>
      <c r="N33" s="108">
        <v>0</v>
      </c>
      <c r="O33" s="106">
        <v>123.2</v>
      </c>
      <c r="P33" s="115">
        <v>0.56000000000000005</v>
      </c>
      <c r="Q33" s="116">
        <v>220</v>
      </c>
      <c r="R33" s="116">
        <v>1616</v>
      </c>
      <c r="S33" s="116">
        <v>904.96</v>
      </c>
      <c r="T33" s="106" t="s">
        <v>76</v>
      </c>
      <c r="U33" s="106">
        <v>1616</v>
      </c>
      <c r="V33" s="104">
        <v>490110</v>
      </c>
    </row>
    <row r="34" spans="1:22">
      <c r="A34" s="103" t="s">
        <v>47</v>
      </c>
      <c r="B34" s="104" t="s">
        <v>38</v>
      </c>
      <c r="C34" s="104" t="s">
        <v>257</v>
      </c>
      <c r="D34" s="104" t="s">
        <v>298</v>
      </c>
      <c r="E34" s="105" t="s">
        <v>73</v>
      </c>
      <c r="F34" s="106" t="s">
        <v>74</v>
      </c>
      <c r="G34" s="106" t="s">
        <v>28</v>
      </c>
      <c r="H34" s="106" t="s">
        <v>75</v>
      </c>
      <c r="I34" s="107">
        <v>4000010150</v>
      </c>
      <c r="J34" s="108">
        <v>125.52</v>
      </c>
      <c r="K34" s="106"/>
      <c r="L34" s="106">
        <v>125.52</v>
      </c>
      <c r="M34" s="114">
        <v>0</v>
      </c>
      <c r="N34" s="108">
        <v>0</v>
      </c>
      <c r="O34" s="106">
        <v>125.52</v>
      </c>
      <c r="P34" s="115">
        <v>1</v>
      </c>
      <c r="Q34" s="116">
        <v>125.52</v>
      </c>
      <c r="R34" s="116">
        <v>300</v>
      </c>
      <c r="S34" s="116">
        <v>300</v>
      </c>
      <c r="T34" s="106" t="s">
        <v>76</v>
      </c>
      <c r="U34" s="109">
        <v>300</v>
      </c>
      <c r="V34" s="104">
        <v>490300</v>
      </c>
    </row>
    <row r="35" spans="1:22">
      <c r="A35" s="103" t="s">
        <v>47</v>
      </c>
      <c r="B35" s="104" t="s">
        <v>38</v>
      </c>
      <c r="C35" s="104" t="s">
        <v>259</v>
      </c>
      <c r="D35" s="104" t="s">
        <v>299</v>
      </c>
      <c r="E35" s="105" t="s">
        <v>73</v>
      </c>
      <c r="F35" s="106" t="s">
        <v>90</v>
      </c>
      <c r="G35" s="106" t="s">
        <v>28</v>
      </c>
      <c r="H35" s="106" t="s">
        <v>75</v>
      </c>
      <c r="I35" s="107">
        <v>4000006300</v>
      </c>
      <c r="J35" s="108">
        <v>388.02</v>
      </c>
      <c r="K35" s="106"/>
      <c r="L35" s="106">
        <v>388.02</v>
      </c>
      <c r="M35" s="114">
        <v>0.18</v>
      </c>
      <c r="N35" s="108">
        <v>69.84</v>
      </c>
      <c r="O35" s="106">
        <v>457.86</v>
      </c>
      <c r="P35" s="115">
        <v>1</v>
      </c>
      <c r="Q35" s="116">
        <v>457.86</v>
      </c>
      <c r="R35" s="116">
        <v>700</v>
      </c>
      <c r="S35" s="116">
        <v>700</v>
      </c>
      <c r="T35" s="106" t="s">
        <v>76</v>
      </c>
      <c r="U35" s="106">
        <v>700</v>
      </c>
      <c r="V35" s="104">
        <v>90172090</v>
      </c>
    </row>
    <row r="36" spans="1:22">
      <c r="A36" s="103" t="s">
        <v>47</v>
      </c>
      <c r="B36" s="104" t="s">
        <v>38</v>
      </c>
      <c r="C36" s="104" t="s">
        <v>261</v>
      </c>
      <c r="D36" s="104" t="s">
        <v>300</v>
      </c>
      <c r="E36" s="105" t="s">
        <v>73</v>
      </c>
      <c r="F36" s="106" t="s">
        <v>74</v>
      </c>
      <c r="G36" s="106" t="s">
        <v>28</v>
      </c>
      <c r="H36" s="106" t="s">
        <v>75</v>
      </c>
      <c r="I36" s="107">
        <v>4000010092</v>
      </c>
      <c r="J36" s="117">
        <v>44.25</v>
      </c>
      <c r="K36" s="106"/>
      <c r="L36" s="106">
        <v>44.25</v>
      </c>
      <c r="M36" s="114">
        <v>0</v>
      </c>
      <c r="N36" s="108">
        <v>0</v>
      </c>
      <c r="O36" s="106">
        <v>44.25</v>
      </c>
      <c r="P36" s="115">
        <v>0.5</v>
      </c>
      <c r="Q36" s="116">
        <v>88.5</v>
      </c>
      <c r="R36" s="116">
        <v>500</v>
      </c>
      <c r="S36" s="118">
        <v>250</v>
      </c>
      <c r="T36" s="106" t="s">
        <v>76</v>
      </c>
      <c r="U36" s="106">
        <v>500</v>
      </c>
      <c r="V36" s="104">
        <v>490110</v>
      </c>
    </row>
    <row r="37" spans="1:22">
      <c r="A37" s="103" t="s">
        <v>47</v>
      </c>
      <c r="B37" s="104" t="s">
        <v>38</v>
      </c>
      <c r="C37" s="104" t="s">
        <v>261</v>
      </c>
      <c r="D37" s="104" t="s">
        <v>301</v>
      </c>
      <c r="E37" s="105" t="s">
        <v>73</v>
      </c>
      <c r="F37" s="106" t="s">
        <v>74</v>
      </c>
      <c r="G37" s="106" t="s">
        <v>28</v>
      </c>
      <c r="H37" s="106" t="s">
        <v>84</v>
      </c>
      <c r="I37" s="107">
        <v>4000010176</v>
      </c>
      <c r="J37" s="117">
        <v>44.25</v>
      </c>
      <c r="K37" s="106"/>
      <c r="L37" s="106">
        <v>44.25</v>
      </c>
      <c r="M37" s="114">
        <v>0</v>
      </c>
      <c r="N37" s="108">
        <v>0</v>
      </c>
      <c r="O37" s="106">
        <v>44.25</v>
      </c>
      <c r="P37" s="115">
        <v>0.5</v>
      </c>
      <c r="Q37" s="116">
        <v>88.5</v>
      </c>
      <c r="R37" s="116">
        <v>500</v>
      </c>
      <c r="S37" s="118">
        <v>250</v>
      </c>
      <c r="T37" s="106" t="s">
        <v>76</v>
      </c>
      <c r="U37" s="106">
        <v>500</v>
      </c>
      <c r="V37" s="104">
        <v>490110</v>
      </c>
    </row>
    <row r="38" spans="1:22">
      <c r="A38" s="103" t="s">
        <v>47</v>
      </c>
      <c r="B38" s="104" t="s">
        <v>38</v>
      </c>
      <c r="C38" s="104" t="s">
        <v>264</v>
      </c>
      <c r="D38" s="104" t="s">
        <v>302</v>
      </c>
      <c r="E38" s="105" t="s">
        <v>73</v>
      </c>
      <c r="F38" s="106" t="s">
        <v>74</v>
      </c>
      <c r="G38" s="106" t="s">
        <v>28</v>
      </c>
      <c r="H38" s="106" t="s">
        <v>75</v>
      </c>
      <c r="I38" s="107">
        <v>4000010152</v>
      </c>
      <c r="J38" s="117">
        <v>57.35</v>
      </c>
      <c r="K38" s="106"/>
      <c r="L38" s="106">
        <v>57.35</v>
      </c>
      <c r="M38" s="114">
        <v>0</v>
      </c>
      <c r="N38" s="108">
        <v>0</v>
      </c>
      <c r="O38" s="106">
        <v>57.35</v>
      </c>
      <c r="P38" s="115">
        <v>1</v>
      </c>
      <c r="Q38" s="116">
        <v>57.35</v>
      </c>
      <c r="R38" s="116">
        <v>375</v>
      </c>
      <c r="S38" s="116">
        <v>375</v>
      </c>
      <c r="T38" s="106" t="s">
        <v>76</v>
      </c>
      <c r="U38" s="106">
        <v>375</v>
      </c>
      <c r="V38" s="104">
        <v>490110</v>
      </c>
    </row>
    <row r="39" spans="1:22">
      <c r="A39" s="103" t="s">
        <v>47</v>
      </c>
      <c r="B39" s="104" t="s">
        <v>38</v>
      </c>
      <c r="C39" s="104" t="s">
        <v>282</v>
      </c>
      <c r="D39" s="104" t="s">
        <v>303</v>
      </c>
      <c r="E39" s="105" t="s">
        <v>73</v>
      </c>
      <c r="F39" s="106" t="s">
        <v>74</v>
      </c>
      <c r="G39" s="106" t="s">
        <v>28</v>
      </c>
      <c r="H39" s="106" t="s">
        <v>75</v>
      </c>
      <c r="I39" s="107">
        <v>4000010093</v>
      </c>
      <c r="J39" s="108">
        <v>72.599999999999994</v>
      </c>
      <c r="K39" s="106"/>
      <c r="L39" s="106">
        <v>72.599999999999994</v>
      </c>
      <c r="M39" s="114">
        <v>0</v>
      </c>
      <c r="N39" s="108">
        <v>0</v>
      </c>
      <c r="O39" s="106">
        <v>72.599999999999994</v>
      </c>
      <c r="P39" s="115">
        <v>0.40300000000000002</v>
      </c>
      <c r="Q39" s="116">
        <v>180.14</v>
      </c>
      <c r="R39" s="116">
        <v>560</v>
      </c>
      <c r="S39" s="116">
        <v>225.69</v>
      </c>
      <c r="T39" s="106" t="s">
        <v>76</v>
      </c>
      <c r="U39" s="106">
        <v>560</v>
      </c>
      <c r="V39" s="104">
        <v>490110</v>
      </c>
    </row>
    <row r="40" spans="1:22">
      <c r="A40" s="103" t="s">
        <v>47</v>
      </c>
      <c r="B40" s="104" t="s">
        <v>38</v>
      </c>
      <c r="C40" s="104" t="s">
        <v>282</v>
      </c>
      <c r="D40" s="104" t="s">
        <v>304</v>
      </c>
      <c r="E40" s="105" t="s">
        <v>73</v>
      </c>
      <c r="F40" s="106" t="s">
        <v>74</v>
      </c>
      <c r="G40" s="106" t="s">
        <v>28</v>
      </c>
      <c r="H40" s="106" t="s">
        <v>84</v>
      </c>
      <c r="I40" s="107">
        <v>4000010177</v>
      </c>
      <c r="J40" s="108">
        <v>107.54</v>
      </c>
      <c r="K40" s="106"/>
      <c r="L40" s="106">
        <v>107.54</v>
      </c>
      <c r="M40" s="114">
        <v>0</v>
      </c>
      <c r="N40" s="108">
        <v>0</v>
      </c>
      <c r="O40" s="106">
        <v>107.54</v>
      </c>
      <c r="P40" s="115">
        <v>0.59699999999999998</v>
      </c>
      <c r="Q40" s="116">
        <v>180.14</v>
      </c>
      <c r="R40" s="116">
        <v>560</v>
      </c>
      <c r="S40" s="116">
        <v>334.31</v>
      </c>
      <c r="T40" s="106" t="s">
        <v>76</v>
      </c>
      <c r="U40" s="106">
        <v>560</v>
      </c>
      <c r="V40" s="104">
        <v>490110</v>
      </c>
    </row>
    <row r="41" spans="1:22">
      <c r="A41" s="103" t="s">
        <v>47</v>
      </c>
      <c r="B41" s="104" t="s">
        <v>38</v>
      </c>
      <c r="C41" s="104" t="s">
        <v>271</v>
      </c>
      <c r="D41" s="104" t="s">
        <v>305</v>
      </c>
      <c r="E41" s="105" t="s">
        <v>73</v>
      </c>
      <c r="F41" s="106" t="s">
        <v>74</v>
      </c>
      <c r="G41" s="106" t="s">
        <v>28</v>
      </c>
      <c r="H41" s="106" t="s">
        <v>75</v>
      </c>
      <c r="I41" s="107">
        <v>4000010153</v>
      </c>
      <c r="J41" s="108">
        <v>39.06</v>
      </c>
      <c r="K41" s="106"/>
      <c r="L41" s="106">
        <v>39.06</v>
      </c>
      <c r="M41" s="114">
        <v>0</v>
      </c>
      <c r="N41" s="108">
        <v>0</v>
      </c>
      <c r="O41" s="106">
        <v>39.06</v>
      </c>
      <c r="P41" s="115">
        <v>1</v>
      </c>
      <c r="Q41" s="116">
        <v>39.06</v>
      </c>
      <c r="R41" s="116">
        <v>200</v>
      </c>
      <c r="S41" s="116">
        <v>200</v>
      </c>
      <c r="T41" s="106" t="s">
        <v>76</v>
      </c>
      <c r="U41" s="119">
        <v>200</v>
      </c>
      <c r="V41" s="104">
        <v>490110</v>
      </c>
    </row>
    <row r="42" spans="1:22">
      <c r="A42" s="103" t="s">
        <v>47</v>
      </c>
      <c r="B42" s="104" t="s">
        <v>38</v>
      </c>
      <c r="C42" s="104" t="s">
        <v>273</v>
      </c>
      <c r="D42" s="104" t="s">
        <v>306</v>
      </c>
      <c r="E42" s="105" t="s">
        <v>73</v>
      </c>
      <c r="F42" s="106" t="s">
        <v>74</v>
      </c>
      <c r="G42" s="106" t="s">
        <v>28</v>
      </c>
      <c r="H42" s="106" t="s">
        <v>75</v>
      </c>
      <c r="I42" s="107">
        <v>4000001486</v>
      </c>
      <c r="J42" s="108">
        <v>118.8</v>
      </c>
      <c r="K42" s="106"/>
      <c r="L42" s="106">
        <v>118.8</v>
      </c>
      <c r="M42" s="114">
        <v>0</v>
      </c>
      <c r="N42" s="108">
        <v>0</v>
      </c>
      <c r="O42" s="106">
        <v>118.8</v>
      </c>
      <c r="P42" s="115">
        <v>0.48209999999999997</v>
      </c>
      <c r="Q42" s="116">
        <v>246.4</v>
      </c>
      <c r="R42" s="116">
        <v>1616</v>
      </c>
      <c r="S42" s="116">
        <v>779.14</v>
      </c>
      <c r="T42" s="106" t="s">
        <v>76</v>
      </c>
      <c r="U42" s="106">
        <v>1616</v>
      </c>
      <c r="V42" s="104">
        <v>490110</v>
      </c>
    </row>
    <row r="43" spans="1:22">
      <c r="A43" s="103" t="s">
        <v>47</v>
      </c>
      <c r="B43" s="104" t="s">
        <v>38</v>
      </c>
      <c r="C43" s="104" t="s">
        <v>273</v>
      </c>
      <c r="D43" s="104" t="s">
        <v>307</v>
      </c>
      <c r="E43" s="105" t="s">
        <v>73</v>
      </c>
      <c r="F43" s="106" t="s">
        <v>74</v>
      </c>
      <c r="G43" s="106" t="s">
        <v>28</v>
      </c>
      <c r="H43" s="106" t="s">
        <v>84</v>
      </c>
      <c r="I43" s="107">
        <v>4000001477</v>
      </c>
      <c r="J43" s="108">
        <v>127.6</v>
      </c>
      <c r="K43" s="106"/>
      <c r="L43" s="106">
        <v>127.6</v>
      </c>
      <c r="M43" s="114">
        <v>0</v>
      </c>
      <c r="N43" s="108">
        <v>0</v>
      </c>
      <c r="O43" s="106">
        <v>127.6</v>
      </c>
      <c r="P43" s="115">
        <v>0.51790000000000003</v>
      </c>
      <c r="Q43" s="116">
        <v>246.4</v>
      </c>
      <c r="R43" s="116">
        <v>1616</v>
      </c>
      <c r="S43" s="116">
        <v>836.86</v>
      </c>
      <c r="T43" s="106" t="s">
        <v>76</v>
      </c>
      <c r="U43" s="106">
        <v>1616</v>
      </c>
      <c r="V43" s="104">
        <v>490110</v>
      </c>
    </row>
    <row r="44" spans="1:22">
      <c r="A44" s="103" t="s">
        <v>47</v>
      </c>
      <c r="B44" s="104" t="s">
        <v>39</v>
      </c>
      <c r="C44" s="104" t="s">
        <v>257</v>
      </c>
      <c r="D44" s="104" t="s">
        <v>308</v>
      </c>
      <c r="E44" s="105" t="s">
        <v>73</v>
      </c>
      <c r="F44" s="106" t="s">
        <v>74</v>
      </c>
      <c r="G44" s="106" t="s">
        <v>28</v>
      </c>
      <c r="H44" s="106" t="s">
        <v>75</v>
      </c>
      <c r="I44" s="107">
        <v>4000010158</v>
      </c>
      <c r="J44" s="108">
        <v>131.29</v>
      </c>
      <c r="K44" s="106"/>
      <c r="L44" s="106">
        <v>131.29</v>
      </c>
      <c r="M44" s="114">
        <v>0</v>
      </c>
      <c r="N44" s="108">
        <v>0</v>
      </c>
      <c r="O44" s="106">
        <v>131.29</v>
      </c>
      <c r="P44" s="115">
        <v>1</v>
      </c>
      <c r="Q44" s="116">
        <v>131.29</v>
      </c>
      <c r="R44" s="116">
        <v>300</v>
      </c>
      <c r="S44" s="116">
        <v>300</v>
      </c>
      <c r="T44" s="106" t="s">
        <v>76</v>
      </c>
      <c r="U44" s="109">
        <v>300</v>
      </c>
      <c r="V44" s="104">
        <v>490300</v>
      </c>
    </row>
    <row r="45" spans="1:22">
      <c r="A45" s="103" t="s">
        <v>47</v>
      </c>
      <c r="B45" s="104" t="s">
        <v>39</v>
      </c>
      <c r="C45" s="104" t="s">
        <v>259</v>
      </c>
      <c r="D45" s="104" t="s">
        <v>309</v>
      </c>
      <c r="E45" s="105" t="s">
        <v>73</v>
      </c>
      <c r="F45" s="106" t="s">
        <v>90</v>
      </c>
      <c r="G45" s="106" t="s">
        <v>28</v>
      </c>
      <c r="H45" s="106" t="s">
        <v>75</v>
      </c>
      <c r="I45" s="107">
        <v>4000006331</v>
      </c>
      <c r="J45" s="108">
        <v>391.49</v>
      </c>
      <c r="K45" s="106"/>
      <c r="L45" s="106">
        <v>391.49</v>
      </c>
      <c r="M45" s="114">
        <v>0.18</v>
      </c>
      <c r="N45" s="108">
        <v>70.47</v>
      </c>
      <c r="O45" s="106">
        <v>461.96</v>
      </c>
      <c r="P45" s="115">
        <v>1</v>
      </c>
      <c r="Q45" s="116">
        <v>461.96</v>
      </c>
      <c r="R45" s="116">
        <v>700</v>
      </c>
      <c r="S45" s="116">
        <v>700</v>
      </c>
      <c r="T45" s="106" t="s">
        <v>76</v>
      </c>
      <c r="U45" s="106">
        <v>700</v>
      </c>
      <c r="V45" s="104">
        <v>90172090</v>
      </c>
    </row>
    <row r="46" spans="1:22">
      <c r="A46" s="103" t="s">
        <v>47</v>
      </c>
      <c r="B46" s="104" t="s">
        <v>39</v>
      </c>
      <c r="C46" s="104" t="s">
        <v>261</v>
      </c>
      <c r="D46" s="104" t="s">
        <v>310</v>
      </c>
      <c r="E46" s="105" t="s">
        <v>73</v>
      </c>
      <c r="F46" s="106" t="s">
        <v>74</v>
      </c>
      <c r="G46" s="106" t="s">
        <v>28</v>
      </c>
      <c r="H46" s="106" t="s">
        <v>75</v>
      </c>
      <c r="I46" s="107">
        <v>4000010094</v>
      </c>
      <c r="J46" s="117">
        <v>44.25</v>
      </c>
      <c r="K46" s="106"/>
      <c r="L46" s="106">
        <v>44.25</v>
      </c>
      <c r="M46" s="114">
        <v>0</v>
      </c>
      <c r="N46" s="108">
        <v>0</v>
      </c>
      <c r="O46" s="106">
        <v>44.25</v>
      </c>
      <c r="P46" s="115">
        <v>0.5</v>
      </c>
      <c r="Q46" s="116">
        <v>88.5</v>
      </c>
      <c r="R46" s="116">
        <v>500</v>
      </c>
      <c r="S46" s="118">
        <v>250</v>
      </c>
      <c r="T46" s="106" t="s">
        <v>76</v>
      </c>
      <c r="U46" s="106">
        <v>500</v>
      </c>
      <c r="V46" s="104">
        <v>490300</v>
      </c>
    </row>
    <row r="47" spans="1:22">
      <c r="A47" s="103" t="s">
        <v>47</v>
      </c>
      <c r="B47" s="104" t="s">
        <v>39</v>
      </c>
      <c r="C47" s="104" t="s">
        <v>261</v>
      </c>
      <c r="D47" s="104" t="s">
        <v>311</v>
      </c>
      <c r="E47" s="105" t="s">
        <v>73</v>
      </c>
      <c r="F47" s="106" t="s">
        <v>74</v>
      </c>
      <c r="G47" s="106" t="s">
        <v>28</v>
      </c>
      <c r="H47" s="106" t="s">
        <v>84</v>
      </c>
      <c r="I47" s="107">
        <v>4000010178</v>
      </c>
      <c r="J47" s="117">
        <v>44.25</v>
      </c>
      <c r="K47" s="106"/>
      <c r="L47" s="106">
        <v>44.25</v>
      </c>
      <c r="M47" s="114">
        <v>0</v>
      </c>
      <c r="N47" s="108">
        <v>0</v>
      </c>
      <c r="O47" s="106">
        <v>44.25</v>
      </c>
      <c r="P47" s="115">
        <v>0.5</v>
      </c>
      <c r="Q47" s="116">
        <v>88.5</v>
      </c>
      <c r="R47" s="116">
        <v>500</v>
      </c>
      <c r="S47" s="118">
        <v>250</v>
      </c>
      <c r="T47" s="106" t="s">
        <v>76</v>
      </c>
      <c r="U47" s="106">
        <v>500</v>
      </c>
      <c r="V47" s="104">
        <v>490300</v>
      </c>
    </row>
    <row r="48" spans="1:22">
      <c r="A48" s="103" t="s">
        <v>47</v>
      </c>
      <c r="B48" s="104" t="s">
        <v>39</v>
      </c>
      <c r="C48" s="104" t="s">
        <v>264</v>
      </c>
      <c r="D48" s="104" t="s">
        <v>312</v>
      </c>
      <c r="E48" s="105" t="s">
        <v>73</v>
      </c>
      <c r="F48" s="106" t="s">
        <v>74</v>
      </c>
      <c r="G48" s="106" t="s">
        <v>28</v>
      </c>
      <c r="H48" s="106" t="s">
        <v>75</v>
      </c>
      <c r="I48" s="107">
        <v>4000010160</v>
      </c>
      <c r="J48" s="117">
        <v>57.35</v>
      </c>
      <c r="K48" s="106"/>
      <c r="L48" s="106">
        <v>57.35</v>
      </c>
      <c r="M48" s="114">
        <v>0</v>
      </c>
      <c r="N48" s="108">
        <v>0</v>
      </c>
      <c r="O48" s="106">
        <v>57.35</v>
      </c>
      <c r="P48" s="115">
        <v>1</v>
      </c>
      <c r="Q48" s="116">
        <v>57.35</v>
      </c>
      <c r="R48" s="116">
        <v>375</v>
      </c>
      <c r="S48" s="116">
        <v>375</v>
      </c>
      <c r="T48" s="106" t="s">
        <v>76</v>
      </c>
      <c r="U48" s="106">
        <v>375</v>
      </c>
      <c r="V48" s="104">
        <v>490300</v>
      </c>
    </row>
    <row r="49" spans="1:22">
      <c r="A49" s="103" t="s">
        <v>47</v>
      </c>
      <c r="B49" s="104" t="s">
        <v>39</v>
      </c>
      <c r="C49" s="104" t="s">
        <v>282</v>
      </c>
      <c r="D49" s="104" t="s">
        <v>313</v>
      </c>
      <c r="E49" s="105" t="s">
        <v>73</v>
      </c>
      <c r="F49" s="106" t="s">
        <v>74</v>
      </c>
      <c r="G49" s="106" t="s">
        <v>28</v>
      </c>
      <c r="H49" s="106" t="s">
        <v>75</v>
      </c>
      <c r="I49" s="107">
        <v>4000010095</v>
      </c>
      <c r="J49" s="108">
        <v>89</v>
      </c>
      <c r="K49" s="106"/>
      <c r="L49" s="106">
        <v>129</v>
      </c>
      <c r="M49" s="114">
        <v>0</v>
      </c>
      <c r="N49" s="108">
        <v>0</v>
      </c>
      <c r="O49" s="106">
        <v>129</v>
      </c>
      <c r="P49" s="115">
        <v>0.2606</v>
      </c>
      <c r="Q49" s="116">
        <v>495</v>
      </c>
      <c r="R49" s="116">
        <v>580</v>
      </c>
      <c r="S49" s="116">
        <v>151.15</v>
      </c>
      <c r="T49" s="106" t="s">
        <v>76</v>
      </c>
      <c r="U49" s="106">
        <v>580</v>
      </c>
      <c r="V49" s="104">
        <v>490110</v>
      </c>
    </row>
    <row r="50" spans="1:22">
      <c r="A50" s="103" t="s">
        <v>47</v>
      </c>
      <c r="B50" s="103" t="s">
        <v>47</v>
      </c>
      <c r="C50" s="103" t="s">
        <v>47</v>
      </c>
      <c r="D50" s="103" t="s">
        <v>47</v>
      </c>
      <c r="E50" s="103" t="s">
        <v>47</v>
      </c>
      <c r="F50" s="103" t="s">
        <v>47</v>
      </c>
      <c r="G50" s="103" t="s">
        <v>47</v>
      </c>
      <c r="H50" s="103" t="s">
        <v>47</v>
      </c>
      <c r="I50" s="103" t="s">
        <v>47</v>
      </c>
      <c r="J50" s="103" t="s">
        <v>47</v>
      </c>
      <c r="K50" s="103" t="s">
        <v>47</v>
      </c>
      <c r="L50" s="103" t="s">
        <v>47</v>
      </c>
      <c r="M50" s="103" t="s">
        <v>47</v>
      </c>
      <c r="N50" s="103" t="s">
        <v>47</v>
      </c>
      <c r="O50" s="103" t="s">
        <v>47</v>
      </c>
      <c r="P50" s="103" t="s">
        <v>47</v>
      </c>
      <c r="Q50" s="103" t="s">
        <v>47</v>
      </c>
      <c r="R50" s="103" t="s">
        <v>47</v>
      </c>
      <c r="S50" s="103" t="s">
        <v>47</v>
      </c>
      <c r="T50" s="103" t="s">
        <v>47</v>
      </c>
      <c r="U50" s="103" t="s">
        <v>47</v>
      </c>
      <c r="V50" s="103" t="s">
        <v>47</v>
      </c>
    </row>
    <row r="51" spans="1:22">
      <c r="A51" s="103" t="s">
        <v>47</v>
      </c>
      <c r="B51" s="104" t="s">
        <v>39</v>
      </c>
      <c r="C51" s="104" t="s">
        <v>282</v>
      </c>
      <c r="D51" s="104" t="s">
        <v>314</v>
      </c>
      <c r="E51" s="105" t="s">
        <v>73</v>
      </c>
      <c r="F51" s="106" t="s">
        <v>74</v>
      </c>
      <c r="G51" s="106" t="s">
        <v>28</v>
      </c>
      <c r="H51" s="106" t="s">
        <v>84</v>
      </c>
      <c r="I51" s="107">
        <v>4000010179</v>
      </c>
      <c r="J51" s="108">
        <v>87</v>
      </c>
      <c r="K51" s="106"/>
      <c r="L51" s="106">
        <v>132</v>
      </c>
      <c r="M51" s="114">
        <v>0</v>
      </c>
      <c r="N51" s="108">
        <v>0</v>
      </c>
      <c r="O51" s="106">
        <v>132</v>
      </c>
      <c r="P51" s="115">
        <v>0.26669999999999999</v>
      </c>
      <c r="Q51" s="116">
        <v>495</v>
      </c>
      <c r="R51" s="116">
        <v>580</v>
      </c>
      <c r="S51" s="116">
        <v>154.66999999999999</v>
      </c>
      <c r="T51" s="106" t="s">
        <v>76</v>
      </c>
      <c r="U51" s="106">
        <v>580</v>
      </c>
      <c r="V51" s="104">
        <v>490110</v>
      </c>
    </row>
    <row r="52" spans="1:22">
      <c r="A52" s="103" t="s">
        <v>47</v>
      </c>
      <c r="B52" s="104" t="s">
        <v>39</v>
      </c>
      <c r="C52" s="104" t="s">
        <v>271</v>
      </c>
      <c r="D52" s="104" t="s">
        <v>315</v>
      </c>
      <c r="E52" s="105" t="s">
        <v>73</v>
      </c>
      <c r="F52" s="106" t="s">
        <v>74</v>
      </c>
      <c r="G52" s="106" t="s">
        <v>28</v>
      </c>
      <c r="H52" s="106" t="s">
        <v>75</v>
      </c>
      <c r="I52" s="107">
        <v>4000010161</v>
      </c>
      <c r="J52" s="108">
        <v>50.91</v>
      </c>
      <c r="K52" s="106"/>
      <c r="L52" s="106">
        <v>50.91</v>
      </c>
      <c r="M52" s="114">
        <v>0</v>
      </c>
      <c r="N52" s="108">
        <v>0</v>
      </c>
      <c r="O52" s="106">
        <v>50.91</v>
      </c>
      <c r="P52" s="115">
        <v>1</v>
      </c>
      <c r="Q52" s="116">
        <v>50.91</v>
      </c>
      <c r="R52" s="116">
        <v>200</v>
      </c>
      <c r="S52" s="116">
        <v>200</v>
      </c>
      <c r="T52" s="106" t="s">
        <v>76</v>
      </c>
      <c r="U52" s="119">
        <v>200</v>
      </c>
      <c r="V52" s="104">
        <v>490110</v>
      </c>
    </row>
    <row r="53" spans="1:22">
      <c r="A53" s="103" t="s">
        <v>47</v>
      </c>
      <c r="B53" s="104" t="s">
        <v>39</v>
      </c>
      <c r="C53" s="104" t="s">
        <v>273</v>
      </c>
      <c r="D53" s="104" t="s">
        <v>316</v>
      </c>
      <c r="E53" s="105" t="s">
        <v>73</v>
      </c>
      <c r="F53" s="106" t="s">
        <v>74</v>
      </c>
      <c r="G53" s="106" t="s">
        <v>28</v>
      </c>
      <c r="H53" s="106" t="s">
        <v>75</v>
      </c>
      <c r="I53" s="107">
        <v>4000001487</v>
      </c>
      <c r="J53" s="108">
        <v>132</v>
      </c>
      <c r="K53" s="106"/>
      <c r="L53" s="106">
        <v>132</v>
      </c>
      <c r="M53" s="114">
        <v>0</v>
      </c>
      <c r="N53" s="108">
        <v>0</v>
      </c>
      <c r="O53" s="106">
        <v>132</v>
      </c>
      <c r="P53" s="115">
        <v>0.50849999999999995</v>
      </c>
      <c r="Q53" s="116">
        <v>259.60000000000002</v>
      </c>
      <c r="R53" s="116">
        <v>844</v>
      </c>
      <c r="S53" s="116">
        <v>429.15</v>
      </c>
      <c r="T53" s="106" t="s">
        <v>76</v>
      </c>
      <c r="U53" s="106">
        <v>844</v>
      </c>
      <c r="V53" s="104">
        <v>490110</v>
      </c>
    </row>
    <row r="54" spans="1:22">
      <c r="A54" s="103" t="s">
        <v>47</v>
      </c>
      <c r="B54" s="104" t="s">
        <v>39</v>
      </c>
      <c r="C54" s="104" t="s">
        <v>273</v>
      </c>
      <c r="D54" s="104" t="s">
        <v>317</v>
      </c>
      <c r="E54" s="105" t="s">
        <v>73</v>
      </c>
      <c r="F54" s="106" t="s">
        <v>74</v>
      </c>
      <c r="G54" s="106" t="s">
        <v>28</v>
      </c>
      <c r="H54" s="106" t="s">
        <v>84</v>
      </c>
      <c r="I54" s="107">
        <v>4000001478</v>
      </c>
      <c r="J54" s="108">
        <v>127.6</v>
      </c>
      <c r="K54" s="106"/>
      <c r="L54" s="106">
        <v>127.6</v>
      </c>
      <c r="M54" s="114">
        <v>0</v>
      </c>
      <c r="N54" s="108">
        <v>0</v>
      </c>
      <c r="O54" s="106">
        <v>127.6</v>
      </c>
      <c r="P54" s="115">
        <v>0.49149999999999999</v>
      </c>
      <c r="Q54" s="116">
        <v>259.60000000000002</v>
      </c>
      <c r="R54" s="116">
        <v>844</v>
      </c>
      <c r="S54" s="116">
        <v>414.85</v>
      </c>
      <c r="T54" s="106" t="s">
        <v>76</v>
      </c>
      <c r="U54" s="106">
        <v>844</v>
      </c>
      <c r="V54" s="104">
        <v>490110</v>
      </c>
    </row>
    <row r="55" spans="1:22">
      <c r="A55" s="103" t="s">
        <v>47</v>
      </c>
      <c r="B55" s="104" t="s">
        <v>40</v>
      </c>
      <c r="C55" s="104" t="s">
        <v>261</v>
      </c>
      <c r="D55" s="104" t="s">
        <v>318</v>
      </c>
      <c r="E55" s="105" t="s">
        <v>73</v>
      </c>
      <c r="F55" s="106" t="s">
        <v>74</v>
      </c>
      <c r="G55" s="106" t="s">
        <v>28</v>
      </c>
      <c r="H55" s="106" t="s">
        <v>75</v>
      </c>
      <c r="I55" s="107">
        <v>4000010097</v>
      </c>
      <c r="J55" s="117">
        <v>44.25</v>
      </c>
      <c r="K55" s="106"/>
      <c r="L55" s="106">
        <v>44.25</v>
      </c>
      <c r="M55" s="114">
        <v>0</v>
      </c>
      <c r="N55" s="108">
        <v>0</v>
      </c>
      <c r="O55" s="106">
        <v>44.25</v>
      </c>
      <c r="P55" s="115">
        <v>0.5</v>
      </c>
      <c r="Q55" s="116">
        <v>88.5</v>
      </c>
      <c r="R55" s="116">
        <v>500</v>
      </c>
      <c r="S55" s="118">
        <v>250</v>
      </c>
      <c r="T55" s="106" t="s">
        <v>76</v>
      </c>
      <c r="U55" s="106">
        <v>500</v>
      </c>
      <c r="V55" s="104">
        <v>490110</v>
      </c>
    </row>
    <row r="56" spans="1:22">
      <c r="A56" s="103" t="s">
        <v>47</v>
      </c>
      <c r="B56" s="104" t="s">
        <v>40</v>
      </c>
      <c r="C56" s="104" t="s">
        <v>261</v>
      </c>
      <c r="D56" s="104" t="s">
        <v>319</v>
      </c>
      <c r="E56" s="105" t="s">
        <v>73</v>
      </c>
      <c r="F56" s="106" t="s">
        <v>74</v>
      </c>
      <c r="G56" s="106" t="s">
        <v>28</v>
      </c>
      <c r="H56" s="106" t="s">
        <v>84</v>
      </c>
      <c r="I56" s="107">
        <v>4000010098</v>
      </c>
      <c r="J56" s="117">
        <v>44.25</v>
      </c>
      <c r="K56" s="106"/>
      <c r="L56" s="106">
        <v>44.25</v>
      </c>
      <c r="M56" s="114">
        <v>0</v>
      </c>
      <c r="N56" s="108">
        <v>0</v>
      </c>
      <c r="O56" s="106">
        <v>44.25</v>
      </c>
      <c r="P56" s="115">
        <v>0.5</v>
      </c>
      <c r="Q56" s="116">
        <v>88.5</v>
      </c>
      <c r="R56" s="116">
        <v>500</v>
      </c>
      <c r="S56" s="118">
        <v>250</v>
      </c>
      <c r="T56" s="106" t="s">
        <v>76</v>
      </c>
      <c r="U56" s="106">
        <v>500</v>
      </c>
      <c r="V56" s="104">
        <v>490110</v>
      </c>
    </row>
    <row r="57" spans="1:22">
      <c r="A57" s="103" t="s">
        <v>47</v>
      </c>
      <c r="B57" s="104" t="s">
        <v>40</v>
      </c>
      <c r="C57" s="104" t="s">
        <v>264</v>
      </c>
      <c r="D57" s="104" t="s">
        <v>320</v>
      </c>
      <c r="E57" s="105" t="s">
        <v>73</v>
      </c>
      <c r="F57" s="106" t="s">
        <v>74</v>
      </c>
      <c r="G57" s="106" t="s">
        <v>28</v>
      </c>
      <c r="H57" s="106" t="s">
        <v>75</v>
      </c>
      <c r="I57" s="107">
        <v>4000010166</v>
      </c>
      <c r="J57" s="117">
        <v>57.35</v>
      </c>
      <c r="K57" s="106"/>
      <c r="L57" s="106">
        <v>57.35</v>
      </c>
      <c r="M57" s="114">
        <v>0</v>
      </c>
      <c r="N57" s="108">
        <v>0</v>
      </c>
      <c r="O57" s="106">
        <v>57.35</v>
      </c>
      <c r="P57" s="115">
        <v>1</v>
      </c>
      <c r="Q57" s="116">
        <v>57.35</v>
      </c>
      <c r="R57" s="116">
        <v>375</v>
      </c>
      <c r="S57" s="116">
        <v>375</v>
      </c>
      <c r="T57" s="106" t="s">
        <v>76</v>
      </c>
      <c r="U57" s="106">
        <v>375</v>
      </c>
      <c r="V57" s="104">
        <v>490110</v>
      </c>
    </row>
    <row r="58" spans="1:22">
      <c r="A58" s="103" t="s">
        <v>47</v>
      </c>
      <c r="B58" s="104" t="s">
        <v>40</v>
      </c>
      <c r="C58" s="104" t="s">
        <v>282</v>
      </c>
      <c r="D58" s="104" t="s">
        <v>321</v>
      </c>
      <c r="E58" s="105" t="s">
        <v>73</v>
      </c>
      <c r="F58" s="106" t="s">
        <v>74</v>
      </c>
      <c r="G58" s="106" t="s">
        <v>28</v>
      </c>
      <c r="H58" s="106" t="s">
        <v>75</v>
      </c>
      <c r="I58" s="107">
        <v>4000010099</v>
      </c>
      <c r="J58" s="108">
        <v>90</v>
      </c>
      <c r="K58" s="106"/>
      <c r="L58" s="106">
        <v>125</v>
      </c>
      <c r="M58" s="114">
        <v>0</v>
      </c>
      <c r="N58" s="108">
        <v>0</v>
      </c>
      <c r="O58" s="106">
        <v>125</v>
      </c>
      <c r="P58" s="115">
        <v>0.2505</v>
      </c>
      <c r="Q58" s="116">
        <v>499</v>
      </c>
      <c r="R58" s="116">
        <v>580</v>
      </c>
      <c r="S58" s="116">
        <v>145.29</v>
      </c>
      <c r="T58" s="106" t="s">
        <v>76</v>
      </c>
      <c r="U58" s="106">
        <v>580</v>
      </c>
      <c r="V58" s="104">
        <v>490110</v>
      </c>
    </row>
    <row r="59" spans="1:22">
      <c r="A59" s="103" t="s">
        <v>47</v>
      </c>
      <c r="B59" s="104" t="s">
        <v>40</v>
      </c>
      <c r="C59" s="104" t="s">
        <v>282</v>
      </c>
      <c r="D59" s="104" t="s">
        <v>322</v>
      </c>
      <c r="E59" s="105" t="s">
        <v>73</v>
      </c>
      <c r="F59" s="106" t="s">
        <v>74</v>
      </c>
      <c r="G59" s="106" t="s">
        <v>28</v>
      </c>
      <c r="H59" s="106" t="s">
        <v>75</v>
      </c>
      <c r="I59" s="107">
        <v>4000010168</v>
      </c>
      <c r="J59" s="108">
        <v>240</v>
      </c>
      <c r="K59" s="106"/>
      <c r="L59" s="106">
        <v>240</v>
      </c>
      <c r="M59" s="114">
        <v>0</v>
      </c>
      <c r="N59" s="108">
        <v>0</v>
      </c>
      <c r="O59" s="106">
        <v>240</v>
      </c>
      <c r="P59" s="115">
        <v>0.48099999999999998</v>
      </c>
      <c r="Q59" s="116">
        <v>499</v>
      </c>
      <c r="R59" s="116">
        <v>580</v>
      </c>
      <c r="S59" s="116">
        <v>278.95999999999998</v>
      </c>
      <c r="T59" s="106" t="s">
        <v>76</v>
      </c>
      <c r="U59" s="106">
        <v>580</v>
      </c>
      <c r="V59" s="104">
        <v>490110</v>
      </c>
    </row>
    <row r="60" spans="1:22">
      <c r="A60" s="103" t="s">
        <v>47</v>
      </c>
      <c r="B60" s="104" t="s">
        <v>40</v>
      </c>
      <c r="C60" s="104" t="s">
        <v>282</v>
      </c>
      <c r="D60" s="104" t="s">
        <v>323</v>
      </c>
      <c r="E60" s="105" t="s">
        <v>73</v>
      </c>
      <c r="F60" s="106" t="s">
        <v>74</v>
      </c>
      <c r="G60" s="106" t="s">
        <v>28</v>
      </c>
      <c r="H60" s="106" t="s">
        <v>84</v>
      </c>
      <c r="I60" s="107">
        <v>4000010180</v>
      </c>
      <c r="J60" s="108">
        <v>109</v>
      </c>
      <c r="K60" s="106"/>
      <c r="L60" s="106">
        <v>134</v>
      </c>
      <c r="M60" s="114">
        <v>0</v>
      </c>
      <c r="N60" s="108">
        <v>0</v>
      </c>
      <c r="O60" s="106">
        <v>134</v>
      </c>
      <c r="P60" s="115">
        <v>0.26850000000000002</v>
      </c>
      <c r="Q60" s="116">
        <v>499</v>
      </c>
      <c r="R60" s="116">
        <v>580</v>
      </c>
      <c r="S60" s="116">
        <v>155.75</v>
      </c>
      <c r="T60" s="106" t="s">
        <v>76</v>
      </c>
      <c r="U60" s="106">
        <v>580</v>
      </c>
      <c r="V60" s="104">
        <v>490110</v>
      </c>
    </row>
    <row r="61" spans="1:22">
      <c r="A61" s="103" t="s">
        <v>47</v>
      </c>
      <c r="B61" s="104" t="s">
        <v>40</v>
      </c>
      <c r="C61" s="104" t="s">
        <v>271</v>
      </c>
      <c r="D61" s="104" t="s">
        <v>324</v>
      </c>
      <c r="E61" s="105" t="s">
        <v>73</v>
      </c>
      <c r="F61" s="106" t="s">
        <v>74</v>
      </c>
      <c r="G61" s="106" t="s">
        <v>28</v>
      </c>
      <c r="H61" s="106" t="s">
        <v>75</v>
      </c>
      <c r="I61" s="107">
        <v>4000010169</v>
      </c>
      <c r="J61" s="108">
        <v>58.28</v>
      </c>
      <c r="K61" s="106"/>
      <c r="L61" s="106">
        <v>58.28</v>
      </c>
      <c r="M61" s="114">
        <v>0</v>
      </c>
      <c r="N61" s="108">
        <v>0</v>
      </c>
      <c r="O61" s="106">
        <v>58.28</v>
      </c>
      <c r="P61" s="115">
        <v>1</v>
      </c>
      <c r="Q61" s="116">
        <v>58.28</v>
      </c>
      <c r="R61" s="116">
        <v>200</v>
      </c>
      <c r="S61" s="116">
        <v>200</v>
      </c>
      <c r="T61" s="106" t="s">
        <v>76</v>
      </c>
      <c r="U61" s="119">
        <v>200</v>
      </c>
      <c r="V61" s="104">
        <v>490110</v>
      </c>
    </row>
    <row r="62" spans="1:22">
      <c r="A62" s="103" t="s">
        <v>47</v>
      </c>
      <c r="B62" s="104" t="s">
        <v>40</v>
      </c>
      <c r="C62" s="104" t="s">
        <v>273</v>
      </c>
      <c r="D62" s="104" t="s">
        <v>325</v>
      </c>
      <c r="E62" s="105" t="s">
        <v>73</v>
      </c>
      <c r="F62" s="106" t="s">
        <v>74</v>
      </c>
      <c r="G62" s="106" t="s">
        <v>28</v>
      </c>
      <c r="H62" s="106" t="s">
        <v>75</v>
      </c>
      <c r="I62" s="107">
        <v>4000001488</v>
      </c>
      <c r="J62" s="108">
        <v>193.6</v>
      </c>
      <c r="K62" s="106"/>
      <c r="L62" s="106">
        <v>193.6</v>
      </c>
      <c r="M62" s="114">
        <v>0</v>
      </c>
      <c r="N62" s="108">
        <v>0</v>
      </c>
      <c r="O62" s="106">
        <v>193.6</v>
      </c>
      <c r="P62" s="115">
        <v>0.61109999999999998</v>
      </c>
      <c r="Q62" s="116">
        <v>316.81</v>
      </c>
      <c r="R62" s="116">
        <v>884</v>
      </c>
      <c r="S62" s="116">
        <v>540.21</v>
      </c>
      <c r="T62" s="106" t="s">
        <v>76</v>
      </c>
      <c r="U62" s="106">
        <v>884</v>
      </c>
      <c r="V62" s="104">
        <v>490110</v>
      </c>
    </row>
    <row r="63" spans="1:22">
      <c r="A63" s="103" t="s">
        <v>47</v>
      </c>
      <c r="B63" s="104" t="s">
        <v>40</v>
      </c>
      <c r="C63" s="104" t="s">
        <v>273</v>
      </c>
      <c r="D63" s="104" t="s">
        <v>326</v>
      </c>
      <c r="E63" s="105" t="s">
        <v>73</v>
      </c>
      <c r="F63" s="106" t="s">
        <v>74</v>
      </c>
      <c r="G63" s="106" t="s">
        <v>28</v>
      </c>
      <c r="H63" s="106" t="s">
        <v>84</v>
      </c>
      <c r="I63" s="107">
        <v>4000001479</v>
      </c>
      <c r="J63" s="108">
        <v>123.21</v>
      </c>
      <c r="K63" s="106"/>
      <c r="L63" s="106">
        <v>123.21</v>
      </c>
      <c r="M63" s="114">
        <v>0</v>
      </c>
      <c r="N63" s="108">
        <v>0</v>
      </c>
      <c r="O63" s="106">
        <v>123.21</v>
      </c>
      <c r="P63" s="115">
        <v>0.38890000000000002</v>
      </c>
      <c r="Q63" s="116">
        <v>316.81</v>
      </c>
      <c r="R63" s="116">
        <v>884</v>
      </c>
      <c r="S63" s="116">
        <v>343.79</v>
      </c>
      <c r="T63" s="106" t="s">
        <v>76</v>
      </c>
      <c r="U63" s="106">
        <v>884</v>
      </c>
      <c r="V63" s="104">
        <v>490110</v>
      </c>
    </row>
    <row r="64" spans="1:22">
      <c r="A64" s="103" t="s">
        <v>47</v>
      </c>
      <c r="B64" s="104" t="s">
        <v>41</v>
      </c>
      <c r="C64" s="104" t="s">
        <v>261</v>
      </c>
      <c r="D64" s="104" t="s">
        <v>327</v>
      </c>
      <c r="E64" s="105" t="s">
        <v>73</v>
      </c>
      <c r="F64" s="106" t="s">
        <v>74</v>
      </c>
      <c r="G64" s="106" t="s">
        <v>28</v>
      </c>
      <c r="H64" s="106" t="s">
        <v>75</v>
      </c>
      <c r="I64" s="107">
        <v>4000010101</v>
      </c>
      <c r="J64" s="117">
        <v>44.25</v>
      </c>
      <c r="K64" s="106"/>
      <c r="L64" s="106">
        <v>44.25</v>
      </c>
      <c r="M64" s="114">
        <v>0</v>
      </c>
      <c r="N64" s="108">
        <v>0</v>
      </c>
      <c r="O64" s="106">
        <v>44.25</v>
      </c>
      <c r="P64" s="115">
        <v>0.5</v>
      </c>
      <c r="Q64" s="116">
        <v>88.5</v>
      </c>
      <c r="R64" s="116">
        <v>500</v>
      </c>
      <c r="S64" s="118">
        <v>250</v>
      </c>
      <c r="T64" s="106" t="s">
        <v>76</v>
      </c>
      <c r="U64" s="106">
        <v>500</v>
      </c>
      <c r="V64" s="104">
        <v>490110</v>
      </c>
    </row>
    <row r="65" spans="1:22">
      <c r="A65" s="103" t="s">
        <v>47</v>
      </c>
      <c r="B65" s="104" t="s">
        <v>41</v>
      </c>
      <c r="C65" s="104" t="s">
        <v>261</v>
      </c>
      <c r="D65" s="104" t="s">
        <v>328</v>
      </c>
      <c r="E65" s="105" t="s">
        <v>73</v>
      </c>
      <c r="F65" s="106" t="s">
        <v>74</v>
      </c>
      <c r="G65" s="106" t="s">
        <v>28</v>
      </c>
      <c r="H65" s="106" t="s">
        <v>84</v>
      </c>
      <c r="I65" s="107">
        <v>4000010181</v>
      </c>
      <c r="J65" s="117">
        <v>44.25</v>
      </c>
      <c r="K65" s="106"/>
      <c r="L65" s="106">
        <v>44.25</v>
      </c>
      <c r="M65" s="114">
        <v>0</v>
      </c>
      <c r="N65" s="108">
        <v>0</v>
      </c>
      <c r="O65" s="106">
        <v>44.25</v>
      </c>
      <c r="P65" s="115">
        <v>0.5</v>
      </c>
      <c r="Q65" s="116">
        <v>88.5</v>
      </c>
      <c r="R65" s="116">
        <v>500</v>
      </c>
      <c r="S65" s="118">
        <v>250</v>
      </c>
      <c r="T65" s="106" t="s">
        <v>76</v>
      </c>
      <c r="U65" s="106">
        <v>500</v>
      </c>
      <c r="V65" s="104">
        <v>490110</v>
      </c>
    </row>
    <row r="66" spans="1:22">
      <c r="A66" s="103" t="s">
        <v>47</v>
      </c>
      <c r="B66" s="104" t="s">
        <v>41</v>
      </c>
      <c r="C66" s="104" t="s">
        <v>264</v>
      </c>
      <c r="D66" s="104" t="s">
        <v>329</v>
      </c>
      <c r="E66" s="105" t="s">
        <v>73</v>
      </c>
      <c r="F66" s="106" t="s">
        <v>74</v>
      </c>
      <c r="G66" s="106" t="s">
        <v>28</v>
      </c>
      <c r="H66" s="106" t="s">
        <v>75</v>
      </c>
      <c r="I66" s="107">
        <v>4000010052</v>
      </c>
      <c r="J66" s="117">
        <v>57.35</v>
      </c>
      <c r="K66" s="106"/>
      <c r="L66" s="106">
        <v>57.35</v>
      </c>
      <c r="M66" s="114">
        <v>0</v>
      </c>
      <c r="N66" s="108">
        <v>0</v>
      </c>
      <c r="O66" s="106">
        <v>57.35</v>
      </c>
      <c r="P66" s="115">
        <v>1</v>
      </c>
      <c r="Q66" s="116">
        <v>57.35</v>
      </c>
      <c r="R66" s="116">
        <v>375</v>
      </c>
      <c r="S66" s="116">
        <v>375</v>
      </c>
      <c r="T66" s="106" t="s">
        <v>76</v>
      </c>
      <c r="U66" s="106">
        <v>375</v>
      </c>
      <c r="V66" s="104">
        <v>490110</v>
      </c>
    </row>
    <row r="67" spans="1:22">
      <c r="A67" s="103" t="s">
        <v>47</v>
      </c>
      <c r="B67" s="104" t="s">
        <v>41</v>
      </c>
      <c r="C67" s="104" t="s">
        <v>282</v>
      </c>
      <c r="D67" s="104" t="s">
        <v>330</v>
      </c>
      <c r="E67" s="105" t="s">
        <v>73</v>
      </c>
      <c r="F67" s="106" t="s">
        <v>74</v>
      </c>
      <c r="G67" s="106" t="s">
        <v>28</v>
      </c>
      <c r="H67" s="106" t="s">
        <v>75</v>
      </c>
      <c r="I67" s="107">
        <v>4000010102</v>
      </c>
      <c r="J67" s="108">
        <v>98</v>
      </c>
      <c r="K67" s="106"/>
      <c r="L67" s="106">
        <v>150</v>
      </c>
      <c r="M67" s="114">
        <v>0</v>
      </c>
      <c r="N67" s="108">
        <v>0</v>
      </c>
      <c r="O67" s="106">
        <v>150</v>
      </c>
      <c r="P67" s="115">
        <v>0.26190000000000002</v>
      </c>
      <c r="Q67" s="116">
        <v>572.65</v>
      </c>
      <c r="R67" s="116">
        <v>580</v>
      </c>
      <c r="S67" s="116">
        <v>151.93</v>
      </c>
      <c r="T67" s="106" t="s">
        <v>76</v>
      </c>
      <c r="U67" s="106">
        <v>580</v>
      </c>
      <c r="V67" s="104">
        <v>490110</v>
      </c>
    </row>
    <row r="68" spans="1:22">
      <c r="A68" s="103" t="s">
        <v>47</v>
      </c>
      <c r="B68" s="104" t="s">
        <v>41</v>
      </c>
      <c r="C68" s="104" t="s">
        <v>282</v>
      </c>
      <c r="D68" s="104" t="s">
        <v>331</v>
      </c>
      <c r="E68" s="105" t="s">
        <v>73</v>
      </c>
      <c r="F68" s="106" t="s">
        <v>74</v>
      </c>
      <c r="G68" s="106" t="s">
        <v>28</v>
      </c>
      <c r="H68" s="106" t="s">
        <v>75</v>
      </c>
      <c r="I68" s="107">
        <v>4000010053</v>
      </c>
      <c r="J68" s="108">
        <v>254</v>
      </c>
      <c r="K68" s="106"/>
      <c r="L68" s="106">
        <v>254</v>
      </c>
      <c r="M68" s="114">
        <v>0</v>
      </c>
      <c r="N68" s="108">
        <v>0</v>
      </c>
      <c r="O68" s="106">
        <v>254</v>
      </c>
      <c r="P68" s="115">
        <v>0.44359999999999999</v>
      </c>
      <c r="Q68" s="116">
        <v>572.65</v>
      </c>
      <c r="R68" s="116">
        <v>580</v>
      </c>
      <c r="S68" s="116">
        <v>257.26</v>
      </c>
      <c r="T68" s="106" t="s">
        <v>76</v>
      </c>
      <c r="U68" s="106">
        <v>580</v>
      </c>
      <c r="V68" s="104">
        <v>490110</v>
      </c>
    </row>
    <row r="69" spans="1:22">
      <c r="A69" s="103" t="s">
        <v>47</v>
      </c>
      <c r="B69" s="104" t="s">
        <v>41</v>
      </c>
      <c r="C69" s="104" t="s">
        <v>282</v>
      </c>
      <c r="D69" s="104" t="s">
        <v>332</v>
      </c>
      <c r="E69" s="105" t="s">
        <v>73</v>
      </c>
      <c r="F69" s="106" t="s">
        <v>74</v>
      </c>
      <c r="G69" s="106" t="s">
        <v>28</v>
      </c>
      <c r="H69" s="106" t="s">
        <v>84</v>
      </c>
      <c r="I69" s="107">
        <v>4000010182</v>
      </c>
      <c r="J69" s="108">
        <v>96</v>
      </c>
      <c r="K69" s="106"/>
      <c r="L69" s="106">
        <v>168.65</v>
      </c>
      <c r="M69" s="114">
        <v>0</v>
      </c>
      <c r="N69" s="108">
        <v>0</v>
      </c>
      <c r="O69" s="106">
        <v>168.65</v>
      </c>
      <c r="P69" s="115">
        <v>0.29449999999999998</v>
      </c>
      <c r="Q69" s="116">
        <v>572.65</v>
      </c>
      <c r="R69" s="116">
        <v>580</v>
      </c>
      <c r="S69" s="116">
        <v>170.81</v>
      </c>
      <c r="T69" s="106" t="s">
        <v>76</v>
      </c>
      <c r="U69" s="106">
        <v>580</v>
      </c>
      <c r="V69" s="104">
        <v>490110</v>
      </c>
    </row>
    <row r="70" spans="1:22">
      <c r="A70" s="103" t="s">
        <v>47</v>
      </c>
      <c r="B70" s="104" t="s">
        <v>41</v>
      </c>
      <c r="C70" s="104" t="s">
        <v>271</v>
      </c>
      <c r="D70" s="104" t="s">
        <v>333</v>
      </c>
      <c r="E70" s="105" t="s">
        <v>73</v>
      </c>
      <c r="F70" s="106" t="s">
        <v>74</v>
      </c>
      <c r="G70" s="106" t="s">
        <v>28</v>
      </c>
      <c r="H70" s="106" t="s">
        <v>75</v>
      </c>
      <c r="I70" s="107">
        <v>4000010054</v>
      </c>
      <c r="J70" s="108">
        <v>71.11</v>
      </c>
      <c r="K70" s="106"/>
      <c r="L70" s="106">
        <v>71.11</v>
      </c>
      <c r="M70" s="114">
        <v>0</v>
      </c>
      <c r="N70" s="108">
        <v>0</v>
      </c>
      <c r="O70" s="106">
        <v>71.11</v>
      </c>
      <c r="P70" s="115">
        <v>1</v>
      </c>
      <c r="Q70" s="116">
        <v>71.11</v>
      </c>
      <c r="R70" s="116">
        <v>200</v>
      </c>
      <c r="S70" s="116">
        <v>200</v>
      </c>
      <c r="T70" s="106" t="s">
        <v>76</v>
      </c>
      <c r="U70" s="119">
        <v>200</v>
      </c>
      <c r="V70" s="104">
        <v>490110</v>
      </c>
    </row>
    <row r="71" spans="1:22">
      <c r="A71" s="103" t="s">
        <v>47</v>
      </c>
      <c r="B71" s="104" t="s">
        <v>41</v>
      </c>
      <c r="C71" s="104" t="s">
        <v>273</v>
      </c>
      <c r="D71" s="104" t="s">
        <v>334</v>
      </c>
      <c r="E71" s="105" t="s">
        <v>73</v>
      </c>
      <c r="F71" s="106" t="s">
        <v>74</v>
      </c>
      <c r="G71" s="106" t="s">
        <v>28</v>
      </c>
      <c r="H71" s="106" t="s">
        <v>75</v>
      </c>
      <c r="I71" s="107">
        <v>4000001489</v>
      </c>
      <c r="J71" s="108">
        <v>202.4</v>
      </c>
      <c r="K71" s="106"/>
      <c r="L71" s="106">
        <v>202.4</v>
      </c>
      <c r="M71" s="114">
        <v>0</v>
      </c>
      <c r="N71" s="108">
        <v>0</v>
      </c>
      <c r="O71" s="106">
        <v>202.4</v>
      </c>
      <c r="P71" s="115">
        <v>0.60529999999999995</v>
      </c>
      <c r="Q71" s="116">
        <v>334.4</v>
      </c>
      <c r="R71" s="116">
        <v>920</v>
      </c>
      <c r="S71" s="116">
        <v>556.84</v>
      </c>
      <c r="T71" s="106" t="s">
        <v>76</v>
      </c>
      <c r="U71" s="106">
        <v>920</v>
      </c>
      <c r="V71" s="104">
        <v>490110</v>
      </c>
    </row>
    <row r="72" spans="1:22">
      <c r="A72" s="103" t="s">
        <v>47</v>
      </c>
      <c r="B72" s="104" t="s">
        <v>41</v>
      </c>
      <c r="C72" s="104" t="s">
        <v>273</v>
      </c>
      <c r="D72" s="104" t="s">
        <v>335</v>
      </c>
      <c r="E72" s="105" t="s">
        <v>73</v>
      </c>
      <c r="F72" s="106" t="s">
        <v>74</v>
      </c>
      <c r="G72" s="106" t="s">
        <v>28</v>
      </c>
      <c r="H72" s="106" t="s">
        <v>84</v>
      </c>
      <c r="I72" s="107">
        <v>4000001480</v>
      </c>
      <c r="J72" s="108">
        <v>132</v>
      </c>
      <c r="K72" s="106"/>
      <c r="L72" s="106">
        <v>132</v>
      </c>
      <c r="M72" s="114">
        <v>0</v>
      </c>
      <c r="N72" s="108">
        <v>0</v>
      </c>
      <c r="O72" s="106">
        <v>132</v>
      </c>
      <c r="P72" s="115">
        <v>0.3947</v>
      </c>
      <c r="Q72" s="116">
        <v>334.4</v>
      </c>
      <c r="R72" s="116">
        <v>920</v>
      </c>
      <c r="S72" s="116">
        <v>363.16</v>
      </c>
      <c r="T72" s="106" t="s">
        <v>76</v>
      </c>
      <c r="U72" s="106">
        <v>920</v>
      </c>
      <c r="V72" s="104">
        <v>490110</v>
      </c>
    </row>
    <row r="73" spans="1:22">
      <c r="A73" s="103" t="s">
        <v>47</v>
      </c>
      <c r="B73" s="104" t="s">
        <v>42</v>
      </c>
      <c r="C73" s="104" t="s">
        <v>261</v>
      </c>
      <c r="D73" s="104" t="s">
        <v>336</v>
      </c>
      <c r="E73" s="105" t="s">
        <v>73</v>
      </c>
      <c r="F73" s="106" t="s">
        <v>74</v>
      </c>
      <c r="G73" s="106" t="s">
        <v>28</v>
      </c>
      <c r="H73" s="106" t="s">
        <v>75</v>
      </c>
      <c r="I73" s="107">
        <v>4000010103</v>
      </c>
      <c r="J73" s="117">
        <v>44.25</v>
      </c>
      <c r="K73" s="106"/>
      <c r="L73" s="106">
        <v>44.25</v>
      </c>
      <c r="M73" s="114">
        <v>0</v>
      </c>
      <c r="N73" s="108">
        <v>0</v>
      </c>
      <c r="O73" s="106">
        <v>44.25</v>
      </c>
      <c r="P73" s="115">
        <v>0.5</v>
      </c>
      <c r="Q73" s="116">
        <v>88.5</v>
      </c>
      <c r="R73" s="116">
        <v>500</v>
      </c>
      <c r="S73" s="118">
        <v>250</v>
      </c>
      <c r="T73" s="106" t="s">
        <v>76</v>
      </c>
      <c r="U73" s="106">
        <v>500</v>
      </c>
      <c r="V73" s="104">
        <v>490110</v>
      </c>
    </row>
    <row r="74" spans="1:22">
      <c r="A74" s="103" t="s">
        <v>47</v>
      </c>
      <c r="B74" s="104" t="s">
        <v>42</v>
      </c>
      <c r="C74" s="104" t="s">
        <v>261</v>
      </c>
      <c r="D74" s="104" t="s">
        <v>337</v>
      </c>
      <c r="E74" s="105" t="s">
        <v>73</v>
      </c>
      <c r="F74" s="106" t="s">
        <v>74</v>
      </c>
      <c r="G74" s="106" t="s">
        <v>28</v>
      </c>
      <c r="H74" s="106" t="s">
        <v>84</v>
      </c>
      <c r="I74" s="107">
        <v>4000010183</v>
      </c>
      <c r="J74" s="117">
        <v>44.25</v>
      </c>
      <c r="K74" s="106"/>
      <c r="L74" s="106">
        <v>44.25</v>
      </c>
      <c r="M74" s="114">
        <v>0</v>
      </c>
      <c r="N74" s="108">
        <v>0</v>
      </c>
      <c r="O74" s="106">
        <v>44.25</v>
      </c>
      <c r="P74" s="115">
        <v>0.5</v>
      </c>
      <c r="Q74" s="116">
        <v>88.5</v>
      </c>
      <c r="R74" s="116">
        <v>500</v>
      </c>
      <c r="S74" s="118">
        <v>250</v>
      </c>
      <c r="T74" s="106" t="s">
        <v>76</v>
      </c>
      <c r="U74" s="106">
        <v>500</v>
      </c>
      <c r="V74" s="104">
        <v>490110</v>
      </c>
    </row>
    <row r="75" spans="1:22">
      <c r="A75" s="103" t="s">
        <v>47</v>
      </c>
      <c r="B75" s="104" t="s">
        <v>42</v>
      </c>
      <c r="C75" s="104" t="s">
        <v>264</v>
      </c>
      <c r="D75" s="104" t="s">
        <v>338</v>
      </c>
      <c r="E75" s="105" t="s">
        <v>73</v>
      </c>
      <c r="F75" s="106" t="s">
        <v>74</v>
      </c>
      <c r="G75" s="106" t="s">
        <v>28</v>
      </c>
      <c r="H75" s="106" t="s">
        <v>75</v>
      </c>
      <c r="I75" s="107">
        <v>4000010060</v>
      </c>
      <c r="J75" s="117">
        <v>57.35</v>
      </c>
      <c r="K75" s="106"/>
      <c r="L75" s="106">
        <v>57.35</v>
      </c>
      <c r="M75" s="114">
        <v>0</v>
      </c>
      <c r="N75" s="108">
        <v>0</v>
      </c>
      <c r="O75" s="106">
        <v>57.35</v>
      </c>
      <c r="P75" s="115">
        <v>1</v>
      </c>
      <c r="Q75" s="116">
        <v>57.35</v>
      </c>
      <c r="R75" s="116">
        <v>375</v>
      </c>
      <c r="S75" s="116">
        <v>375</v>
      </c>
      <c r="T75" s="106" t="s">
        <v>76</v>
      </c>
      <c r="U75" s="106">
        <v>375</v>
      </c>
      <c r="V75" s="104">
        <v>490110</v>
      </c>
    </row>
    <row r="76" spans="1:22">
      <c r="A76" s="103" t="s">
        <v>47</v>
      </c>
      <c r="B76" s="104" t="s">
        <v>42</v>
      </c>
      <c r="C76" s="104" t="s">
        <v>282</v>
      </c>
      <c r="D76" s="104" t="s">
        <v>339</v>
      </c>
      <c r="E76" s="105" t="s">
        <v>73</v>
      </c>
      <c r="F76" s="106" t="s">
        <v>74</v>
      </c>
      <c r="G76" s="106" t="s">
        <v>28</v>
      </c>
      <c r="H76" s="106" t="s">
        <v>75</v>
      </c>
      <c r="I76" s="107">
        <v>4000010104</v>
      </c>
      <c r="J76" s="108">
        <v>178</v>
      </c>
      <c r="K76" s="106"/>
      <c r="L76" s="106">
        <v>178</v>
      </c>
      <c r="M76" s="114">
        <v>0</v>
      </c>
      <c r="N76" s="108">
        <v>0</v>
      </c>
      <c r="O76" s="106">
        <v>178</v>
      </c>
      <c r="P76" s="115">
        <v>0.29870000000000002</v>
      </c>
      <c r="Q76" s="116">
        <v>596</v>
      </c>
      <c r="R76" s="116">
        <v>580</v>
      </c>
      <c r="S76" s="116">
        <v>173.22</v>
      </c>
      <c r="T76" s="106" t="s">
        <v>76</v>
      </c>
      <c r="U76" s="106">
        <v>580</v>
      </c>
      <c r="V76" s="104">
        <v>490110</v>
      </c>
    </row>
    <row r="77" spans="1:22">
      <c r="A77" s="103" t="s">
        <v>47</v>
      </c>
      <c r="B77" s="104" t="s">
        <v>42</v>
      </c>
      <c r="C77" s="104" t="s">
        <v>282</v>
      </c>
      <c r="D77" s="104" t="s">
        <v>340</v>
      </c>
      <c r="E77" s="105" t="s">
        <v>73</v>
      </c>
      <c r="F77" s="106" t="s">
        <v>74</v>
      </c>
      <c r="G77" s="106" t="s">
        <v>28</v>
      </c>
      <c r="H77" s="106" t="s">
        <v>75</v>
      </c>
      <c r="I77" s="107">
        <v>4000010061</v>
      </c>
      <c r="J77" s="108">
        <v>254</v>
      </c>
      <c r="K77" s="106"/>
      <c r="L77" s="106">
        <v>251</v>
      </c>
      <c r="M77" s="114">
        <v>0</v>
      </c>
      <c r="N77" s="108">
        <v>0</v>
      </c>
      <c r="O77" s="106">
        <v>251</v>
      </c>
      <c r="P77" s="115">
        <v>0.42109999999999997</v>
      </c>
      <c r="Q77" s="116">
        <v>596</v>
      </c>
      <c r="R77" s="116">
        <v>580</v>
      </c>
      <c r="S77" s="116">
        <v>244.26</v>
      </c>
      <c r="T77" s="106" t="s">
        <v>76</v>
      </c>
      <c r="U77" s="106">
        <v>580</v>
      </c>
      <c r="V77" s="104">
        <v>490110</v>
      </c>
    </row>
    <row r="78" spans="1:22">
      <c r="A78" s="103" t="s">
        <v>47</v>
      </c>
      <c r="B78" s="104" t="s">
        <v>42</v>
      </c>
      <c r="C78" s="104" t="s">
        <v>282</v>
      </c>
      <c r="D78" s="104" t="s">
        <v>341</v>
      </c>
      <c r="E78" s="105" t="s">
        <v>73</v>
      </c>
      <c r="F78" s="106" t="s">
        <v>74</v>
      </c>
      <c r="G78" s="106" t="s">
        <v>28</v>
      </c>
      <c r="H78" s="106" t="s">
        <v>84</v>
      </c>
      <c r="I78" s="107">
        <v>4000010112</v>
      </c>
      <c r="J78" s="108">
        <v>167</v>
      </c>
      <c r="K78" s="106"/>
      <c r="L78" s="106">
        <v>167</v>
      </c>
      <c r="M78" s="114">
        <v>0</v>
      </c>
      <c r="N78" s="108">
        <v>0</v>
      </c>
      <c r="O78" s="106">
        <v>167</v>
      </c>
      <c r="P78" s="115">
        <v>0.2802</v>
      </c>
      <c r="Q78" s="116">
        <v>596</v>
      </c>
      <c r="R78" s="116">
        <v>580</v>
      </c>
      <c r="S78" s="116">
        <v>162.52000000000001</v>
      </c>
      <c r="T78" s="106" t="s">
        <v>76</v>
      </c>
      <c r="U78" s="106">
        <v>580</v>
      </c>
      <c r="V78" s="104">
        <v>490110</v>
      </c>
    </row>
    <row r="79" spans="1:22">
      <c r="A79" s="103" t="s">
        <v>47</v>
      </c>
      <c r="B79" s="104" t="s">
        <v>42</v>
      </c>
      <c r="C79" s="104" t="s">
        <v>271</v>
      </c>
      <c r="D79" s="104" t="s">
        <v>342</v>
      </c>
      <c r="E79" s="105" t="s">
        <v>73</v>
      </c>
      <c r="F79" s="106" t="s">
        <v>74</v>
      </c>
      <c r="G79" s="106" t="s">
        <v>28</v>
      </c>
      <c r="H79" s="106" t="s">
        <v>75</v>
      </c>
      <c r="I79" s="107">
        <v>4000010062</v>
      </c>
      <c r="J79" s="108">
        <v>76.66</v>
      </c>
      <c r="K79" s="106"/>
      <c r="L79" s="106">
        <v>76.66</v>
      </c>
      <c r="M79" s="114">
        <v>0</v>
      </c>
      <c r="N79" s="108">
        <v>0</v>
      </c>
      <c r="O79" s="106">
        <v>76.66</v>
      </c>
      <c r="P79" s="115">
        <v>1</v>
      </c>
      <c r="Q79" s="116">
        <v>76.66</v>
      </c>
      <c r="R79" s="116">
        <v>200</v>
      </c>
      <c r="S79" s="116">
        <v>200</v>
      </c>
      <c r="T79" s="106" t="s">
        <v>76</v>
      </c>
      <c r="U79" s="119">
        <v>200</v>
      </c>
      <c r="V79" s="104">
        <v>490110</v>
      </c>
    </row>
    <row r="80" spans="1:22">
      <c r="A80" s="103" t="s">
        <v>47</v>
      </c>
      <c r="B80" s="104" t="s">
        <v>42</v>
      </c>
      <c r="C80" s="104" t="s">
        <v>273</v>
      </c>
      <c r="D80" s="104" t="s">
        <v>343</v>
      </c>
      <c r="E80" s="105" t="s">
        <v>73</v>
      </c>
      <c r="F80" s="106" t="s">
        <v>74</v>
      </c>
      <c r="G80" s="106" t="s">
        <v>28</v>
      </c>
      <c r="H80" s="106" t="s">
        <v>75</v>
      </c>
      <c r="I80" s="107">
        <v>4000001490</v>
      </c>
      <c r="J80" s="108">
        <v>242</v>
      </c>
      <c r="K80" s="106"/>
      <c r="L80" s="106">
        <v>242</v>
      </c>
      <c r="M80" s="114">
        <v>0</v>
      </c>
      <c r="N80" s="108">
        <v>0</v>
      </c>
      <c r="O80" s="106">
        <v>242</v>
      </c>
      <c r="P80" s="115">
        <v>0.625</v>
      </c>
      <c r="Q80" s="116">
        <v>387.22</v>
      </c>
      <c r="R80" s="116">
        <v>940</v>
      </c>
      <c r="S80" s="116">
        <v>587.47</v>
      </c>
      <c r="T80" s="106" t="s">
        <v>76</v>
      </c>
      <c r="U80" s="106">
        <v>940</v>
      </c>
      <c r="V80" s="104">
        <v>490110</v>
      </c>
    </row>
    <row r="81" spans="1:22">
      <c r="A81" s="103" t="s">
        <v>47</v>
      </c>
      <c r="B81" s="104" t="s">
        <v>42</v>
      </c>
      <c r="C81" s="104" t="s">
        <v>273</v>
      </c>
      <c r="D81" s="104" t="s">
        <v>344</v>
      </c>
      <c r="E81" s="105" t="s">
        <v>73</v>
      </c>
      <c r="F81" s="106" t="s">
        <v>74</v>
      </c>
      <c r="G81" s="106" t="s">
        <v>28</v>
      </c>
      <c r="H81" s="106" t="s">
        <v>84</v>
      </c>
      <c r="I81" s="107">
        <v>4000001481</v>
      </c>
      <c r="J81" s="108">
        <v>145.22</v>
      </c>
      <c r="K81" s="106"/>
      <c r="L81" s="106">
        <v>145.22</v>
      </c>
      <c r="M81" s="114">
        <v>0</v>
      </c>
      <c r="N81" s="108">
        <v>0</v>
      </c>
      <c r="O81" s="106">
        <v>145.22</v>
      </c>
      <c r="P81" s="115">
        <v>0.375</v>
      </c>
      <c r="Q81" s="116">
        <v>387.22</v>
      </c>
      <c r="R81" s="116">
        <v>940</v>
      </c>
      <c r="S81" s="116">
        <v>352.53</v>
      </c>
      <c r="T81" s="106" t="s">
        <v>76</v>
      </c>
      <c r="U81" s="106">
        <v>940</v>
      </c>
      <c r="V81" s="104">
        <v>490110</v>
      </c>
    </row>
    <row r="82" spans="1:22">
      <c r="A82" s="103" t="s">
        <v>47</v>
      </c>
      <c r="B82" s="104" t="s">
        <v>43</v>
      </c>
      <c r="C82" s="104" t="s">
        <v>345</v>
      </c>
      <c r="D82" s="104" t="s">
        <v>346</v>
      </c>
      <c r="E82" s="105" t="s">
        <v>73</v>
      </c>
      <c r="F82" s="106" t="s">
        <v>74</v>
      </c>
      <c r="G82" s="106" t="s">
        <v>28</v>
      </c>
      <c r="H82" s="106" t="s">
        <v>84</v>
      </c>
      <c r="I82" s="107">
        <v>4000001493</v>
      </c>
      <c r="J82" s="108">
        <v>44</v>
      </c>
      <c r="K82" s="106"/>
      <c r="L82" s="106">
        <v>44</v>
      </c>
      <c r="M82" s="114">
        <v>0</v>
      </c>
      <c r="N82" s="108">
        <v>0</v>
      </c>
      <c r="O82" s="106">
        <v>44</v>
      </c>
      <c r="P82" s="115">
        <v>0.28570000000000001</v>
      </c>
      <c r="Q82" s="116">
        <v>154</v>
      </c>
      <c r="R82" s="116">
        <v>280</v>
      </c>
      <c r="S82" s="116">
        <v>80</v>
      </c>
      <c r="T82" s="106" t="s">
        <v>76</v>
      </c>
      <c r="U82" s="106">
        <v>280</v>
      </c>
      <c r="V82" s="104">
        <v>490110</v>
      </c>
    </row>
    <row r="83" spans="1:22">
      <c r="A83" s="103" t="s">
        <v>47</v>
      </c>
      <c r="B83" s="104" t="s">
        <v>43</v>
      </c>
      <c r="C83" s="104" t="s">
        <v>345</v>
      </c>
      <c r="D83" s="104" t="s">
        <v>347</v>
      </c>
      <c r="E83" s="105" t="s">
        <v>73</v>
      </c>
      <c r="F83" s="106" t="s">
        <v>74</v>
      </c>
      <c r="G83" s="106" t="s">
        <v>28</v>
      </c>
      <c r="H83" s="106" t="s">
        <v>84</v>
      </c>
      <c r="I83" s="107">
        <v>4000001495</v>
      </c>
      <c r="J83" s="108">
        <v>110</v>
      </c>
      <c r="K83" s="106"/>
      <c r="L83" s="106">
        <v>110</v>
      </c>
      <c r="M83" s="114">
        <v>0</v>
      </c>
      <c r="N83" s="108">
        <v>0</v>
      </c>
      <c r="O83" s="106">
        <v>110</v>
      </c>
      <c r="P83" s="115">
        <v>0.71430000000000005</v>
      </c>
      <c r="Q83" s="116">
        <v>154</v>
      </c>
      <c r="R83" s="116">
        <v>280</v>
      </c>
      <c r="S83" s="116">
        <v>200</v>
      </c>
      <c r="T83" s="106" t="s">
        <v>76</v>
      </c>
      <c r="U83" s="106">
        <v>280</v>
      </c>
      <c r="V83" s="104">
        <v>490110</v>
      </c>
    </row>
    <row r="84" spans="1:22">
      <c r="A84" s="103" t="s">
        <v>47</v>
      </c>
      <c r="B84" s="104" t="s">
        <v>43</v>
      </c>
      <c r="C84" s="104" t="s">
        <v>348</v>
      </c>
      <c r="D84" s="104" t="s">
        <v>349</v>
      </c>
      <c r="E84" s="105" t="s">
        <v>73</v>
      </c>
      <c r="F84" s="106" t="s">
        <v>74</v>
      </c>
      <c r="G84" s="106" t="s">
        <v>28</v>
      </c>
      <c r="H84" s="106" t="s">
        <v>75</v>
      </c>
      <c r="I84" s="107">
        <v>4000010070</v>
      </c>
      <c r="J84" s="108">
        <v>258.8</v>
      </c>
      <c r="K84" s="106"/>
      <c r="L84" s="106">
        <v>258.8</v>
      </c>
      <c r="M84" s="114">
        <v>0</v>
      </c>
      <c r="N84" s="108">
        <v>0</v>
      </c>
      <c r="O84" s="106">
        <v>258.8</v>
      </c>
      <c r="P84" s="115">
        <v>1</v>
      </c>
      <c r="Q84" s="116">
        <v>258.8</v>
      </c>
      <c r="R84" s="116">
        <v>300</v>
      </c>
      <c r="S84" s="116">
        <v>300</v>
      </c>
      <c r="T84" s="106" t="s">
        <v>76</v>
      </c>
      <c r="U84" s="109">
        <v>300</v>
      </c>
      <c r="V84" s="104">
        <v>490300</v>
      </c>
    </row>
    <row r="85" spans="1:22">
      <c r="A85" s="103" t="s">
        <v>47</v>
      </c>
      <c r="B85" s="104" t="s">
        <v>43</v>
      </c>
      <c r="C85" s="104" t="s">
        <v>259</v>
      </c>
      <c r="D85" s="104" t="s">
        <v>350</v>
      </c>
      <c r="E85" s="105" t="s">
        <v>73</v>
      </c>
      <c r="F85" s="106" t="s">
        <v>90</v>
      </c>
      <c r="G85" s="106" t="s">
        <v>28</v>
      </c>
      <c r="H85" s="106" t="s">
        <v>75</v>
      </c>
      <c r="I85" s="107">
        <v>4000006507</v>
      </c>
      <c r="J85" s="108">
        <v>348.66</v>
      </c>
      <c r="K85" s="106"/>
      <c r="L85" s="106">
        <v>348.66</v>
      </c>
      <c r="M85" s="114">
        <v>0.18</v>
      </c>
      <c r="N85" s="108">
        <v>62.76</v>
      </c>
      <c r="O85" s="106">
        <v>411.42</v>
      </c>
      <c r="P85" s="115">
        <v>1</v>
      </c>
      <c r="Q85" s="116">
        <v>411.42</v>
      </c>
      <c r="R85" s="116">
        <v>700</v>
      </c>
      <c r="S85" s="116">
        <v>700</v>
      </c>
      <c r="T85" s="106" t="s">
        <v>76</v>
      </c>
      <c r="U85" s="106">
        <v>700</v>
      </c>
      <c r="V85" s="104">
        <v>90172090</v>
      </c>
    </row>
    <row r="86" spans="1:22">
      <c r="A86" s="103" t="s">
        <v>47</v>
      </c>
      <c r="B86" s="104" t="s">
        <v>43</v>
      </c>
      <c r="C86" s="104" t="s">
        <v>266</v>
      </c>
      <c r="D86" s="104" t="s">
        <v>351</v>
      </c>
      <c r="E86" s="105" t="s">
        <v>73</v>
      </c>
      <c r="F86" s="106" t="s">
        <v>74</v>
      </c>
      <c r="G86" s="106" t="s">
        <v>28</v>
      </c>
      <c r="H86" s="106" t="s">
        <v>75</v>
      </c>
      <c r="I86" s="107">
        <v>4000010069</v>
      </c>
      <c r="J86" s="108">
        <v>267.86</v>
      </c>
      <c r="K86" s="106"/>
      <c r="L86" s="106">
        <v>267.86</v>
      </c>
      <c r="M86" s="114">
        <v>0</v>
      </c>
      <c r="N86" s="108">
        <v>0</v>
      </c>
      <c r="O86" s="106">
        <v>267.86</v>
      </c>
      <c r="P86" s="115">
        <v>1</v>
      </c>
      <c r="Q86" s="116">
        <v>267.86</v>
      </c>
      <c r="R86" s="116">
        <v>300</v>
      </c>
      <c r="S86" s="116">
        <v>300</v>
      </c>
      <c r="T86" s="106" t="s">
        <v>76</v>
      </c>
      <c r="U86" s="106">
        <v>300</v>
      </c>
      <c r="V86" s="104">
        <v>490110</v>
      </c>
    </row>
    <row r="87" spans="1:22">
      <c r="A87" s="103" t="s">
        <v>47</v>
      </c>
      <c r="B87" s="104" t="s">
        <v>43</v>
      </c>
      <c r="C87" s="104" t="s">
        <v>352</v>
      </c>
      <c r="D87" s="104" t="s">
        <v>353</v>
      </c>
      <c r="E87" s="105" t="s">
        <v>73</v>
      </c>
      <c r="F87" s="106" t="s">
        <v>90</v>
      </c>
      <c r="G87" s="106" t="s">
        <v>28</v>
      </c>
      <c r="H87" s="106" t="s">
        <v>75</v>
      </c>
      <c r="I87" s="107">
        <v>4000007476</v>
      </c>
      <c r="J87" s="108">
        <v>225.98</v>
      </c>
      <c r="K87" s="106"/>
      <c r="L87" s="106">
        <v>225.98</v>
      </c>
      <c r="M87" s="114">
        <v>0.18</v>
      </c>
      <c r="N87" s="108">
        <v>40.68</v>
      </c>
      <c r="O87" s="106">
        <v>266.66000000000003</v>
      </c>
      <c r="P87" s="115">
        <v>1</v>
      </c>
      <c r="Q87" s="116">
        <v>266.66000000000003</v>
      </c>
      <c r="R87" s="116">
        <v>700</v>
      </c>
      <c r="S87" s="116">
        <v>700</v>
      </c>
      <c r="T87" s="106" t="s">
        <v>76</v>
      </c>
      <c r="U87" s="106">
        <v>700</v>
      </c>
      <c r="V87" s="104">
        <v>49119100</v>
      </c>
    </row>
    <row r="88" spans="1:22">
      <c r="A88" s="103" t="s">
        <v>47</v>
      </c>
      <c r="B88" s="104" t="s">
        <v>43</v>
      </c>
      <c r="C88" s="104" t="s">
        <v>271</v>
      </c>
      <c r="D88" s="104" t="s">
        <v>354</v>
      </c>
      <c r="E88" s="105" t="s">
        <v>73</v>
      </c>
      <c r="F88" s="106" t="s">
        <v>74</v>
      </c>
      <c r="G88" s="106" t="s">
        <v>28</v>
      </c>
      <c r="H88" s="106" t="s">
        <v>75</v>
      </c>
      <c r="I88" s="107">
        <v>4000010071</v>
      </c>
      <c r="J88" s="108">
        <v>39.93</v>
      </c>
      <c r="K88" s="106"/>
      <c r="L88" s="106">
        <v>39.93</v>
      </c>
      <c r="M88" s="114">
        <v>0</v>
      </c>
      <c r="N88" s="108">
        <v>0</v>
      </c>
      <c r="O88" s="106">
        <v>39.93</v>
      </c>
      <c r="P88" s="115">
        <v>1</v>
      </c>
      <c r="Q88" s="116">
        <v>39.93</v>
      </c>
      <c r="R88" s="116">
        <v>200</v>
      </c>
      <c r="S88" s="116">
        <v>200</v>
      </c>
      <c r="T88" s="106" t="s">
        <v>76</v>
      </c>
      <c r="U88" s="119">
        <v>200</v>
      </c>
      <c r="V88" s="104">
        <v>490110</v>
      </c>
    </row>
    <row r="89" spans="1:22">
      <c r="A89" s="103" t="s">
        <v>47</v>
      </c>
      <c r="B89" s="104" t="s">
        <v>44</v>
      </c>
      <c r="C89" s="104" t="s">
        <v>345</v>
      </c>
      <c r="D89" s="104" t="s">
        <v>355</v>
      </c>
      <c r="E89" s="105" t="s">
        <v>73</v>
      </c>
      <c r="F89" s="106" t="s">
        <v>74</v>
      </c>
      <c r="G89" s="106" t="s">
        <v>28</v>
      </c>
      <c r="H89" s="106" t="s">
        <v>84</v>
      </c>
      <c r="I89" s="107">
        <v>4000001496</v>
      </c>
      <c r="J89" s="108">
        <v>74.8</v>
      </c>
      <c r="K89" s="106"/>
      <c r="L89" s="106">
        <v>74.8</v>
      </c>
      <c r="M89" s="114">
        <v>0</v>
      </c>
      <c r="N89" s="108">
        <v>0</v>
      </c>
      <c r="O89" s="106">
        <v>74.8</v>
      </c>
      <c r="P89" s="115">
        <v>0.5484</v>
      </c>
      <c r="Q89" s="116">
        <v>136.4</v>
      </c>
      <c r="R89" s="116">
        <v>196</v>
      </c>
      <c r="S89" s="116">
        <v>107.48</v>
      </c>
      <c r="T89" s="106" t="s">
        <v>76</v>
      </c>
      <c r="U89" s="106">
        <v>196</v>
      </c>
      <c r="V89" s="104">
        <v>490110</v>
      </c>
    </row>
    <row r="90" spans="1:22">
      <c r="A90" s="103" t="s">
        <v>47</v>
      </c>
      <c r="B90" s="104" t="s">
        <v>44</v>
      </c>
      <c r="C90" s="104" t="s">
        <v>345</v>
      </c>
      <c r="D90" s="104" t="s">
        <v>356</v>
      </c>
      <c r="E90" s="105" t="s">
        <v>73</v>
      </c>
      <c r="F90" s="106" t="s">
        <v>74</v>
      </c>
      <c r="G90" s="106" t="s">
        <v>28</v>
      </c>
      <c r="H90" s="106" t="s">
        <v>84</v>
      </c>
      <c r="I90" s="107">
        <v>4000001497</v>
      </c>
      <c r="J90" s="108">
        <v>61.6</v>
      </c>
      <c r="K90" s="106"/>
      <c r="L90" s="106">
        <v>61.6</v>
      </c>
      <c r="M90" s="114">
        <v>0</v>
      </c>
      <c r="N90" s="108">
        <v>0</v>
      </c>
      <c r="O90" s="106">
        <v>61.6</v>
      </c>
      <c r="P90" s="115">
        <v>0.4516</v>
      </c>
      <c r="Q90" s="116">
        <v>136.4</v>
      </c>
      <c r="R90" s="116">
        <v>196</v>
      </c>
      <c r="S90" s="116">
        <v>88.52</v>
      </c>
      <c r="T90" s="106" t="s">
        <v>76</v>
      </c>
      <c r="U90" s="106">
        <v>196</v>
      </c>
      <c r="V90" s="104">
        <v>490110</v>
      </c>
    </row>
    <row r="91" spans="1:22">
      <c r="A91" s="103" t="s">
        <v>47</v>
      </c>
      <c r="B91" s="104" t="s">
        <v>44</v>
      </c>
      <c r="C91" s="104" t="s">
        <v>348</v>
      </c>
      <c r="D91" s="104" t="s">
        <v>357</v>
      </c>
      <c r="E91" s="105" t="s">
        <v>73</v>
      </c>
      <c r="F91" s="106" t="s">
        <v>74</v>
      </c>
      <c r="G91" s="106" t="s">
        <v>28</v>
      </c>
      <c r="H91" s="106" t="s">
        <v>75</v>
      </c>
      <c r="I91" s="107">
        <v>4000010074</v>
      </c>
      <c r="J91" s="108">
        <v>229.7</v>
      </c>
      <c r="K91" s="106"/>
      <c r="L91" s="106">
        <v>229.7</v>
      </c>
      <c r="M91" s="114">
        <v>0</v>
      </c>
      <c r="N91" s="108">
        <v>0</v>
      </c>
      <c r="O91" s="106">
        <v>229.7</v>
      </c>
      <c r="P91" s="115">
        <v>1</v>
      </c>
      <c r="Q91" s="116">
        <v>229.7</v>
      </c>
      <c r="R91" s="116">
        <v>300</v>
      </c>
      <c r="S91" s="116">
        <v>300</v>
      </c>
      <c r="T91" s="106" t="s">
        <v>76</v>
      </c>
      <c r="U91" s="109">
        <v>300</v>
      </c>
      <c r="V91" s="104">
        <v>490300</v>
      </c>
    </row>
    <row r="92" spans="1:22">
      <c r="A92" s="103" t="s">
        <v>47</v>
      </c>
      <c r="B92" s="104" t="s">
        <v>44</v>
      </c>
      <c r="C92" s="104" t="s">
        <v>259</v>
      </c>
      <c r="D92" s="104" t="s">
        <v>358</v>
      </c>
      <c r="E92" s="105" t="s">
        <v>73</v>
      </c>
      <c r="F92" s="106" t="s">
        <v>90</v>
      </c>
      <c r="G92" s="106" t="s">
        <v>28</v>
      </c>
      <c r="H92" s="106" t="s">
        <v>75</v>
      </c>
      <c r="I92" s="107">
        <v>4000006508</v>
      </c>
      <c r="J92" s="108">
        <v>348.66</v>
      </c>
      <c r="K92" s="106"/>
      <c r="L92" s="106">
        <v>348.66</v>
      </c>
      <c r="M92" s="114">
        <v>0.18</v>
      </c>
      <c r="N92" s="108">
        <v>62.76</v>
      </c>
      <c r="O92" s="106">
        <v>411.42</v>
      </c>
      <c r="P92" s="115">
        <v>1</v>
      </c>
      <c r="Q92" s="116">
        <v>411.42</v>
      </c>
      <c r="R92" s="116">
        <v>700</v>
      </c>
      <c r="S92" s="116">
        <v>700</v>
      </c>
      <c r="T92" s="106" t="s">
        <v>76</v>
      </c>
      <c r="U92" s="106">
        <v>700</v>
      </c>
      <c r="V92" s="104">
        <v>90172090</v>
      </c>
    </row>
    <row r="93" spans="1:22">
      <c r="A93" s="103" t="s">
        <v>47</v>
      </c>
      <c r="B93" s="104" t="s">
        <v>44</v>
      </c>
      <c r="C93" s="104" t="s">
        <v>266</v>
      </c>
      <c r="D93" s="104" t="s">
        <v>359</v>
      </c>
      <c r="E93" s="105" t="s">
        <v>73</v>
      </c>
      <c r="F93" s="106" t="s">
        <v>74</v>
      </c>
      <c r="G93" s="106" t="s">
        <v>28</v>
      </c>
      <c r="H93" s="106" t="s">
        <v>75</v>
      </c>
      <c r="I93" s="107">
        <v>4000010073</v>
      </c>
      <c r="J93" s="108">
        <v>267.86</v>
      </c>
      <c r="K93" s="106"/>
      <c r="L93" s="106">
        <v>267.86</v>
      </c>
      <c r="M93" s="114">
        <v>0</v>
      </c>
      <c r="N93" s="108">
        <v>0</v>
      </c>
      <c r="O93" s="106">
        <v>267.86</v>
      </c>
      <c r="P93" s="115">
        <v>1</v>
      </c>
      <c r="Q93" s="116">
        <v>267.86</v>
      </c>
      <c r="R93" s="116">
        <v>300</v>
      </c>
      <c r="S93" s="116">
        <v>300</v>
      </c>
      <c r="T93" s="106" t="s">
        <v>76</v>
      </c>
      <c r="U93" s="106">
        <v>300</v>
      </c>
      <c r="V93" s="104">
        <v>490110</v>
      </c>
    </row>
    <row r="94" spans="1:22">
      <c r="A94" s="103" t="s">
        <v>47</v>
      </c>
      <c r="B94" s="104" t="s">
        <v>44</v>
      </c>
      <c r="C94" s="104" t="s">
        <v>352</v>
      </c>
      <c r="D94" s="104" t="s">
        <v>360</v>
      </c>
      <c r="E94" s="105" t="s">
        <v>73</v>
      </c>
      <c r="F94" s="106" t="s">
        <v>90</v>
      </c>
      <c r="G94" s="106" t="s">
        <v>28</v>
      </c>
      <c r="H94" s="106" t="s">
        <v>75</v>
      </c>
      <c r="I94" s="107">
        <v>4000007477</v>
      </c>
      <c r="J94" s="108">
        <v>267.20999999999998</v>
      </c>
      <c r="K94" s="106"/>
      <c r="L94" s="106">
        <v>267.20999999999998</v>
      </c>
      <c r="M94" s="114">
        <v>0.18</v>
      </c>
      <c r="N94" s="108">
        <v>48.1</v>
      </c>
      <c r="O94" s="106">
        <v>315.31</v>
      </c>
      <c r="P94" s="115">
        <v>1</v>
      </c>
      <c r="Q94" s="116">
        <v>315.31</v>
      </c>
      <c r="R94" s="116">
        <v>700</v>
      </c>
      <c r="S94" s="116">
        <v>700</v>
      </c>
      <c r="T94" s="106" t="s">
        <v>76</v>
      </c>
      <c r="U94" s="106">
        <v>700</v>
      </c>
      <c r="V94" s="104">
        <v>49119100</v>
      </c>
    </row>
    <row r="95" spans="1:22">
      <c r="A95" s="103" t="s">
        <v>47</v>
      </c>
      <c r="B95" s="104" t="s">
        <v>44</v>
      </c>
      <c r="C95" s="104" t="s">
        <v>271</v>
      </c>
      <c r="D95" s="104" t="s">
        <v>361</v>
      </c>
      <c r="E95" s="105" t="s">
        <v>73</v>
      </c>
      <c r="F95" s="106" t="s">
        <v>74</v>
      </c>
      <c r="G95" s="106" t="s">
        <v>28</v>
      </c>
      <c r="H95" s="106" t="s">
        <v>75</v>
      </c>
      <c r="I95" s="107">
        <v>4000010075</v>
      </c>
      <c r="J95" s="108">
        <v>36.380000000000003</v>
      </c>
      <c r="K95" s="106"/>
      <c r="L95" s="106">
        <v>36.380000000000003</v>
      </c>
      <c r="M95" s="114">
        <v>0</v>
      </c>
      <c r="N95" s="108">
        <v>0</v>
      </c>
      <c r="O95" s="106">
        <v>36.380000000000003</v>
      </c>
      <c r="P95" s="115">
        <v>1</v>
      </c>
      <c r="Q95" s="116">
        <v>36.380000000000003</v>
      </c>
      <c r="R95" s="116">
        <v>200</v>
      </c>
      <c r="S95" s="116">
        <v>200</v>
      </c>
      <c r="T95" s="106" t="s">
        <v>76</v>
      </c>
      <c r="U95" s="119">
        <v>200</v>
      </c>
      <c r="V95" s="104">
        <v>490110</v>
      </c>
    </row>
    <row r="96" spans="1:22">
      <c r="A96" s="103" t="s">
        <v>47</v>
      </c>
      <c r="B96" s="104" t="s">
        <v>45</v>
      </c>
      <c r="C96" s="104" t="s">
        <v>345</v>
      </c>
      <c r="D96" s="104" t="s">
        <v>362</v>
      </c>
      <c r="E96" s="105" t="s">
        <v>73</v>
      </c>
      <c r="F96" s="106" t="s">
        <v>74</v>
      </c>
      <c r="G96" s="106" t="s">
        <v>28</v>
      </c>
      <c r="H96" s="106" t="s">
        <v>84</v>
      </c>
      <c r="I96" s="107">
        <v>4000001491</v>
      </c>
      <c r="J96" s="108">
        <v>66</v>
      </c>
      <c r="K96" s="106"/>
      <c r="L96" s="106">
        <v>66</v>
      </c>
      <c r="M96" s="114">
        <v>0</v>
      </c>
      <c r="N96" s="108">
        <v>0</v>
      </c>
      <c r="O96" s="106">
        <v>66</v>
      </c>
      <c r="P96" s="115">
        <v>0.46879999999999999</v>
      </c>
      <c r="Q96" s="116">
        <v>140.80000000000001</v>
      </c>
      <c r="R96" s="116">
        <v>240</v>
      </c>
      <c r="S96" s="116">
        <v>112.5</v>
      </c>
      <c r="T96" s="106" t="s">
        <v>76</v>
      </c>
      <c r="U96" s="106">
        <v>240</v>
      </c>
      <c r="V96" s="104">
        <v>490110</v>
      </c>
    </row>
    <row r="97" spans="1:22">
      <c r="A97" s="103" t="s">
        <v>47</v>
      </c>
      <c r="B97" s="104" t="s">
        <v>45</v>
      </c>
      <c r="C97" s="104" t="s">
        <v>345</v>
      </c>
      <c r="D97" s="104" t="s">
        <v>363</v>
      </c>
      <c r="E97" s="105" t="s">
        <v>73</v>
      </c>
      <c r="F97" s="106" t="s">
        <v>74</v>
      </c>
      <c r="G97" s="106" t="s">
        <v>28</v>
      </c>
      <c r="H97" s="106" t="s">
        <v>84</v>
      </c>
      <c r="I97" s="107">
        <v>4000001492</v>
      </c>
      <c r="J97" s="108">
        <v>74.8</v>
      </c>
      <c r="K97" s="106"/>
      <c r="L97" s="106">
        <v>74.8</v>
      </c>
      <c r="M97" s="114">
        <v>0</v>
      </c>
      <c r="N97" s="108">
        <v>0</v>
      </c>
      <c r="O97" s="106">
        <v>74.8</v>
      </c>
      <c r="P97" s="115">
        <v>0.53129999999999999</v>
      </c>
      <c r="Q97" s="116">
        <v>140.80000000000001</v>
      </c>
      <c r="R97" s="116">
        <v>240</v>
      </c>
      <c r="S97" s="116">
        <v>127.5</v>
      </c>
      <c r="T97" s="106" t="s">
        <v>76</v>
      </c>
      <c r="U97" s="106">
        <v>240</v>
      </c>
      <c r="V97" s="104">
        <v>490110</v>
      </c>
    </row>
    <row r="98" spans="1:22">
      <c r="A98" s="103" t="s">
        <v>47</v>
      </c>
      <c r="B98" s="104" t="s">
        <v>45</v>
      </c>
      <c r="C98" s="104" t="s">
        <v>348</v>
      </c>
      <c r="D98" s="104" t="s">
        <v>364</v>
      </c>
      <c r="E98" s="105" t="s">
        <v>73</v>
      </c>
      <c r="F98" s="106" t="s">
        <v>74</v>
      </c>
      <c r="G98" s="106" t="s">
        <v>28</v>
      </c>
      <c r="H98" s="106" t="s">
        <v>75</v>
      </c>
      <c r="I98" s="107">
        <v>4000010079</v>
      </c>
      <c r="J98" s="108">
        <v>277.14999999999998</v>
      </c>
      <c r="K98" s="106"/>
      <c r="L98" s="106">
        <v>277.14999999999998</v>
      </c>
      <c r="M98" s="114">
        <v>0</v>
      </c>
      <c r="N98" s="108">
        <v>0</v>
      </c>
      <c r="O98" s="106">
        <v>277.14999999999998</v>
      </c>
      <c r="P98" s="115">
        <v>1</v>
      </c>
      <c r="Q98" s="116">
        <v>277.14999999999998</v>
      </c>
      <c r="R98" s="116">
        <v>300</v>
      </c>
      <c r="S98" s="116">
        <v>300</v>
      </c>
      <c r="T98" s="106" t="s">
        <v>76</v>
      </c>
      <c r="U98" s="109">
        <v>300</v>
      </c>
      <c r="V98" s="104">
        <v>490300</v>
      </c>
    </row>
    <row r="99" spans="1:22">
      <c r="A99" s="103" t="s">
        <v>47</v>
      </c>
      <c r="B99" s="104" t="s">
        <v>45</v>
      </c>
      <c r="C99" s="104" t="s">
        <v>259</v>
      </c>
      <c r="D99" s="104" t="s">
        <v>365</v>
      </c>
      <c r="E99" s="105" t="s">
        <v>73</v>
      </c>
      <c r="F99" s="106" t="s">
        <v>90</v>
      </c>
      <c r="G99" s="106" t="s">
        <v>28</v>
      </c>
      <c r="H99" s="106" t="s">
        <v>75</v>
      </c>
      <c r="I99" s="107">
        <v>4000006499</v>
      </c>
      <c r="J99" s="108">
        <v>414.26</v>
      </c>
      <c r="K99" s="106"/>
      <c r="L99" s="106">
        <v>414.26</v>
      </c>
      <c r="M99" s="114">
        <v>0.18</v>
      </c>
      <c r="N99" s="108">
        <v>74.569999999999993</v>
      </c>
      <c r="O99" s="106">
        <v>488.83</v>
      </c>
      <c r="P99" s="115">
        <v>1</v>
      </c>
      <c r="Q99" s="116">
        <v>488.83</v>
      </c>
      <c r="R99" s="116">
        <v>700</v>
      </c>
      <c r="S99" s="116">
        <v>700</v>
      </c>
      <c r="T99" s="106" t="s">
        <v>76</v>
      </c>
      <c r="U99" s="106">
        <v>700</v>
      </c>
      <c r="V99" s="104">
        <v>90172090</v>
      </c>
    </row>
    <row r="100" spans="1:22">
      <c r="A100" s="103" t="s">
        <v>47</v>
      </c>
      <c r="B100" s="104" t="s">
        <v>45</v>
      </c>
      <c r="C100" s="104" t="s">
        <v>266</v>
      </c>
      <c r="D100" s="104" t="s">
        <v>366</v>
      </c>
      <c r="E100" s="105" t="s">
        <v>73</v>
      </c>
      <c r="F100" s="106" t="s">
        <v>74</v>
      </c>
      <c r="G100" s="106" t="s">
        <v>28</v>
      </c>
      <c r="H100" s="106" t="s">
        <v>75</v>
      </c>
      <c r="I100" s="107">
        <v>4000010077</v>
      </c>
      <c r="J100" s="108">
        <v>267.86</v>
      </c>
      <c r="K100" s="106"/>
      <c r="L100" s="106">
        <v>267.86</v>
      </c>
      <c r="M100" s="114">
        <v>0</v>
      </c>
      <c r="N100" s="108">
        <v>0</v>
      </c>
      <c r="O100" s="106">
        <v>267.86</v>
      </c>
      <c r="P100" s="115">
        <v>1</v>
      </c>
      <c r="Q100" s="116">
        <v>267.86</v>
      </c>
      <c r="R100" s="116">
        <v>300</v>
      </c>
      <c r="S100" s="116">
        <v>300</v>
      </c>
      <c r="T100" s="106" t="s">
        <v>76</v>
      </c>
      <c r="U100" s="106">
        <v>300</v>
      </c>
      <c r="V100" s="104">
        <v>490110</v>
      </c>
    </row>
    <row r="101" spans="1:22">
      <c r="A101" s="103" t="s">
        <v>47</v>
      </c>
      <c r="B101" s="104" t="s">
        <v>45</v>
      </c>
      <c r="C101" s="104" t="s">
        <v>352</v>
      </c>
      <c r="D101" s="104" t="s">
        <v>367</v>
      </c>
      <c r="E101" s="105" t="s">
        <v>73</v>
      </c>
      <c r="F101" s="106" t="s">
        <v>90</v>
      </c>
      <c r="G101" s="106" t="s">
        <v>28</v>
      </c>
      <c r="H101" s="106" t="s">
        <v>75</v>
      </c>
      <c r="I101" s="107">
        <v>4000007478</v>
      </c>
      <c r="J101" s="108">
        <v>269.52999999999997</v>
      </c>
      <c r="K101" s="106"/>
      <c r="L101" s="106">
        <v>269.52999999999997</v>
      </c>
      <c r="M101" s="114">
        <v>0.18</v>
      </c>
      <c r="N101" s="108">
        <v>48.52</v>
      </c>
      <c r="O101" s="106">
        <v>318.05</v>
      </c>
      <c r="P101" s="115">
        <v>1</v>
      </c>
      <c r="Q101" s="116">
        <v>318.05</v>
      </c>
      <c r="R101" s="116">
        <v>700</v>
      </c>
      <c r="S101" s="116">
        <v>700</v>
      </c>
      <c r="T101" s="106" t="s">
        <v>76</v>
      </c>
      <c r="U101" s="106">
        <v>700</v>
      </c>
      <c r="V101" s="104">
        <v>49119100</v>
      </c>
    </row>
    <row r="102" spans="1:22">
      <c r="A102" s="103" t="s">
        <v>47</v>
      </c>
      <c r="B102" s="104" t="s">
        <v>45</v>
      </c>
      <c r="C102" s="104" t="s">
        <v>271</v>
      </c>
      <c r="D102" s="104" t="s">
        <v>368</v>
      </c>
      <c r="E102" s="105" t="s">
        <v>73</v>
      </c>
      <c r="F102" s="106" t="s">
        <v>74</v>
      </c>
      <c r="G102" s="106" t="s">
        <v>28</v>
      </c>
      <c r="H102" s="106" t="s">
        <v>75</v>
      </c>
      <c r="I102" s="107">
        <v>4000010080</v>
      </c>
      <c r="J102" s="108">
        <v>54.22</v>
      </c>
      <c r="K102" s="106"/>
      <c r="L102" s="106">
        <v>54.22</v>
      </c>
      <c r="M102" s="114">
        <v>0</v>
      </c>
      <c r="N102" s="108">
        <v>0</v>
      </c>
      <c r="O102" s="106">
        <v>54.22</v>
      </c>
      <c r="P102" s="115">
        <v>1</v>
      </c>
      <c r="Q102" s="116">
        <v>54.22</v>
      </c>
      <c r="R102" s="116">
        <v>200</v>
      </c>
      <c r="S102" s="116">
        <v>200</v>
      </c>
      <c r="T102" s="106" t="s">
        <v>76</v>
      </c>
      <c r="U102" s="119">
        <v>200</v>
      </c>
      <c r="V102" s="104">
        <v>490110</v>
      </c>
    </row>
    <row r="103" spans="1:22">
      <c r="A103" s="103" t="s">
        <v>47</v>
      </c>
      <c r="B103" s="104" t="s">
        <v>46</v>
      </c>
      <c r="C103" s="104" t="s">
        <v>348</v>
      </c>
      <c r="D103" s="104" t="s">
        <v>369</v>
      </c>
      <c r="E103" s="105" t="s">
        <v>73</v>
      </c>
      <c r="F103" s="106" t="s">
        <v>74</v>
      </c>
      <c r="G103" s="106" t="s">
        <v>28</v>
      </c>
      <c r="H103" s="106" t="s">
        <v>75</v>
      </c>
      <c r="I103" s="107">
        <v>4000010082</v>
      </c>
      <c r="J103" s="108">
        <v>98.56</v>
      </c>
      <c r="K103" s="106"/>
      <c r="L103" s="106">
        <v>98.56</v>
      </c>
      <c r="M103" s="114">
        <v>0</v>
      </c>
      <c r="N103" s="108">
        <v>0</v>
      </c>
      <c r="O103" s="106">
        <v>98.56</v>
      </c>
      <c r="P103" s="115">
        <v>1</v>
      </c>
      <c r="Q103" s="116">
        <v>98.56</v>
      </c>
      <c r="R103" s="116">
        <v>300</v>
      </c>
      <c r="S103" s="116">
        <v>300</v>
      </c>
      <c r="T103" s="106" t="s">
        <v>76</v>
      </c>
      <c r="U103" s="109">
        <v>300</v>
      </c>
      <c r="V103" s="104">
        <v>490300</v>
      </c>
    </row>
    <row r="104" spans="1:22">
      <c r="A104" s="103" t="s">
        <v>47</v>
      </c>
      <c r="B104" s="104" t="s">
        <v>46</v>
      </c>
      <c r="C104" s="104" t="s">
        <v>259</v>
      </c>
      <c r="D104" s="104" t="s">
        <v>370</v>
      </c>
      <c r="E104" s="105" t="s">
        <v>73</v>
      </c>
      <c r="F104" s="106" t="s">
        <v>90</v>
      </c>
      <c r="G104" s="106" t="s">
        <v>28</v>
      </c>
      <c r="H104" s="106" t="s">
        <v>75</v>
      </c>
      <c r="I104" s="107">
        <v>4000006342</v>
      </c>
      <c r="J104" s="108">
        <v>365.6</v>
      </c>
      <c r="K104" s="106"/>
      <c r="L104" s="106">
        <v>365.6</v>
      </c>
      <c r="M104" s="114">
        <v>0.18</v>
      </c>
      <c r="N104" s="108">
        <v>65.81</v>
      </c>
      <c r="O104" s="106">
        <v>431.41</v>
      </c>
      <c r="P104" s="115">
        <v>1</v>
      </c>
      <c r="Q104" s="116">
        <v>431.41</v>
      </c>
      <c r="R104" s="116">
        <v>700</v>
      </c>
      <c r="S104" s="116">
        <v>700</v>
      </c>
      <c r="T104" s="106" t="s">
        <v>76</v>
      </c>
      <c r="U104" s="106">
        <v>700</v>
      </c>
      <c r="V104" s="104">
        <v>90172090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55"/>
  <sheetViews>
    <sheetView workbookViewId="0"/>
  </sheetViews>
  <sheetFormatPr baseColWidth="10" defaultColWidth="8.6640625" defaultRowHeight="15"/>
  <cols>
    <col min="1" max="1" width="12.33203125" customWidth="1"/>
    <col min="2" max="2" width="5.6640625" customWidth="1"/>
    <col min="3" max="3" width="8.1640625" customWidth="1"/>
    <col min="4" max="4" width="24.1640625" customWidth="1"/>
    <col min="5" max="5" width="4.1640625" customWidth="1"/>
    <col min="6" max="6" width="6.83203125" customWidth="1"/>
    <col min="7" max="7" width="7.1640625" customWidth="1"/>
    <col min="8" max="8" width="4" customWidth="1"/>
    <col min="10" max="10" width="6.1640625" customWidth="1"/>
    <col min="11" max="11" width="9" customWidth="1"/>
    <col min="12" max="12" width="8.1640625" customWidth="1"/>
    <col min="13" max="13" width="4.6640625" customWidth="1"/>
    <col min="14" max="14" width="7.1640625" customWidth="1"/>
    <col min="15" max="15" width="10.1640625" customWidth="1"/>
    <col min="16" max="16" width="5.33203125" customWidth="1"/>
    <col min="17" max="17" width="8.5" customWidth="1"/>
    <col min="18" max="18" width="8.33203125" customWidth="1"/>
    <col min="19" max="19" width="6.33203125" customWidth="1"/>
    <col min="20" max="20" width="21.5" customWidth="1"/>
    <col min="22" max="22" width="7" customWidth="1"/>
  </cols>
  <sheetData>
    <row r="1" spans="1:23" ht="25">
      <c r="A1" s="124" t="s">
        <v>49</v>
      </c>
      <c r="B1" s="124" t="s">
        <v>50</v>
      </c>
      <c r="C1" s="124" t="s">
        <v>51</v>
      </c>
      <c r="D1" s="125" t="s">
        <v>52</v>
      </c>
      <c r="E1" s="126" t="s">
        <v>53</v>
      </c>
      <c r="F1" s="124" t="s">
        <v>54</v>
      </c>
      <c r="G1" s="124" t="s">
        <v>55</v>
      </c>
      <c r="H1" s="124" t="s">
        <v>56</v>
      </c>
      <c r="I1" s="124" t="s">
        <v>57</v>
      </c>
      <c r="J1" s="127" t="s">
        <v>474</v>
      </c>
      <c r="K1" s="128" t="s">
        <v>59</v>
      </c>
      <c r="L1" s="129" t="s">
        <v>60</v>
      </c>
      <c r="M1" s="128" t="s">
        <v>61</v>
      </c>
      <c r="N1" s="130" t="s">
        <v>62</v>
      </c>
      <c r="O1" s="131" t="s">
        <v>63</v>
      </c>
      <c r="P1" s="128" t="s">
        <v>64</v>
      </c>
      <c r="Q1" s="132" t="s">
        <v>65</v>
      </c>
      <c r="R1" s="133" t="s">
        <v>66</v>
      </c>
      <c r="S1" s="133" t="s">
        <v>67</v>
      </c>
      <c r="T1" s="128" t="s">
        <v>68</v>
      </c>
      <c r="U1" s="134" t="s">
        <v>69</v>
      </c>
      <c r="V1" s="128" t="s">
        <v>469</v>
      </c>
      <c r="W1" s="128" t="s">
        <v>475</v>
      </c>
    </row>
    <row r="2" spans="1:23">
      <c r="A2" s="135" t="s">
        <v>371</v>
      </c>
      <c r="B2" s="136" t="s">
        <v>35</v>
      </c>
      <c r="C2" s="136" t="s">
        <v>372</v>
      </c>
      <c r="D2" s="136" t="s">
        <v>373</v>
      </c>
      <c r="E2" s="137" t="s">
        <v>73</v>
      </c>
      <c r="F2" s="107" t="s">
        <v>74</v>
      </c>
      <c r="G2" s="107" t="s">
        <v>31</v>
      </c>
      <c r="H2" s="138" t="s">
        <v>374</v>
      </c>
      <c r="I2" s="107" t="s">
        <v>375</v>
      </c>
      <c r="J2" s="139">
        <v>300</v>
      </c>
      <c r="K2" s="50"/>
      <c r="L2" s="139">
        <f t="shared" ref="L2:L33" si="0">J2+K2</f>
        <v>300</v>
      </c>
      <c r="M2" s="140">
        <v>0</v>
      </c>
      <c r="N2" s="139">
        <v>0</v>
      </c>
      <c r="O2" s="139">
        <f t="shared" ref="O2:O33" si="1">L2+N2</f>
        <v>300</v>
      </c>
      <c r="P2" s="141">
        <f>IFERROR(O2/Q2,"")</f>
        <v>0.14292520247737017</v>
      </c>
      <c r="Q2" s="142">
        <f>SUMIFS(O:O,E:E,E2,B:B,B2,T:T,T2)</f>
        <v>2099</v>
      </c>
      <c r="R2" s="142">
        <f>U2-SUMIFS(Q:Q,A:A,A2,B:B,B2,G:G,G2,E:E,E2,T:T,"Fixed Price ( Base Price with GST)")</f>
        <v>2099</v>
      </c>
      <c r="S2" s="142">
        <f>P2*R2</f>
        <v>300</v>
      </c>
      <c r="T2" s="107" t="s">
        <v>76</v>
      </c>
      <c r="U2" s="107">
        <f t="shared" ref="U2:U28" si="2">SUMIFS(O:O,A:A,A2,E:E,E2,B:B,B2)</f>
        <v>2099</v>
      </c>
      <c r="V2" s="143">
        <v>490110</v>
      </c>
      <c r="W2" s="143">
        <v>4000010145</v>
      </c>
    </row>
    <row r="3" spans="1:23">
      <c r="A3" s="135" t="s">
        <v>371</v>
      </c>
      <c r="B3" s="136" t="s">
        <v>35</v>
      </c>
      <c r="C3" s="136" t="s">
        <v>376</v>
      </c>
      <c r="D3" s="136" t="s">
        <v>377</v>
      </c>
      <c r="E3" s="137" t="s">
        <v>73</v>
      </c>
      <c r="F3" s="107" t="s">
        <v>74</v>
      </c>
      <c r="G3" s="107" t="s">
        <v>28</v>
      </c>
      <c r="H3" s="144" t="s">
        <v>378</v>
      </c>
      <c r="I3" s="107" t="s">
        <v>379</v>
      </c>
      <c r="J3" s="139">
        <v>300</v>
      </c>
      <c r="K3" s="107">
        <v>0</v>
      </c>
      <c r="L3" s="139">
        <f t="shared" si="0"/>
        <v>300</v>
      </c>
      <c r="M3" s="140">
        <v>0</v>
      </c>
      <c r="N3" s="139">
        <v>0</v>
      </c>
      <c r="O3" s="139">
        <f t="shared" si="1"/>
        <v>300</v>
      </c>
      <c r="P3" s="141">
        <f>IFERROR(O3/Q3,"")</f>
        <v>0.14292520247737017</v>
      </c>
      <c r="Q3" s="142">
        <f>SUMIFS(O:O,E:E,E3,B:B,B3,T:T,T3)</f>
        <v>2099</v>
      </c>
      <c r="R3" s="142">
        <f>U3-SUMIFS(Q:Q,A:A,A3,B:B,B3,G:G,G3,E:E,E3,T:T,"Fixed Price ( Base Price with GST)")</f>
        <v>2099</v>
      </c>
      <c r="S3" s="142">
        <f>P3*R3</f>
        <v>300</v>
      </c>
      <c r="T3" s="107" t="s">
        <v>76</v>
      </c>
      <c r="U3" s="107">
        <f t="shared" si="2"/>
        <v>2099</v>
      </c>
      <c r="V3" s="143">
        <v>490110</v>
      </c>
      <c r="W3" s="143">
        <v>4000010078</v>
      </c>
    </row>
    <row r="4" spans="1:23">
      <c r="A4" s="135" t="s">
        <v>371</v>
      </c>
      <c r="B4" s="136" t="s">
        <v>35</v>
      </c>
      <c r="C4" s="136" t="s">
        <v>380</v>
      </c>
      <c r="D4" s="136" t="s">
        <v>381</v>
      </c>
      <c r="E4" s="137" t="s">
        <v>73</v>
      </c>
      <c r="F4" s="144" t="s">
        <v>90</v>
      </c>
      <c r="G4" s="107" t="s">
        <v>28</v>
      </c>
      <c r="H4" s="144" t="s">
        <v>378</v>
      </c>
      <c r="I4" s="107" t="s">
        <v>382</v>
      </c>
      <c r="J4" s="145">
        <v>1121.18</v>
      </c>
      <c r="K4" s="146">
        <v>0</v>
      </c>
      <c r="L4" s="145">
        <f t="shared" si="0"/>
        <v>1121.18</v>
      </c>
      <c r="M4" s="147">
        <v>0.18</v>
      </c>
      <c r="N4" s="145">
        <v>377.82</v>
      </c>
      <c r="O4" s="145">
        <f t="shared" si="1"/>
        <v>1499</v>
      </c>
      <c r="P4" s="148">
        <v>0</v>
      </c>
      <c r="Q4" s="149">
        <f>O4</f>
        <v>1499</v>
      </c>
      <c r="R4" s="149">
        <f>Q4</f>
        <v>1499</v>
      </c>
      <c r="S4" s="149">
        <f>R4</f>
        <v>1499</v>
      </c>
      <c r="T4" s="107" t="s">
        <v>76</v>
      </c>
      <c r="U4" s="107">
        <f t="shared" si="2"/>
        <v>2099</v>
      </c>
      <c r="V4" s="150">
        <v>902300</v>
      </c>
      <c r="W4" s="150">
        <v>7000001230</v>
      </c>
    </row>
    <row r="5" spans="1:23">
      <c r="A5" s="135" t="s">
        <v>371</v>
      </c>
      <c r="B5" s="136" t="s">
        <v>36</v>
      </c>
      <c r="C5" s="136" t="s">
        <v>372</v>
      </c>
      <c r="D5" s="136" t="s">
        <v>383</v>
      </c>
      <c r="E5" s="137" t="s">
        <v>73</v>
      </c>
      <c r="F5" s="107" t="s">
        <v>74</v>
      </c>
      <c r="G5" s="107" t="s">
        <v>28</v>
      </c>
      <c r="H5" s="138" t="s">
        <v>374</v>
      </c>
      <c r="I5" s="107" t="s">
        <v>384</v>
      </c>
      <c r="J5" s="139">
        <v>300</v>
      </c>
      <c r="K5" s="50"/>
      <c r="L5" s="139">
        <f t="shared" si="0"/>
        <v>300</v>
      </c>
      <c r="M5" s="140">
        <v>0</v>
      </c>
      <c r="N5" s="139">
        <v>0</v>
      </c>
      <c r="O5" s="139">
        <f t="shared" si="1"/>
        <v>300</v>
      </c>
      <c r="P5" s="141">
        <f>IFERROR(O5/Q5,"")</f>
        <v>0.5</v>
      </c>
      <c r="Q5" s="142">
        <f>SUMIFS(O:O,E:E,E5,B:B,B5,T:T,T5)</f>
        <v>600</v>
      </c>
      <c r="R5" s="142">
        <f>U5-SUMIFS(Q:Q,A:A,A5,B:B,B5,G:G,G5,E:E,E5,T:T,"Fixed Price ( Base Price with GST)")</f>
        <v>600</v>
      </c>
      <c r="S5" s="142">
        <f>P5*R5</f>
        <v>300</v>
      </c>
      <c r="T5" s="107" t="s">
        <v>76</v>
      </c>
      <c r="U5" s="107">
        <f t="shared" si="2"/>
        <v>2099</v>
      </c>
      <c r="V5" s="143">
        <v>490110</v>
      </c>
      <c r="W5" s="143">
        <v>4000010173</v>
      </c>
    </row>
    <row r="6" spans="1:23">
      <c r="A6" s="135" t="s">
        <v>371</v>
      </c>
      <c r="B6" s="136" t="s">
        <v>36</v>
      </c>
      <c r="C6" s="136" t="s">
        <v>376</v>
      </c>
      <c r="D6" s="136" t="s">
        <v>385</v>
      </c>
      <c r="E6" s="137" t="s">
        <v>73</v>
      </c>
      <c r="F6" s="107" t="s">
        <v>74</v>
      </c>
      <c r="G6" s="107" t="s">
        <v>28</v>
      </c>
      <c r="H6" s="144" t="s">
        <v>378</v>
      </c>
      <c r="I6" s="107" t="s">
        <v>386</v>
      </c>
      <c r="J6" s="139">
        <v>300</v>
      </c>
      <c r="K6" s="107">
        <v>0</v>
      </c>
      <c r="L6" s="139">
        <f t="shared" si="0"/>
        <v>300</v>
      </c>
      <c r="M6" s="140">
        <v>0</v>
      </c>
      <c r="N6" s="139">
        <v>0</v>
      </c>
      <c r="O6" s="139">
        <f t="shared" si="1"/>
        <v>300</v>
      </c>
      <c r="P6" s="141">
        <f>IFERROR(O6/Q6,"")</f>
        <v>0.5</v>
      </c>
      <c r="Q6" s="142">
        <f>SUMIFS(O:O,E:E,E6,B:B,B6,T:T,T6)</f>
        <v>600</v>
      </c>
      <c r="R6" s="142">
        <f>U6-SUMIFS(Q:Q,A:A,A6,B:B,B6,G:G,G6,E:E,E6,T:T,"Fixed Price ( Base Price with GST)")</f>
        <v>600</v>
      </c>
      <c r="S6" s="142">
        <f>P6*R6</f>
        <v>300</v>
      </c>
      <c r="T6" s="107" t="s">
        <v>76</v>
      </c>
      <c r="U6" s="107">
        <f t="shared" si="2"/>
        <v>2099</v>
      </c>
      <c r="V6" s="143">
        <v>490110</v>
      </c>
      <c r="W6" s="143">
        <v>4000010140</v>
      </c>
    </row>
    <row r="7" spans="1:23">
      <c r="A7" s="135" t="s">
        <v>371</v>
      </c>
      <c r="B7" s="136" t="s">
        <v>36</v>
      </c>
      <c r="C7" s="136" t="s">
        <v>380</v>
      </c>
      <c r="D7" s="136" t="s">
        <v>387</v>
      </c>
      <c r="E7" s="137" t="s">
        <v>73</v>
      </c>
      <c r="F7" s="144" t="s">
        <v>90</v>
      </c>
      <c r="G7" s="107" t="s">
        <v>28</v>
      </c>
      <c r="H7" s="144" t="s">
        <v>378</v>
      </c>
      <c r="I7" s="107" t="s">
        <v>382</v>
      </c>
      <c r="J7" s="145">
        <v>1121.18</v>
      </c>
      <c r="K7" s="146">
        <v>0</v>
      </c>
      <c r="L7" s="145">
        <f t="shared" si="0"/>
        <v>1121.18</v>
      </c>
      <c r="M7" s="147">
        <v>0.18</v>
      </c>
      <c r="N7" s="145">
        <v>377.82</v>
      </c>
      <c r="O7" s="145">
        <f t="shared" si="1"/>
        <v>1499</v>
      </c>
      <c r="P7" s="148">
        <v>0</v>
      </c>
      <c r="Q7" s="149">
        <f>O7</f>
        <v>1499</v>
      </c>
      <c r="R7" s="149">
        <f>Q7</f>
        <v>1499</v>
      </c>
      <c r="S7" s="149">
        <f>R7</f>
        <v>1499</v>
      </c>
      <c r="T7" s="107" t="s">
        <v>91</v>
      </c>
      <c r="U7" s="107">
        <f t="shared" si="2"/>
        <v>2099</v>
      </c>
      <c r="V7" s="150">
        <v>902300</v>
      </c>
      <c r="W7" s="150">
        <v>7000001240</v>
      </c>
    </row>
    <row r="8" spans="1:23">
      <c r="A8" s="135" t="s">
        <v>371</v>
      </c>
      <c r="B8" s="136" t="s">
        <v>37</v>
      </c>
      <c r="C8" s="136" t="s">
        <v>372</v>
      </c>
      <c r="D8" s="136" t="s">
        <v>388</v>
      </c>
      <c r="E8" s="137" t="s">
        <v>73</v>
      </c>
      <c r="F8" s="107" t="s">
        <v>74</v>
      </c>
      <c r="G8" s="107" t="s">
        <v>28</v>
      </c>
      <c r="H8" s="138" t="s">
        <v>374</v>
      </c>
      <c r="I8" s="107" t="s">
        <v>389</v>
      </c>
      <c r="J8" s="139">
        <v>300</v>
      </c>
      <c r="K8" s="50"/>
      <c r="L8" s="139">
        <f t="shared" si="0"/>
        <v>300</v>
      </c>
      <c r="M8" s="140">
        <v>0</v>
      </c>
      <c r="N8" s="139">
        <v>0</v>
      </c>
      <c r="O8" s="139">
        <f t="shared" si="1"/>
        <v>300</v>
      </c>
      <c r="P8" s="141">
        <f>IFERROR(O8/Q8,"")</f>
        <v>0.5</v>
      </c>
      <c r="Q8" s="142">
        <f>SUMIFS(O:O,E:E,E8,B:B,B8,T:T,T8)</f>
        <v>600</v>
      </c>
      <c r="R8" s="142">
        <f>U8-SUMIFS(Q:Q,A:A,A8,B:B,B8,G:G,G8,E:E,E8,T:T,"Fixed Price ( Base Price with GST)")</f>
        <v>600</v>
      </c>
      <c r="S8" s="142">
        <f>P8*R8</f>
        <v>300</v>
      </c>
      <c r="T8" s="107" t="s">
        <v>76</v>
      </c>
      <c r="U8" s="107">
        <f t="shared" si="2"/>
        <v>2199</v>
      </c>
      <c r="V8" s="143">
        <v>490110</v>
      </c>
      <c r="W8" s="143">
        <v>4000010143</v>
      </c>
    </row>
    <row r="9" spans="1:23">
      <c r="A9" s="135" t="s">
        <v>371</v>
      </c>
      <c r="B9" s="136" t="s">
        <v>37</v>
      </c>
      <c r="C9" s="136" t="s">
        <v>376</v>
      </c>
      <c r="D9" s="136" t="s">
        <v>390</v>
      </c>
      <c r="E9" s="137" t="s">
        <v>73</v>
      </c>
      <c r="F9" s="107" t="s">
        <v>74</v>
      </c>
      <c r="G9" s="107" t="s">
        <v>28</v>
      </c>
      <c r="H9" s="144" t="s">
        <v>378</v>
      </c>
      <c r="I9" s="107" t="s">
        <v>391</v>
      </c>
      <c r="J9" s="139">
        <v>300</v>
      </c>
      <c r="K9" s="107">
        <v>0</v>
      </c>
      <c r="L9" s="139">
        <f t="shared" si="0"/>
        <v>300</v>
      </c>
      <c r="M9" s="140">
        <v>0</v>
      </c>
      <c r="N9" s="139">
        <v>0</v>
      </c>
      <c r="O9" s="139">
        <f t="shared" si="1"/>
        <v>300</v>
      </c>
      <c r="P9" s="141">
        <f>IFERROR(O9/Q9,"")</f>
        <v>0.5</v>
      </c>
      <c r="Q9" s="142">
        <f>SUMIFS(O:O,E:E,E9,B:B,B9,T:T,T9)</f>
        <v>600</v>
      </c>
      <c r="R9" s="142">
        <f>U9-SUMIFS(Q:Q,A:A,A9,B:B,B9,G:G,G9,E:E,E9,T:T,"Fixed Price ( Base Price with GST)")</f>
        <v>600</v>
      </c>
      <c r="S9" s="142">
        <f>P9*R9</f>
        <v>300</v>
      </c>
      <c r="T9" s="107" t="s">
        <v>76</v>
      </c>
      <c r="U9" s="107">
        <f t="shared" si="2"/>
        <v>2199</v>
      </c>
      <c r="V9" s="143">
        <v>490110</v>
      </c>
      <c r="W9" s="143">
        <v>4000010148</v>
      </c>
    </row>
    <row r="10" spans="1:23">
      <c r="A10" s="135" t="s">
        <v>371</v>
      </c>
      <c r="B10" s="136" t="s">
        <v>37</v>
      </c>
      <c r="C10" s="136" t="s">
        <v>380</v>
      </c>
      <c r="D10" s="136" t="s">
        <v>392</v>
      </c>
      <c r="E10" s="137" t="s">
        <v>73</v>
      </c>
      <c r="F10" s="144" t="s">
        <v>90</v>
      </c>
      <c r="G10" s="107" t="s">
        <v>28</v>
      </c>
      <c r="H10" s="144" t="s">
        <v>378</v>
      </c>
      <c r="I10" s="107" t="s">
        <v>393</v>
      </c>
      <c r="J10" s="145">
        <v>1203.18</v>
      </c>
      <c r="K10" s="146">
        <v>0</v>
      </c>
      <c r="L10" s="145">
        <f t="shared" si="0"/>
        <v>1203.18</v>
      </c>
      <c r="M10" s="147">
        <v>0.18</v>
      </c>
      <c r="N10" s="145">
        <v>395.82</v>
      </c>
      <c r="O10" s="145">
        <f t="shared" si="1"/>
        <v>1599</v>
      </c>
      <c r="P10" s="148">
        <v>0</v>
      </c>
      <c r="Q10" s="149">
        <f>O10</f>
        <v>1599</v>
      </c>
      <c r="R10" s="149">
        <f>Q10</f>
        <v>1599</v>
      </c>
      <c r="S10" s="149">
        <f>R10</f>
        <v>1599</v>
      </c>
      <c r="T10" s="107" t="s">
        <v>91</v>
      </c>
      <c r="U10" s="107">
        <f t="shared" si="2"/>
        <v>2199</v>
      </c>
      <c r="V10" s="150">
        <v>902300</v>
      </c>
      <c r="W10" s="150">
        <v>7000001241</v>
      </c>
    </row>
    <row r="11" spans="1:23">
      <c r="A11" s="135" t="s">
        <v>371</v>
      </c>
      <c r="B11" s="136" t="s">
        <v>38</v>
      </c>
      <c r="C11" s="136" t="s">
        <v>372</v>
      </c>
      <c r="D11" s="136" t="s">
        <v>394</v>
      </c>
      <c r="E11" s="137" t="s">
        <v>73</v>
      </c>
      <c r="F11" s="107" t="s">
        <v>74</v>
      </c>
      <c r="G11" s="107" t="s">
        <v>28</v>
      </c>
      <c r="H11" s="138" t="s">
        <v>374</v>
      </c>
      <c r="I11" s="107" t="s">
        <v>395</v>
      </c>
      <c r="J11" s="139">
        <v>300</v>
      </c>
      <c r="K11" s="50"/>
      <c r="L11" s="139">
        <f t="shared" si="0"/>
        <v>300</v>
      </c>
      <c r="M11" s="140">
        <v>0</v>
      </c>
      <c r="N11" s="139">
        <v>0</v>
      </c>
      <c r="O11" s="139">
        <f t="shared" si="1"/>
        <v>300</v>
      </c>
      <c r="P11" s="141">
        <f>IFERROR(O11/Q11,"")</f>
        <v>0.5</v>
      </c>
      <c r="Q11" s="142">
        <f>SUMIFS(O:O,E:E,E11,B:B,B11,T:T,T11)</f>
        <v>600</v>
      </c>
      <c r="R11" s="142">
        <f>U11-SUMIFS(Q:Q,A:A,A11,B:B,B11,G:G,G11,E:E,E11,T:T,"Fixed Price ( Base Price with GST)")</f>
        <v>600</v>
      </c>
      <c r="S11" s="142">
        <f>P11*R11</f>
        <v>300</v>
      </c>
      <c r="T11" s="107" t="s">
        <v>76</v>
      </c>
      <c r="U11" s="107">
        <f t="shared" si="2"/>
        <v>2199</v>
      </c>
      <c r="V11" s="143">
        <v>490110</v>
      </c>
      <c r="W11" s="143">
        <v>4000010151</v>
      </c>
    </row>
    <row r="12" spans="1:23">
      <c r="A12" s="135" t="s">
        <v>371</v>
      </c>
      <c r="B12" s="136" t="s">
        <v>38</v>
      </c>
      <c r="C12" s="136" t="s">
        <v>376</v>
      </c>
      <c r="D12" s="136" t="s">
        <v>396</v>
      </c>
      <c r="E12" s="137" t="s">
        <v>73</v>
      </c>
      <c r="F12" s="107" t="s">
        <v>74</v>
      </c>
      <c r="G12" s="107" t="s">
        <v>28</v>
      </c>
      <c r="H12" s="144" t="s">
        <v>378</v>
      </c>
      <c r="I12" s="107" t="s">
        <v>397</v>
      </c>
      <c r="J12" s="139">
        <v>300</v>
      </c>
      <c r="K12" s="107">
        <v>0</v>
      </c>
      <c r="L12" s="139">
        <f t="shared" si="0"/>
        <v>300</v>
      </c>
      <c r="M12" s="140">
        <v>0</v>
      </c>
      <c r="N12" s="139">
        <v>0</v>
      </c>
      <c r="O12" s="139">
        <f t="shared" si="1"/>
        <v>300</v>
      </c>
      <c r="P12" s="141">
        <f>IFERROR(O12/Q12,"")</f>
        <v>0.5</v>
      </c>
      <c r="Q12" s="142">
        <f>SUMIFS(O:O,E:E,E12,B:B,B12,T:T,T12)</f>
        <v>600</v>
      </c>
      <c r="R12" s="142">
        <f>U12-SUMIFS(Q:Q,A:A,A12,B:B,B12,G:G,G12,E:E,E12,T:T,"Fixed Price ( Base Price with GST)")</f>
        <v>600</v>
      </c>
      <c r="S12" s="142">
        <f>P12*R12</f>
        <v>300</v>
      </c>
      <c r="T12" s="107" t="s">
        <v>76</v>
      </c>
      <c r="U12" s="107">
        <f t="shared" si="2"/>
        <v>2199</v>
      </c>
      <c r="V12" s="143">
        <v>490110</v>
      </c>
      <c r="W12" s="143">
        <v>4000010155</v>
      </c>
    </row>
    <row r="13" spans="1:23">
      <c r="A13" s="135" t="s">
        <v>371</v>
      </c>
      <c r="B13" s="136" t="s">
        <v>38</v>
      </c>
      <c r="C13" s="136" t="s">
        <v>380</v>
      </c>
      <c r="D13" s="136" t="s">
        <v>398</v>
      </c>
      <c r="E13" s="137" t="s">
        <v>73</v>
      </c>
      <c r="F13" s="144" t="s">
        <v>90</v>
      </c>
      <c r="G13" s="107" t="s">
        <v>28</v>
      </c>
      <c r="H13" s="144" t="s">
        <v>378</v>
      </c>
      <c r="I13" s="107" t="s">
        <v>399</v>
      </c>
      <c r="J13" s="145">
        <v>1203.18</v>
      </c>
      <c r="K13" s="146">
        <v>0</v>
      </c>
      <c r="L13" s="145">
        <f t="shared" si="0"/>
        <v>1203.18</v>
      </c>
      <c r="M13" s="147">
        <v>0.18</v>
      </c>
      <c r="N13" s="145">
        <v>395.82</v>
      </c>
      <c r="O13" s="145">
        <f t="shared" si="1"/>
        <v>1599</v>
      </c>
      <c r="P13" s="148">
        <v>0</v>
      </c>
      <c r="Q13" s="149">
        <f>O13</f>
        <v>1599</v>
      </c>
      <c r="R13" s="149">
        <f>Q13</f>
        <v>1599</v>
      </c>
      <c r="S13" s="149">
        <f>R13</f>
        <v>1599</v>
      </c>
      <c r="T13" s="107" t="s">
        <v>91</v>
      </c>
      <c r="U13" s="107">
        <f t="shared" si="2"/>
        <v>2199</v>
      </c>
      <c r="V13" s="150">
        <v>902300</v>
      </c>
      <c r="W13" s="150">
        <v>7000001231</v>
      </c>
    </row>
    <row r="14" spans="1:23">
      <c r="A14" s="135" t="s">
        <v>371</v>
      </c>
      <c r="B14" s="136" t="s">
        <v>39</v>
      </c>
      <c r="C14" s="136" t="s">
        <v>372</v>
      </c>
      <c r="D14" s="136" t="s">
        <v>400</v>
      </c>
      <c r="E14" s="137" t="s">
        <v>73</v>
      </c>
      <c r="F14" s="107" t="s">
        <v>74</v>
      </c>
      <c r="G14" s="107" t="s">
        <v>28</v>
      </c>
      <c r="H14" s="138" t="s">
        <v>374</v>
      </c>
      <c r="I14" s="107" t="s">
        <v>401</v>
      </c>
      <c r="J14" s="139">
        <v>300</v>
      </c>
      <c r="K14" s="50"/>
      <c r="L14" s="139">
        <f t="shared" si="0"/>
        <v>300</v>
      </c>
      <c r="M14" s="140">
        <v>0</v>
      </c>
      <c r="N14" s="139">
        <v>0</v>
      </c>
      <c r="O14" s="139">
        <f t="shared" si="1"/>
        <v>300</v>
      </c>
      <c r="P14" s="141">
        <f>IFERROR(O14/Q14,"")</f>
        <v>0.5</v>
      </c>
      <c r="Q14" s="142">
        <f>SUMIFS(O:O,E:E,E14,B:B,B14,T:T,T14)</f>
        <v>600</v>
      </c>
      <c r="R14" s="142">
        <f>U14-SUMIFS(Q:Q,A:A,A14,B:B,B14,G:G,G14,E:E,E14,T:T,"Fixed Price ( Base Price with GST)")</f>
        <v>600</v>
      </c>
      <c r="S14" s="142">
        <f>P14*R14</f>
        <v>300</v>
      </c>
      <c r="T14" s="107" t="s">
        <v>76</v>
      </c>
      <c r="U14" s="107">
        <f t="shared" si="2"/>
        <v>2199</v>
      </c>
      <c r="V14" s="143">
        <v>490110</v>
      </c>
      <c r="W14" s="143">
        <v>4000010159</v>
      </c>
    </row>
    <row r="15" spans="1:23">
      <c r="A15" s="135" t="s">
        <v>371</v>
      </c>
      <c r="B15" s="136" t="s">
        <v>39</v>
      </c>
      <c r="C15" s="136" t="s">
        <v>376</v>
      </c>
      <c r="D15" s="136" t="s">
        <v>402</v>
      </c>
      <c r="E15" s="137" t="s">
        <v>73</v>
      </c>
      <c r="F15" s="107" t="s">
        <v>74</v>
      </c>
      <c r="G15" s="107" t="s">
        <v>28</v>
      </c>
      <c r="H15" s="144" t="s">
        <v>378</v>
      </c>
      <c r="I15" s="107" t="s">
        <v>403</v>
      </c>
      <c r="J15" s="139">
        <v>300</v>
      </c>
      <c r="K15" s="107">
        <v>0</v>
      </c>
      <c r="L15" s="139">
        <f t="shared" si="0"/>
        <v>300</v>
      </c>
      <c r="M15" s="140">
        <v>0</v>
      </c>
      <c r="N15" s="139">
        <v>0</v>
      </c>
      <c r="O15" s="139">
        <f t="shared" si="1"/>
        <v>300</v>
      </c>
      <c r="P15" s="141">
        <f>IFERROR(O15/Q15,"")</f>
        <v>0.5</v>
      </c>
      <c r="Q15" s="142">
        <f>SUMIFS(O:O,E:E,E15,B:B,B15,T:T,T15)</f>
        <v>600</v>
      </c>
      <c r="R15" s="142">
        <f>U15-SUMIFS(Q:Q,A:A,A15,B:B,B15,G:G,G15,E:E,E15,T:T,"Fixed Price ( Base Price with GST)")</f>
        <v>600</v>
      </c>
      <c r="S15" s="142">
        <f>P15*R15</f>
        <v>300</v>
      </c>
      <c r="T15" s="107" t="s">
        <v>76</v>
      </c>
      <c r="U15" s="107">
        <f t="shared" si="2"/>
        <v>2199</v>
      </c>
      <c r="V15" s="143">
        <v>490110</v>
      </c>
      <c r="W15" s="143">
        <v>4000010163</v>
      </c>
    </row>
    <row r="16" spans="1:23">
      <c r="A16" s="135" t="s">
        <v>371</v>
      </c>
      <c r="B16" s="136" t="s">
        <v>39</v>
      </c>
      <c r="C16" s="136" t="s">
        <v>380</v>
      </c>
      <c r="D16" s="136" t="s">
        <v>404</v>
      </c>
      <c r="E16" s="137" t="s">
        <v>73</v>
      </c>
      <c r="F16" s="144" t="s">
        <v>90</v>
      </c>
      <c r="G16" s="107" t="s">
        <v>28</v>
      </c>
      <c r="H16" s="144" t="s">
        <v>378</v>
      </c>
      <c r="I16" s="107" t="s">
        <v>405</v>
      </c>
      <c r="J16" s="145">
        <v>1203.18</v>
      </c>
      <c r="K16" s="146">
        <v>0</v>
      </c>
      <c r="L16" s="145">
        <f t="shared" si="0"/>
        <v>1203.18</v>
      </c>
      <c r="M16" s="147">
        <v>0.18</v>
      </c>
      <c r="N16" s="145">
        <v>395.82</v>
      </c>
      <c r="O16" s="145">
        <f t="shared" si="1"/>
        <v>1599</v>
      </c>
      <c r="P16" s="148">
        <v>0</v>
      </c>
      <c r="Q16" s="149">
        <f>O16</f>
        <v>1599</v>
      </c>
      <c r="R16" s="149">
        <f>Q16</f>
        <v>1599</v>
      </c>
      <c r="S16" s="149">
        <f>R16</f>
        <v>1599</v>
      </c>
      <c r="T16" s="107" t="s">
        <v>91</v>
      </c>
      <c r="U16" s="107">
        <f t="shared" si="2"/>
        <v>2199</v>
      </c>
      <c r="V16" s="150">
        <v>902300</v>
      </c>
      <c r="W16" s="150">
        <v>7000001242</v>
      </c>
    </row>
    <row r="17" spans="1:23">
      <c r="A17" s="135" t="s">
        <v>371</v>
      </c>
      <c r="B17" s="136" t="s">
        <v>40</v>
      </c>
      <c r="C17" s="136" t="s">
        <v>372</v>
      </c>
      <c r="D17" s="136" t="s">
        <v>406</v>
      </c>
      <c r="E17" s="137" t="s">
        <v>73</v>
      </c>
      <c r="F17" s="107" t="s">
        <v>74</v>
      </c>
      <c r="G17" s="107" t="s">
        <v>28</v>
      </c>
      <c r="H17" s="138" t="s">
        <v>374</v>
      </c>
      <c r="I17" s="107" t="s">
        <v>407</v>
      </c>
      <c r="J17" s="139">
        <v>300</v>
      </c>
      <c r="K17" s="50"/>
      <c r="L17" s="139">
        <f t="shared" si="0"/>
        <v>300</v>
      </c>
      <c r="M17" s="140">
        <v>0</v>
      </c>
      <c r="N17" s="139">
        <v>0</v>
      </c>
      <c r="O17" s="139">
        <f t="shared" si="1"/>
        <v>300</v>
      </c>
      <c r="P17" s="141">
        <f>IFERROR(O17/Q17,"")</f>
        <v>0.5</v>
      </c>
      <c r="Q17" s="142">
        <f>SUMIFS(O:O,E:E,E17,B:B,B17,T:T,T17)</f>
        <v>600</v>
      </c>
      <c r="R17" s="142">
        <f>U17-SUMIFS(Q:Q,A:A,A17,B:B,B17,G:G,G17,E:E,E17,T:T,"Fixed Price ( Base Price with GST)")</f>
        <v>600</v>
      </c>
      <c r="S17" s="142">
        <f>P17*R17</f>
        <v>300</v>
      </c>
      <c r="T17" s="107" t="s">
        <v>76</v>
      </c>
      <c r="U17" s="107">
        <f t="shared" si="2"/>
        <v>2499</v>
      </c>
      <c r="V17" s="143">
        <v>490110</v>
      </c>
      <c r="W17" s="143">
        <v>4000010165</v>
      </c>
    </row>
    <row r="18" spans="1:23">
      <c r="A18" s="135" t="s">
        <v>371</v>
      </c>
      <c r="B18" s="136" t="s">
        <v>40</v>
      </c>
      <c r="C18" s="136" t="s">
        <v>376</v>
      </c>
      <c r="D18" s="136" t="s">
        <v>408</v>
      </c>
      <c r="E18" s="137" t="s">
        <v>73</v>
      </c>
      <c r="F18" s="107" t="s">
        <v>74</v>
      </c>
      <c r="G18" s="107" t="s">
        <v>28</v>
      </c>
      <c r="H18" s="144" t="s">
        <v>378</v>
      </c>
      <c r="I18" s="107" t="s">
        <v>409</v>
      </c>
      <c r="J18" s="139">
        <v>300</v>
      </c>
      <c r="K18" s="107">
        <v>0</v>
      </c>
      <c r="L18" s="139">
        <f t="shared" si="0"/>
        <v>300</v>
      </c>
      <c r="M18" s="140">
        <v>0</v>
      </c>
      <c r="N18" s="139">
        <v>0</v>
      </c>
      <c r="O18" s="139">
        <f t="shared" si="1"/>
        <v>300</v>
      </c>
      <c r="P18" s="141">
        <f>IFERROR(O18/Q18,"")</f>
        <v>0.5</v>
      </c>
      <c r="Q18" s="142">
        <f>SUMIFS(O:O,E:E,E18,B:B,B18,T:T,T18)</f>
        <v>600</v>
      </c>
      <c r="R18" s="142">
        <f>U18-SUMIFS(Q:Q,A:A,A18,B:B,B18,G:G,G18,E:E,E18,T:T,"Fixed Price ( Base Price with GST)")</f>
        <v>600</v>
      </c>
      <c r="S18" s="142">
        <f>P18*R18</f>
        <v>300</v>
      </c>
      <c r="T18" s="107" t="s">
        <v>76</v>
      </c>
      <c r="U18" s="107">
        <f t="shared" si="2"/>
        <v>2499</v>
      </c>
      <c r="V18" s="143">
        <v>490110</v>
      </c>
      <c r="W18" s="143">
        <v>4000010171</v>
      </c>
    </row>
    <row r="19" spans="1:23">
      <c r="A19" s="135" t="s">
        <v>371</v>
      </c>
      <c r="B19" s="136" t="s">
        <v>40</v>
      </c>
      <c r="C19" s="136" t="s">
        <v>380</v>
      </c>
      <c r="D19" s="136" t="s">
        <v>410</v>
      </c>
      <c r="E19" s="137" t="s">
        <v>73</v>
      </c>
      <c r="F19" s="144" t="s">
        <v>90</v>
      </c>
      <c r="G19" s="107" t="s">
        <v>28</v>
      </c>
      <c r="H19" s="144" t="s">
        <v>378</v>
      </c>
      <c r="I19" s="107" t="s">
        <v>411</v>
      </c>
      <c r="J19" s="145">
        <v>1449.18</v>
      </c>
      <c r="K19" s="146">
        <v>0</v>
      </c>
      <c r="L19" s="145">
        <f t="shared" si="0"/>
        <v>1449.18</v>
      </c>
      <c r="M19" s="147">
        <v>0.18</v>
      </c>
      <c r="N19" s="145">
        <v>449.82</v>
      </c>
      <c r="O19" s="145">
        <f t="shared" si="1"/>
        <v>1899</v>
      </c>
      <c r="P19" s="148">
        <v>0</v>
      </c>
      <c r="Q19" s="149">
        <f>O19</f>
        <v>1899</v>
      </c>
      <c r="R19" s="149">
        <f>Q19</f>
        <v>1899</v>
      </c>
      <c r="S19" s="149">
        <f>R19</f>
        <v>1899</v>
      </c>
      <c r="T19" s="107" t="s">
        <v>91</v>
      </c>
      <c r="U19" s="107">
        <f t="shared" si="2"/>
        <v>2499</v>
      </c>
      <c r="V19" s="150">
        <v>902300</v>
      </c>
      <c r="W19" s="150">
        <v>7000001232</v>
      </c>
    </row>
    <row r="20" spans="1:23">
      <c r="A20" s="135" t="s">
        <v>371</v>
      </c>
      <c r="B20" s="135" t="s">
        <v>41</v>
      </c>
      <c r="C20" s="135" t="s">
        <v>372</v>
      </c>
      <c r="D20" s="135" t="s">
        <v>412</v>
      </c>
      <c r="E20" s="151" t="s">
        <v>73</v>
      </c>
      <c r="F20" s="152" t="s">
        <v>74</v>
      </c>
      <c r="G20" s="107" t="s">
        <v>28</v>
      </c>
      <c r="H20" s="138" t="s">
        <v>374</v>
      </c>
      <c r="I20" s="152" t="s">
        <v>413</v>
      </c>
      <c r="J20" s="153">
        <v>300</v>
      </c>
      <c r="K20" s="50"/>
      <c r="L20" s="153">
        <f t="shared" si="0"/>
        <v>300</v>
      </c>
      <c r="M20" s="154">
        <v>0</v>
      </c>
      <c r="N20" s="153">
        <v>0</v>
      </c>
      <c r="O20" s="153">
        <f t="shared" si="1"/>
        <v>300</v>
      </c>
      <c r="P20" s="155">
        <f>IFERROR(O20/Q20,"")</f>
        <v>0.5</v>
      </c>
      <c r="Q20" s="156">
        <f>SUMIFS(O:O,E:E,E20,B:B,B20,T:T,T20)</f>
        <v>600</v>
      </c>
      <c r="R20" s="156">
        <f>U20-SUMIFS(Q:Q,A:A,A20,B:B,B20,G:G,G20,E:E,E20,T:T,"Fixed Price ( Base Price with GST)")</f>
        <v>600</v>
      </c>
      <c r="S20" s="156">
        <f>P20*R20</f>
        <v>300</v>
      </c>
      <c r="T20" s="152" t="s">
        <v>76</v>
      </c>
      <c r="U20" s="152">
        <f t="shared" si="2"/>
        <v>2699</v>
      </c>
      <c r="V20" s="157">
        <v>490110</v>
      </c>
      <c r="W20" s="143">
        <v>4000010051</v>
      </c>
    </row>
    <row r="21" spans="1:23">
      <c r="A21" s="135" t="s">
        <v>371</v>
      </c>
      <c r="B21" s="135" t="s">
        <v>41</v>
      </c>
      <c r="C21" s="135" t="s">
        <v>376</v>
      </c>
      <c r="D21" s="135" t="s">
        <v>414</v>
      </c>
      <c r="E21" s="151" t="s">
        <v>73</v>
      </c>
      <c r="F21" s="152" t="s">
        <v>74</v>
      </c>
      <c r="G21" s="107" t="s">
        <v>28</v>
      </c>
      <c r="H21" s="144" t="s">
        <v>378</v>
      </c>
      <c r="I21" s="152" t="s">
        <v>415</v>
      </c>
      <c r="J21" s="153">
        <v>300</v>
      </c>
      <c r="K21" s="152">
        <v>0</v>
      </c>
      <c r="L21" s="153">
        <f t="shared" si="0"/>
        <v>300</v>
      </c>
      <c r="M21" s="154">
        <v>0</v>
      </c>
      <c r="N21" s="153">
        <v>0</v>
      </c>
      <c r="O21" s="153">
        <f t="shared" si="1"/>
        <v>300</v>
      </c>
      <c r="P21" s="155">
        <f>IFERROR(O21/Q21,"")</f>
        <v>0.5</v>
      </c>
      <c r="Q21" s="156">
        <f>SUMIFS(O:O,E:E,E21,B:B,B21,T:T,T21)</f>
        <v>600</v>
      </c>
      <c r="R21" s="156">
        <f>U21-SUMIFS(Q:Q,A:A,A21,B:B,B21,G:G,G21,E:E,E21,T:T,"Fixed Price ( Base Price with GST)")</f>
        <v>600</v>
      </c>
      <c r="S21" s="156">
        <f>P21*R21</f>
        <v>300</v>
      </c>
      <c r="T21" s="152" t="s">
        <v>76</v>
      </c>
      <c r="U21" s="152">
        <f t="shared" si="2"/>
        <v>2699</v>
      </c>
      <c r="V21" s="157">
        <v>490110</v>
      </c>
      <c r="W21" s="143">
        <v>4000010057</v>
      </c>
    </row>
    <row r="22" spans="1:23">
      <c r="A22" s="135" t="s">
        <v>371</v>
      </c>
      <c r="B22" s="135" t="s">
        <v>41</v>
      </c>
      <c r="C22" s="135" t="s">
        <v>380</v>
      </c>
      <c r="D22" s="135" t="s">
        <v>416</v>
      </c>
      <c r="E22" s="151" t="s">
        <v>73</v>
      </c>
      <c r="F22" s="144" t="s">
        <v>90</v>
      </c>
      <c r="G22" s="107" t="s">
        <v>28</v>
      </c>
      <c r="H22" s="144" t="s">
        <v>378</v>
      </c>
      <c r="I22" s="152" t="s">
        <v>417</v>
      </c>
      <c r="J22" s="145">
        <v>1613.18</v>
      </c>
      <c r="K22" s="158">
        <v>0</v>
      </c>
      <c r="L22" s="159">
        <f t="shared" si="0"/>
        <v>1613.18</v>
      </c>
      <c r="M22" s="160">
        <v>0.18</v>
      </c>
      <c r="N22" s="145">
        <v>485.82</v>
      </c>
      <c r="O22" s="159">
        <f t="shared" si="1"/>
        <v>2099</v>
      </c>
      <c r="P22" s="161">
        <v>0</v>
      </c>
      <c r="Q22" s="162">
        <f>O22</f>
        <v>2099</v>
      </c>
      <c r="R22" s="162">
        <f>Q22</f>
        <v>2099</v>
      </c>
      <c r="S22" s="162">
        <f>R22</f>
        <v>2099</v>
      </c>
      <c r="T22" s="152" t="s">
        <v>91</v>
      </c>
      <c r="U22" s="152">
        <f t="shared" si="2"/>
        <v>2699</v>
      </c>
      <c r="V22" s="163">
        <v>902300</v>
      </c>
      <c r="W22" s="163">
        <v>7000001233</v>
      </c>
    </row>
    <row r="23" spans="1:23">
      <c r="A23" s="135" t="s">
        <v>371</v>
      </c>
      <c r="B23" s="135" t="s">
        <v>42</v>
      </c>
      <c r="C23" s="135" t="s">
        <v>372</v>
      </c>
      <c r="D23" s="135" t="s">
        <v>418</v>
      </c>
      <c r="E23" s="151" t="s">
        <v>73</v>
      </c>
      <c r="F23" s="152" t="s">
        <v>74</v>
      </c>
      <c r="G23" s="107" t="s">
        <v>28</v>
      </c>
      <c r="H23" s="138" t="s">
        <v>374</v>
      </c>
      <c r="I23" s="152" t="s">
        <v>419</v>
      </c>
      <c r="J23" s="153">
        <v>300</v>
      </c>
      <c r="K23" s="50"/>
      <c r="L23" s="153">
        <f t="shared" si="0"/>
        <v>300</v>
      </c>
      <c r="M23" s="154">
        <v>0</v>
      </c>
      <c r="N23" s="153">
        <v>0</v>
      </c>
      <c r="O23" s="153">
        <f t="shared" si="1"/>
        <v>300</v>
      </c>
      <c r="P23" s="155">
        <f>IFERROR(O23/Q23,"")</f>
        <v>0.5</v>
      </c>
      <c r="Q23" s="156">
        <f>SUMIFS(O:O,E:E,E23,B:B,B23,T:T,T23)</f>
        <v>600</v>
      </c>
      <c r="R23" s="156">
        <f>U23-SUMIFS(Q:Q,A:A,A23,B:B,B23,G:G,G23,E:E,E23,T:T,"Fixed Price ( Base Price with GST)")</f>
        <v>600</v>
      </c>
      <c r="S23" s="156">
        <f>P23*R23</f>
        <v>300</v>
      </c>
      <c r="T23" s="152" t="s">
        <v>76</v>
      </c>
      <c r="U23" s="152">
        <f t="shared" si="2"/>
        <v>2699</v>
      </c>
      <c r="V23" s="157">
        <v>490110</v>
      </c>
      <c r="W23" s="143">
        <v>4000010059</v>
      </c>
    </row>
    <row r="24" spans="1:23">
      <c r="A24" s="135" t="s">
        <v>371</v>
      </c>
      <c r="B24" s="135" t="s">
        <v>42</v>
      </c>
      <c r="C24" s="135" t="s">
        <v>376</v>
      </c>
      <c r="D24" s="135" t="s">
        <v>420</v>
      </c>
      <c r="E24" s="151" t="s">
        <v>73</v>
      </c>
      <c r="F24" s="152" t="s">
        <v>74</v>
      </c>
      <c r="G24" s="107" t="s">
        <v>28</v>
      </c>
      <c r="H24" s="144" t="s">
        <v>378</v>
      </c>
      <c r="I24" s="152" t="s">
        <v>421</v>
      </c>
      <c r="J24" s="153">
        <v>300</v>
      </c>
      <c r="K24" s="152">
        <v>0</v>
      </c>
      <c r="L24" s="153">
        <f t="shared" si="0"/>
        <v>300</v>
      </c>
      <c r="M24" s="154">
        <v>0</v>
      </c>
      <c r="N24" s="153">
        <v>0</v>
      </c>
      <c r="O24" s="153">
        <f t="shared" si="1"/>
        <v>300</v>
      </c>
      <c r="P24" s="155">
        <f>IFERROR(O24/Q24,"")</f>
        <v>0.5</v>
      </c>
      <c r="Q24" s="156">
        <f>SUMIFS(O:O,E:E,E24,B:B,B24,T:T,T24)</f>
        <v>600</v>
      </c>
      <c r="R24" s="156">
        <f>U24-SUMIFS(Q:Q,A:A,A24,B:B,B24,G:G,G24,E:E,E24,T:T,"Fixed Price ( Base Price with GST)")</f>
        <v>600</v>
      </c>
      <c r="S24" s="156">
        <f>P24*R24</f>
        <v>300</v>
      </c>
      <c r="T24" s="152" t="s">
        <v>76</v>
      </c>
      <c r="U24" s="152">
        <f t="shared" si="2"/>
        <v>2699</v>
      </c>
      <c r="V24" s="157">
        <v>490110</v>
      </c>
      <c r="W24" s="143">
        <v>4000010064</v>
      </c>
    </row>
    <row r="25" spans="1:23">
      <c r="A25" s="135" t="s">
        <v>371</v>
      </c>
      <c r="B25" s="135" t="s">
        <v>42</v>
      </c>
      <c r="C25" s="135" t="s">
        <v>380</v>
      </c>
      <c r="D25" s="135" t="s">
        <v>422</v>
      </c>
      <c r="E25" s="151" t="s">
        <v>73</v>
      </c>
      <c r="F25" s="144" t="s">
        <v>90</v>
      </c>
      <c r="G25" s="107" t="s">
        <v>28</v>
      </c>
      <c r="H25" s="144" t="s">
        <v>378</v>
      </c>
      <c r="I25" s="152" t="s">
        <v>423</v>
      </c>
      <c r="J25" s="145">
        <v>1613.18</v>
      </c>
      <c r="K25" s="158">
        <v>0</v>
      </c>
      <c r="L25" s="159">
        <f t="shared" si="0"/>
        <v>1613.18</v>
      </c>
      <c r="M25" s="160">
        <v>0.18</v>
      </c>
      <c r="N25" s="145">
        <v>485.82</v>
      </c>
      <c r="O25" s="159">
        <f t="shared" si="1"/>
        <v>2099</v>
      </c>
      <c r="P25" s="161">
        <v>0</v>
      </c>
      <c r="Q25" s="162">
        <f>O25</f>
        <v>2099</v>
      </c>
      <c r="R25" s="162">
        <f>Q25</f>
        <v>2099</v>
      </c>
      <c r="S25" s="162">
        <f>R25</f>
        <v>2099</v>
      </c>
      <c r="T25" s="152" t="s">
        <v>91</v>
      </c>
      <c r="U25" s="152">
        <f t="shared" si="2"/>
        <v>2699</v>
      </c>
      <c r="V25" s="163">
        <v>902300</v>
      </c>
      <c r="W25" s="163">
        <v>7000001243</v>
      </c>
    </row>
    <row r="26" spans="1:23">
      <c r="A26" s="135" t="s">
        <v>371</v>
      </c>
      <c r="B26" s="135" t="s">
        <v>48</v>
      </c>
      <c r="C26" s="135" t="s">
        <v>372</v>
      </c>
      <c r="D26" s="135" t="s">
        <v>424</v>
      </c>
      <c r="E26" s="151" t="s">
        <v>73</v>
      </c>
      <c r="F26" s="152" t="s">
        <v>74</v>
      </c>
      <c r="G26" s="107" t="s">
        <v>28</v>
      </c>
      <c r="H26" s="138" t="s">
        <v>374</v>
      </c>
      <c r="I26" s="152" t="s">
        <v>425</v>
      </c>
      <c r="J26" s="153">
        <v>300</v>
      </c>
      <c r="K26" s="50"/>
      <c r="L26" s="153">
        <f t="shared" si="0"/>
        <v>300</v>
      </c>
      <c r="M26" s="154">
        <v>0</v>
      </c>
      <c r="N26" s="153">
        <v>0</v>
      </c>
      <c r="O26" s="153">
        <f t="shared" si="1"/>
        <v>300</v>
      </c>
      <c r="P26" s="155">
        <f>IFERROR(O26/Q26,"")</f>
        <v>0.5</v>
      </c>
      <c r="Q26" s="156">
        <f>SUMIFS(O:O,E:E,E26,B:B,B26,T:T,T26)</f>
        <v>600</v>
      </c>
      <c r="R26" s="156">
        <f>U26-SUMIFS(Q:Q,A:A,A26,B:B,B26,G:G,G26,E:E,E26,T:T,"Fixed Price ( Base Price with GST)")</f>
        <v>600</v>
      </c>
      <c r="S26" s="156">
        <f>P26*R26</f>
        <v>300</v>
      </c>
      <c r="T26" s="152" t="s">
        <v>76</v>
      </c>
      <c r="U26" s="152">
        <f t="shared" si="2"/>
        <v>2699</v>
      </c>
      <c r="V26" s="157">
        <v>490110</v>
      </c>
      <c r="W26" s="143">
        <v>4000010066</v>
      </c>
    </row>
    <row r="27" spans="1:23">
      <c r="A27" s="135" t="s">
        <v>371</v>
      </c>
      <c r="B27" s="135" t="s">
        <v>48</v>
      </c>
      <c r="C27" s="135" t="s">
        <v>376</v>
      </c>
      <c r="D27" s="135" t="s">
        <v>426</v>
      </c>
      <c r="E27" s="151" t="s">
        <v>73</v>
      </c>
      <c r="F27" s="152" t="s">
        <v>74</v>
      </c>
      <c r="G27" s="107" t="s">
        <v>28</v>
      </c>
      <c r="H27" s="144" t="s">
        <v>378</v>
      </c>
      <c r="I27" s="152" t="s">
        <v>427</v>
      </c>
      <c r="J27" s="153">
        <v>300</v>
      </c>
      <c r="K27" s="152">
        <v>0</v>
      </c>
      <c r="L27" s="153">
        <f t="shared" si="0"/>
        <v>300</v>
      </c>
      <c r="M27" s="154">
        <v>0</v>
      </c>
      <c r="N27" s="153">
        <v>0</v>
      </c>
      <c r="O27" s="153">
        <f t="shared" si="1"/>
        <v>300</v>
      </c>
      <c r="P27" s="155">
        <f>IFERROR(O27/Q27,"")</f>
        <v>0.5</v>
      </c>
      <c r="Q27" s="156">
        <f>SUMIFS(O:O,E:E,E27,B:B,B27,T:T,T27)</f>
        <v>600</v>
      </c>
      <c r="R27" s="156">
        <f>U27-SUMIFS(Q:Q,A:A,A27,B:B,B27,G:G,G27,E:E,E27,T:T,"Fixed Price ( Base Price with GST)")</f>
        <v>600</v>
      </c>
      <c r="S27" s="156">
        <f>P27*R27</f>
        <v>300</v>
      </c>
      <c r="T27" s="152" t="s">
        <v>76</v>
      </c>
      <c r="U27" s="152">
        <f t="shared" si="2"/>
        <v>2699</v>
      </c>
      <c r="V27" s="157">
        <v>490110</v>
      </c>
      <c r="W27" s="143">
        <v>4000010068</v>
      </c>
    </row>
    <row r="28" spans="1:23">
      <c r="A28" s="135" t="s">
        <v>371</v>
      </c>
      <c r="B28" s="135" t="s">
        <v>48</v>
      </c>
      <c r="C28" s="135" t="s">
        <v>380</v>
      </c>
      <c r="D28" s="135" t="s">
        <v>428</v>
      </c>
      <c r="E28" s="151" t="s">
        <v>73</v>
      </c>
      <c r="F28" s="144" t="s">
        <v>90</v>
      </c>
      <c r="G28" s="107" t="s">
        <v>28</v>
      </c>
      <c r="H28" s="144" t="s">
        <v>378</v>
      </c>
      <c r="I28" s="152" t="s">
        <v>429</v>
      </c>
      <c r="J28" s="145">
        <v>1613.18</v>
      </c>
      <c r="K28" s="158">
        <v>0</v>
      </c>
      <c r="L28" s="159">
        <f t="shared" si="0"/>
        <v>1613.18</v>
      </c>
      <c r="M28" s="160">
        <v>0.18</v>
      </c>
      <c r="N28" s="145">
        <v>485.82</v>
      </c>
      <c r="O28" s="159">
        <f t="shared" si="1"/>
        <v>2099</v>
      </c>
      <c r="P28" s="161">
        <v>0</v>
      </c>
      <c r="Q28" s="162">
        <f>O28</f>
        <v>2099</v>
      </c>
      <c r="R28" s="162">
        <f>Q28</f>
        <v>2099</v>
      </c>
      <c r="S28" s="162">
        <f>R28</f>
        <v>2099</v>
      </c>
      <c r="T28" s="152" t="s">
        <v>91</v>
      </c>
      <c r="U28" s="152">
        <f t="shared" si="2"/>
        <v>2699</v>
      </c>
      <c r="V28" s="163">
        <v>902300</v>
      </c>
      <c r="W28" s="163">
        <v>7000000215</v>
      </c>
    </row>
    <row r="29" spans="1:23">
      <c r="A29" s="135" t="s">
        <v>371</v>
      </c>
      <c r="B29" s="164" t="s">
        <v>35</v>
      </c>
      <c r="C29" s="164" t="s">
        <v>372</v>
      </c>
      <c r="D29" s="136" t="s">
        <v>373</v>
      </c>
      <c r="E29" s="165" t="s">
        <v>430</v>
      </c>
      <c r="F29" s="146" t="s">
        <v>74</v>
      </c>
      <c r="G29" s="107" t="s">
        <v>28</v>
      </c>
      <c r="H29" s="138" t="s">
        <v>374</v>
      </c>
      <c r="I29" s="107" t="s">
        <v>375</v>
      </c>
      <c r="J29" s="139">
        <v>300</v>
      </c>
      <c r="K29" s="50"/>
      <c r="L29" s="139">
        <f t="shared" si="0"/>
        <v>300</v>
      </c>
      <c r="M29" s="140">
        <v>0</v>
      </c>
      <c r="N29" s="139">
        <v>0</v>
      </c>
      <c r="O29" s="139">
        <f t="shared" si="1"/>
        <v>300</v>
      </c>
      <c r="P29" s="141">
        <f>IFERROR(O29/Q29,"")</f>
        <v>0.5</v>
      </c>
      <c r="Q29" s="142">
        <f>SUMIFS(O:O,E:E,E29,B:B,B29,T:T,T29)</f>
        <v>600</v>
      </c>
      <c r="R29" s="142">
        <f>U29-SUMIFS(Q:Q,A:A,A29,B:B,B29,G:G,G29,E:E,E29,T:T,"Fixed Price ( Base Price with GST)")</f>
        <v>600</v>
      </c>
      <c r="S29" s="142">
        <f>P29*R29</f>
        <v>300</v>
      </c>
      <c r="T29" s="107" t="s">
        <v>76</v>
      </c>
      <c r="U29" s="107">
        <v>1099</v>
      </c>
      <c r="V29" s="143">
        <v>490110</v>
      </c>
      <c r="W29" s="143">
        <v>4000010145</v>
      </c>
    </row>
    <row r="30" spans="1:23">
      <c r="A30" s="135" t="s">
        <v>371</v>
      </c>
      <c r="B30" s="164" t="s">
        <v>35</v>
      </c>
      <c r="C30" s="164" t="s">
        <v>376</v>
      </c>
      <c r="D30" s="136" t="s">
        <v>377</v>
      </c>
      <c r="E30" s="165" t="s">
        <v>430</v>
      </c>
      <c r="F30" s="146" t="s">
        <v>74</v>
      </c>
      <c r="G30" s="107" t="s">
        <v>28</v>
      </c>
      <c r="H30" s="144" t="s">
        <v>378</v>
      </c>
      <c r="I30" s="107" t="s">
        <v>379</v>
      </c>
      <c r="J30" s="139">
        <v>300</v>
      </c>
      <c r="K30" s="107">
        <v>0</v>
      </c>
      <c r="L30" s="139">
        <f t="shared" si="0"/>
        <v>300</v>
      </c>
      <c r="M30" s="140">
        <v>0</v>
      </c>
      <c r="N30" s="139">
        <v>0</v>
      </c>
      <c r="O30" s="139">
        <f t="shared" si="1"/>
        <v>300</v>
      </c>
      <c r="P30" s="141">
        <f>IFERROR(O30/Q30,"")</f>
        <v>0.5</v>
      </c>
      <c r="Q30" s="142">
        <f>SUMIFS(O:O,E:E,E30,B:B,B30,T:T,T30)</f>
        <v>600</v>
      </c>
      <c r="R30" s="142">
        <f>U30-SUMIFS(Q:Q,A:A,A30,B:B,B30,G:G,G30,E:E,E30,T:T,"Fixed Price ( Base Price with GST)")</f>
        <v>600</v>
      </c>
      <c r="S30" s="142">
        <f>P30*R30</f>
        <v>300</v>
      </c>
      <c r="T30" s="107" t="s">
        <v>76</v>
      </c>
      <c r="U30" s="107">
        <f t="shared" ref="U30:U55" si="3">SUMIFS(O:O,A:A,A30,E:E,E30,B:B,B30)</f>
        <v>1099</v>
      </c>
      <c r="V30" s="143">
        <v>490110</v>
      </c>
      <c r="W30" s="143">
        <v>4000010078</v>
      </c>
    </row>
    <row r="31" spans="1:23">
      <c r="A31" s="135" t="s">
        <v>371</v>
      </c>
      <c r="B31" s="164" t="s">
        <v>35</v>
      </c>
      <c r="C31" s="164" t="s">
        <v>380</v>
      </c>
      <c r="D31" s="164" t="s">
        <v>381</v>
      </c>
      <c r="E31" s="165" t="s">
        <v>430</v>
      </c>
      <c r="F31" s="144" t="s">
        <v>90</v>
      </c>
      <c r="G31" s="107" t="s">
        <v>28</v>
      </c>
      <c r="H31" s="144" t="s">
        <v>378</v>
      </c>
      <c r="I31" s="107" t="s">
        <v>382</v>
      </c>
      <c r="J31" s="145">
        <v>301.18</v>
      </c>
      <c r="K31" s="146">
        <v>0</v>
      </c>
      <c r="L31" s="145">
        <f t="shared" si="0"/>
        <v>301.18</v>
      </c>
      <c r="M31" s="147">
        <v>0.18</v>
      </c>
      <c r="N31" s="145">
        <v>197.82</v>
      </c>
      <c r="O31" s="145">
        <f t="shared" si="1"/>
        <v>499</v>
      </c>
      <c r="P31" s="148">
        <v>0</v>
      </c>
      <c r="Q31" s="149">
        <f>O31</f>
        <v>499</v>
      </c>
      <c r="R31" s="149">
        <f>Q31</f>
        <v>499</v>
      </c>
      <c r="S31" s="149">
        <f>R31</f>
        <v>499</v>
      </c>
      <c r="T31" s="107" t="s">
        <v>91</v>
      </c>
      <c r="U31" s="107">
        <f t="shared" si="3"/>
        <v>1099</v>
      </c>
      <c r="V31" s="150">
        <v>902300</v>
      </c>
      <c r="W31" s="150">
        <v>7000001230</v>
      </c>
    </row>
    <row r="32" spans="1:23">
      <c r="A32" s="135" t="s">
        <v>371</v>
      </c>
      <c r="B32" s="164" t="s">
        <v>36</v>
      </c>
      <c r="C32" s="164" t="s">
        <v>372</v>
      </c>
      <c r="D32" s="136" t="s">
        <v>383</v>
      </c>
      <c r="E32" s="165" t="s">
        <v>430</v>
      </c>
      <c r="F32" s="146" t="s">
        <v>74</v>
      </c>
      <c r="G32" s="107" t="s">
        <v>28</v>
      </c>
      <c r="H32" s="138" t="s">
        <v>374</v>
      </c>
      <c r="I32" s="107" t="s">
        <v>384</v>
      </c>
      <c r="J32" s="139">
        <v>300</v>
      </c>
      <c r="K32" s="50"/>
      <c r="L32" s="139">
        <f t="shared" si="0"/>
        <v>300</v>
      </c>
      <c r="M32" s="140">
        <v>0</v>
      </c>
      <c r="N32" s="139">
        <v>0</v>
      </c>
      <c r="O32" s="139">
        <f t="shared" si="1"/>
        <v>300</v>
      </c>
      <c r="P32" s="141">
        <f>IFERROR(O32/Q32,"")</f>
        <v>0.5</v>
      </c>
      <c r="Q32" s="142">
        <f>SUMIFS(O:O,E:E,E32,B:B,B32,T:T,T32)</f>
        <v>600</v>
      </c>
      <c r="R32" s="142">
        <f>U32-SUMIFS(Q:Q,A:A,A32,B:B,B32,G:G,G32,E:E,E32,T:T,"Fixed Price ( Base Price with GST)")</f>
        <v>600</v>
      </c>
      <c r="S32" s="142">
        <f>P32*R32</f>
        <v>300</v>
      </c>
      <c r="T32" s="107" t="s">
        <v>76</v>
      </c>
      <c r="U32" s="107">
        <f t="shared" si="3"/>
        <v>1099</v>
      </c>
      <c r="V32" s="143">
        <v>490110</v>
      </c>
      <c r="W32" s="143">
        <v>4000010173</v>
      </c>
    </row>
    <row r="33" spans="1:23">
      <c r="A33" s="135" t="s">
        <v>371</v>
      </c>
      <c r="B33" s="164" t="s">
        <v>36</v>
      </c>
      <c r="C33" s="164" t="s">
        <v>376</v>
      </c>
      <c r="D33" s="136" t="s">
        <v>385</v>
      </c>
      <c r="E33" s="165" t="s">
        <v>430</v>
      </c>
      <c r="F33" s="146" t="s">
        <v>74</v>
      </c>
      <c r="G33" s="107" t="s">
        <v>28</v>
      </c>
      <c r="H33" s="144" t="s">
        <v>378</v>
      </c>
      <c r="I33" s="107" t="s">
        <v>386</v>
      </c>
      <c r="J33" s="139">
        <v>300</v>
      </c>
      <c r="K33" s="107">
        <v>0</v>
      </c>
      <c r="L33" s="139">
        <f t="shared" si="0"/>
        <v>300</v>
      </c>
      <c r="M33" s="140">
        <v>0</v>
      </c>
      <c r="N33" s="139">
        <v>0</v>
      </c>
      <c r="O33" s="139">
        <f t="shared" si="1"/>
        <v>300</v>
      </c>
      <c r="P33" s="141">
        <f>IFERROR(O33/Q33,"")</f>
        <v>0.5</v>
      </c>
      <c r="Q33" s="142">
        <f>SUMIFS(O:O,E:E,E33,B:B,B33,T:T,T33)</f>
        <v>600</v>
      </c>
      <c r="R33" s="142">
        <f>U33-SUMIFS(Q:Q,A:A,A33,B:B,B33,G:G,G33,E:E,E33,T:T,"Fixed Price ( Base Price with GST)")</f>
        <v>600</v>
      </c>
      <c r="S33" s="142">
        <f>P33*R33</f>
        <v>300</v>
      </c>
      <c r="T33" s="107" t="s">
        <v>76</v>
      </c>
      <c r="U33" s="107">
        <f t="shared" si="3"/>
        <v>1099</v>
      </c>
      <c r="V33" s="143">
        <v>490110</v>
      </c>
      <c r="W33" s="143">
        <v>4000010140</v>
      </c>
    </row>
    <row r="34" spans="1:23">
      <c r="A34" s="135" t="s">
        <v>371</v>
      </c>
      <c r="B34" s="164" t="s">
        <v>36</v>
      </c>
      <c r="C34" s="164" t="s">
        <v>380</v>
      </c>
      <c r="D34" s="164" t="s">
        <v>387</v>
      </c>
      <c r="E34" s="165" t="s">
        <v>430</v>
      </c>
      <c r="F34" s="144" t="s">
        <v>90</v>
      </c>
      <c r="G34" s="107" t="s">
        <v>28</v>
      </c>
      <c r="H34" s="144" t="s">
        <v>378</v>
      </c>
      <c r="I34" s="107" t="s">
        <v>382</v>
      </c>
      <c r="J34" s="145">
        <v>301.18</v>
      </c>
      <c r="K34" s="146">
        <v>0</v>
      </c>
      <c r="L34" s="145">
        <f t="shared" ref="L34:L55" si="4">J34+K34</f>
        <v>301.18</v>
      </c>
      <c r="M34" s="147">
        <v>0.18</v>
      </c>
      <c r="N34" s="145">
        <v>197.82</v>
      </c>
      <c r="O34" s="145">
        <f t="shared" ref="O34:O55" si="5">L34+N34</f>
        <v>499</v>
      </c>
      <c r="P34" s="148">
        <v>0</v>
      </c>
      <c r="Q34" s="149">
        <f>O34</f>
        <v>499</v>
      </c>
      <c r="R34" s="149">
        <f>Q34</f>
        <v>499</v>
      </c>
      <c r="S34" s="149">
        <f>R34</f>
        <v>499</v>
      </c>
      <c r="T34" s="107" t="s">
        <v>91</v>
      </c>
      <c r="U34" s="107">
        <f t="shared" si="3"/>
        <v>1099</v>
      </c>
      <c r="V34" s="150">
        <v>902300</v>
      </c>
      <c r="W34" s="150">
        <v>7000001240</v>
      </c>
    </row>
    <row r="35" spans="1:23">
      <c r="A35" s="135" t="s">
        <v>371</v>
      </c>
      <c r="B35" s="164" t="s">
        <v>37</v>
      </c>
      <c r="C35" s="164" t="s">
        <v>372</v>
      </c>
      <c r="D35" s="164" t="s">
        <v>388</v>
      </c>
      <c r="E35" s="165" t="s">
        <v>430</v>
      </c>
      <c r="F35" s="146" t="s">
        <v>74</v>
      </c>
      <c r="G35" s="107" t="s">
        <v>28</v>
      </c>
      <c r="H35" s="138" t="s">
        <v>374</v>
      </c>
      <c r="I35" s="107" t="s">
        <v>389</v>
      </c>
      <c r="J35" s="139">
        <v>300</v>
      </c>
      <c r="K35" s="50"/>
      <c r="L35" s="139">
        <f t="shared" si="4"/>
        <v>300</v>
      </c>
      <c r="M35" s="140">
        <v>0</v>
      </c>
      <c r="N35" s="139">
        <v>0</v>
      </c>
      <c r="O35" s="139">
        <f t="shared" si="5"/>
        <v>300</v>
      </c>
      <c r="P35" s="141">
        <f>IFERROR(O35/Q35,"")</f>
        <v>0.5</v>
      </c>
      <c r="Q35" s="142">
        <f>SUMIFS(O:O,E:E,E35,B:B,B35,T:T,T35)</f>
        <v>600</v>
      </c>
      <c r="R35" s="142">
        <f>U35-SUMIFS(Q:Q,A:A,A35,B:B,B35,G:G,G35,E:E,E35,T:T,"Fixed Price ( Base Price with GST)")</f>
        <v>600</v>
      </c>
      <c r="S35" s="142">
        <f>P35*R35</f>
        <v>300</v>
      </c>
      <c r="T35" s="107" t="s">
        <v>76</v>
      </c>
      <c r="U35" s="107">
        <f t="shared" si="3"/>
        <v>1099</v>
      </c>
      <c r="V35" s="143">
        <v>490110</v>
      </c>
      <c r="W35" s="143">
        <v>4000010143</v>
      </c>
    </row>
    <row r="36" spans="1:23">
      <c r="A36" s="135" t="s">
        <v>371</v>
      </c>
      <c r="B36" s="164" t="s">
        <v>37</v>
      </c>
      <c r="C36" s="164" t="s">
        <v>376</v>
      </c>
      <c r="D36" s="164" t="s">
        <v>390</v>
      </c>
      <c r="E36" s="165" t="s">
        <v>430</v>
      </c>
      <c r="F36" s="146" t="s">
        <v>74</v>
      </c>
      <c r="G36" s="107" t="s">
        <v>28</v>
      </c>
      <c r="H36" s="144" t="s">
        <v>378</v>
      </c>
      <c r="I36" s="107" t="s">
        <v>391</v>
      </c>
      <c r="J36" s="139">
        <v>300</v>
      </c>
      <c r="K36" s="107">
        <v>0</v>
      </c>
      <c r="L36" s="139">
        <f t="shared" si="4"/>
        <v>300</v>
      </c>
      <c r="M36" s="140">
        <v>0</v>
      </c>
      <c r="N36" s="139">
        <v>0</v>
      </c>
      <c r="O36" s="139">
        <f t="shared" si="5"/>
        <v>300</v>
      </c>
      <c r="P36" s="141">
        <f>IFERROR(O36/Q36,"")</f>
        <v>0.5</v>
      </c>
      <c r="Q36" s="142">
        <f>SUMIFS(O:O,E:E,E36,B:B,B36,T:T,T36)</f>
        <v>600</v>
      </c>
      <c r="R36" s="142">
        <f>U36-SUMIFS(Q:Q,A:A,A36,B:B,B36,G:G,G36,E:E,E36,T:T,"Fixed Price ( Base Price with GST)")</f>
        <v>600</v>
      </c>
      <c r="S36" s="142">
        <f>P36*R36</f>
        <v>300</v>
      </c>
      <c r="T36" s="107" t="s">
        <v>76</v>
      </c>
      <c r="U36" s="107">
        <f t="shared" si="3"/>
        <v>1099</v>
      </c>
      <c r="V36" s="143">
        <v>490110</v>
      </c>
      <c r="W36" s="143">
        <v>4000010148</v>
      </c>
    </row>
    <row r="37" spans="1:23">
      <c r="A37" s="135" t="s">
        <v>371</v>
      </c>
      <c r="B37" s="164" t="s">
        <v>37</v>
      </c>
      <c r="C37" s="164" t="s">
        <v>380</v>
      </c>
      <c r="D37" s="164" t="s">
        <v>392</v>
      </c>
      <c r="E37" s="165" t="s">
        <v>430</v>
      </c>
      <c r="F37" s="144" t="s">
        <v>90</v>
      </c>
      <c r="G37" s="107" t="s">
        <v>28</v>
      </c>
      <c r="H37" s="144" t="s">
        <v>378</v>
      </c>
      <c r="I37" s="107" t="s">
        <v>393</v>
      </c>
      <c r="J37" s="145">
        <v>301.18</v>
      </c>
      <c r="K37" s="146">
        <v>0</v>
      </c>
      <c r="L37" s="145">
        <f t="shared" si="4"/>
        <v>301.18</v>
      </c>
      <c r="M37" s="147">
        <v>0.18</v>
      </c>
      <c r="N37" s="145">
        <v>197.82</v>
      </c>
      <c r="O37" s="145">
        <f t="shared" si="5"/>
        <v>499</v>
      </c>
      <c r="P37" s="148">
        <v>0</v>
      </c>
      <c r="Q37" s="149">
        <f>O37</f>
        <v>499</v>
      </c>
      <c r="R37" s="149">
        <f>Q37</f>
        <v>499</v>
      </c>
      <c r="S37" s="149">
        <f>R37</f>
        <v>499</v>
      </c>
      <c r="T37" s="107" t="s">
        <v>91</v>
      </c>
      <c r="U37" s="107">
        <f t="shared" si="3"/>
        <v>1099</v>
      </c>
      <c r="V37" s="150">
        <v>902300</v>
      </c>
      <c r="W37" s="150">
        <v>7000001241</v>
      </c>
    </row>
    <row r="38" spans="1:23">
      <c r="A38" s="135" t="s">
        <v>371</v>
      </c>
      <c r="B38" s="164" t="s">
        <v>38</v>
      </c>
      <c r="C38" s="164" t="s">
        <v>372</v>
      </c>
      <c r="D38" s="164" t="s">
        <v>394</v>
      </c>
      <c r="E38" s="165" t="s">
        <v>430</v>
      </c>
      <c r="F38" s="146" t="s">
        <v>74</v>
      </c>
      <c r="G38" s="107" t="s">
        <v>28</v>
      </c>
      <c r="H38" s="138" t="s">
        <v>374</v>
      </c>
      <c r="I38" s="107" t="s">
        <v>395</v>
      </c>
      <c r="J38" s="139">
        <v>300</v>
      </c>
      <c r="K38" s="50"/>
      <c r="L38" s="139">
        <f t="shared" si="4"/>
        <v>300</v>
      </c>
      <c r="M38" s="140">
        <v>0</v>
      </c>
      <c r="N38" s="139">
        <v>0</v>
      </c>
      <c r="O38" s="139">
        <f t="shared" si="5"/>
        <v>300</v>
      </c>
      <c r="P38" s="141">
        <f>IFERROR(O38/Q38,"")</f>
        <v>0.5</v>
      </c>
      <c r="Q38" s="142">
        <f>SUMIFS(O:O,E:E,E38,B:B,B38,T:T,T38)</f>
        <v>600</v>
      </c>
      <c r="R38" s="142">
        <f>U38-SUMIFS(Q:Q,A:A,A38,B:B,B38,G:G,G38,E:E,E38,T:T,"Fixed Price ( Base Price with GST)")</f>
        <v>600</v>
      </c>
      <c r="S38" s="142">
        <f>P38*R38</f>
        <v>300</v>
      </c>
      <c r="T38" s="107" t="s">
        <v>76</v>
      </c>
      <c r="U38" s="107">
        <f t="shared" si="3"/>
        <v>1099</v>
      </c>
      <c r="V38" s="143">
        <v>490110</v>
      </c>
      <c r="W38" s="143">
        <v>4000010151</v>
      </c>
    </row>
    <row r="39" spans="1:23">
      <c r="A39" s="135" t="s">
        <v>371</v>
      </c>
      <c r="B39" s="164" t="s">
        <v>38</v>
      </c>
      <c r="C39" s="164" t="s">
        <v>376</v>
      </c>
      <c r="D39" s="164" t="s">
        <v>396</v>
      </c>
      <c r="E39" s="165" t="s">
        <v>430</v>
      </c>
      <c r="F39" s="146" t="s">
        <v>74</v>
      </c>
      <c r="G39" s="107" t="s">
        <v>28</v>
      </c>
      <c r="H39" s="144" t="s">
        <v>378</v>
      </c>
      <c r="I39" s="107" t="s">
        <v>397</v>
      </c>
      <c r="J39" s="139">
        <v>300</v>
      </c>
      <c r="K39" s="107">
        <v>0</v>
      </c>
      <c r="L39" s="139">
        <f t="shared" si="4"/>
        <v>300</v>
      </c>
      <c r="M39" s="140">
        <v>0</v>
      </c>
      <c r="N39" s="139">
        <v>0</v>
      </c>
      <c r="O39" s="139">
        <f t="shared" si="5"/>
        <v>300</v>
      </c>
      <c r="P39" s="141">
        <f>IFERROR(O39/Q39,"")</f>
        <v>0.5</v>
      </c>
      <c r="Q39" s="142">
        <f>SUMIFS(O:O,E:E,E39,B:B,B39,T:T,T39)</f>
        <v>600</v>
      </c>
      <c r="R39" s="142">
        <f>U39-SUMIFS(Q:Q,A:A,A39,B:B,B39,G:G,G39,E:E,E39,T:T,"Fixed Price ( Base Price with GST)")</f>
        <v>600</v>
      </c>
      <c r="S39" s="142">
        <f>P39*R39</f>
        <v>300</v>
      </c>
      <c r="T39" s="107" t="s">
        <v>76</v>
      </c>
      <c r="U39" s="107">
        <f t="shared" si="3"/>
        <v>1099</v>
      </c>
      <c r="V39" s="143">
        <v>490110</v>
      </c>
      <c r="W39" s="143">
        <v>4000010155</v>
      </c>
    </row>
    <row r="40" spans="1:23">
      <c r="A40" s="135" t="s">
        <v>371</v>
      </c>
      <c r="B40" s="164" t="s">
        <v>38</v>
      </c>
      <c r="C40" s="164" t="s">
        <v>380</v>
      </c>
      <c r="D40" s="164" t="s">
        <v>398</v>
      </c>
      <c r="E40" s="165" t="s">
        <v>430</v>
      </c>
      <c r="F40" s="144" t="s">
        <v>90</v>
      </c>
      <c r="G40" s="107" t="s">
        <v>28</v>
      </c>
      <c r="H40" s="144" t="s">
        <v>378</v>
      </c>
      <c r="I40" s="107" t="s">
        <v>399</v>
      </c>
      <c r="J40" s="145">
        <v>301.18</v>
      </c>
      <c r="K40" s="146">
        <v>0</v>
      </c>
      <c r="L40" s="145">
        <f t="shared" si="4"/>
        <v>301.18</v>
      </c>
      <c r="M40" s="147">
        <v>0.18</v>
      </c>
      <c r="N40" s="145">
        <v>197.82</v>
      </c>
      <c r="O40" s="145">
        <f t="shared" si="5"/>
        <v>499</v>
      </c>
      <c r="P40" s="148">
        <v>0</v>
      </c>
      <c r="Q40" s="149">
        <f>O40</f>
        <v>499</v>
      </c>
      <c r="R40" s="149">
        <f>Q40</f>
        <v>499</v>
      </c>
      <c r="S40" s="149">
        <f>R40</f>
        <v>499</v>
      </c>
      <c r="T40" s="107" t="s">
        <v>91</v>
      </c>
      <c r="U40" s="107">
        <f t="shared" si="3"/>
        <v>1099</v>
      </c>
      <c r="V40" s="150">
        <v>902300</v>
      </c>
      <c r="W40" s="150">
        <v>7000001231</v>
      </c>
    </row>
    <row r="41" spans="1:23">
      <c r="A41" s="135" t="s">
        <v>371</v>
      </c>
      <c r="B41" s="164" t="s">
        <v>39</v>
      </c>
      <c r="C41" s="164" t="s">
        <v>372</v>
      </c>
      <c r="D41" s="164" t="s">
        <v>400</v>
      </c>
      <c r="E41" s="165" t="s">
        <v>430</v>
      </c>
      <c r="F41" s="146" t="s">
        <v>74</v>
      </c>
      <c r="G41" s="107" t="s">
        <v>28</v>
      </c>
      <c r="H41" s="138" t="s">
        <v>374</v>
      </c>
      <c r="I41" s="107" t="s">
        <v>401</v>
      </c>
      <c r="J41" s="139">
        <v>300</v>
      </c>
      <c r="K41" s="50"/>
      <c r="L41" s="139">
        <f t="shared" si="4"/>
        <v>300</v>
      </c>
      <c r="M41" s="140">
        <v>0</v>
      </c>
      <c r="N41" s="139">
        <v>0</v>
      </c>
      <c r="O41" s="139">
        <f t="shared" si="5"/>
        <v>300</v>
      </c>
      <c r="P41" s="141">
        <f>IFERROR(O41/Q41,"")</f>
        <v>0.5</v>
      </c>
      <c r="Q41" s="142">
        <f>SUMIFS(O:O,E:E,E41,B:B,B41,T:T,T41)</f>
        <v>600</v>
      </c>
      <c r="R41" s="142">
        <f>U41-SUMIFS(Q:Q,A:A,A41,B:B,B41,G:G,G41,E:E,E41,T:T,"Fixed Price ( Base Price with GST)")</f>
        <v>600</v>
      </c>
      <c r="S41" s="142">
        <f>P41*R41</f>
        <v>300</v>
      </c>
      <c r="T41" s="107" t="s">
        <v>76</v>
      </c>
      <c r="U41" s="107">
        <f t="shared" si="3"/>
        <v>1099</v>
      </c>
      <c r="V41" s="143">
        <v>490110</v>
      </c>
      <c r="W41" s="143">
        <v>4000010159</v>
      </c>
    </row>
    <row r="42" spans="1:23">
      <c r="A42" s="135" t="s">
        <v>371</v>
      </c>
      <c r="B42" s="164" t="s">
        <v>39</v>
      </c>
      <c r="C42" s="164" t="s">
        <v>376</v>
      </c>
      <c r="D42" s="164" t="s">
        <v>402</v>
      </c>
      <c r="E42" s="165" t="s">
        <v>430</v>
      </c>
      <c r="F42" s="146" t="s">
        <v>74</v>
      </c>
      <c r="G42" s="107" t="s">
        <v>28</v>
      </c>
      <c r="H42" s="144" t="s">
        <v>378</v>
      </c>
      <c r="I42" s="107" t="s">
        <v>403</v>
      </c>
      <c r="J42" s="139">
        <v>300</v>
      </c>
      <c r="K42" s="107">
        <v>0</v>
      </c>
      <c r="L42" s="139">
        <f t="shared" si="4"/>
        <v>300</v>
      </c>
      <c r="M42" s="140">
        <v>0</v>
      </c>
      <c r="N42" s="139">
        <v>0</v>
      </c>
      <c r="O42" s="139">
        <f t="shared" si="5"/>
        <v>300</v>
      </c>
      <c r="P42" s="141">
        <f>IFERROR(O42/Q42,"")</f>
        <v>0.5</v>
      </c>
      <c r="Q42" s="142">
        <f>SUMIFS(O:O,E:E,E42,B:B,B42,T:T,T42)</f>
        <v>600</v>
      </c>
      <c r="R42" s="142">
        <f>U42-SUMIFS(Q:Q,A:A,A42,B:B,B42,G:G,G42,E:E,E42,T:T,"Fixed Price ( Base Price with GST)")</f>
        <v>600</v>
      </c>
      <c r="S42" s="142">
        <f>P42*R42</f>
        <v>300</v>
      </c>
      <c r="T42" s="107" t="s">
        <v>76</v>
      </c>
      <c r="U42" s="107">
        <f t="shared" si="3"/>
        <v>1099</v>
      </c>
      <c r="V42" s="143">
        <v>490110</v>
      </c>
      <c r="W42" s="143">
        <v>4000010163</v>
      </c>
    </row>
    <row r="43" spans="1:23">
      <c r="A43" s="135" t="s">
        <v>371</v>
      </c>
      <c r="B43" s="164" t="s">
        <v>39</v>
      </c>
      <c r="C43" s="164" t="s">
        <v>380</v>
      </c>
      <c r="D43" s="164" t="s">
        <v>404</v>
      </c>
      <c r="E43" s="165" t="s">
        <v>430</v>
      </c>
      <c r="F43" s="144" t="s">
        <v>90</v>
      </c>
      <c r="G43" s="107" t="s">
        <v>28</v>
      </c>
      <c r="H43" s="144" t="s">
        <v>378</v>
      </c>
      <c r="I43" s="107" t="s">
        <v>405</v>
      </c>
      <c r="J43" s="145">
        <v>301.18</v>
      </c>
      <c r="K43" s="146">
        <v>0</v>
      </c>
      <c r="L43" s="145">
        <f t="shared" si="4"/>
        <v>301.18</v>
      </c>
      <c r="M43" s="147">
        <v>0.18</v>
      </c>
      <c r="N43" s="145">
        <v>197.82</v>
      </c>
      <c r="O43" s="145">
        <f t="shared" si="5"/>
        <v>499</v>
      </c>
      <c r="P43" s="148">
        <v>0</v>
      </c>
      <c r="Q43" s="149">
        <f>O43</f>
        <v>499</v>
      </c>
      <c r="R43" s="149">
        <f>Q43</f>
        <v>499</v>
      </c>
      <c r="S43" s="149">
        <f>R43</f>
        <v>499</v>
      </c>
      <c r="T43" s="107" t="s">
        <v>91</v>
      </c>
      <c r="U43" s="107">
        <f t="shared" si="3"/>
        <v>1099</v>
      </c>
      <c r="V43" s="150">
        <v>902300</v>
      </c>
      <c r="W43" s="150">
        <v>7000001242</v>
      </c>
    </row>
    <row r="44" spans="1:23">
      <c r="A44" s="135" t="s">
        <v>371</v>
      </c>
      <c r="B44" s="164" t="s">
        <v>40</v>
      </c>
      <c r="C44" s="164" t="s">
        <v>372</v>
      </c>
      <c r="D44" s="164" t="s">
        <v>406</v>
      </c>
      <c r="E44" s="165" t="s">
        <v>430</v>
      </c>
      <c r="F44" s="146" t="s">
        <v>74</v>
      </c>
      <c r="G44" s="107" t="s">
        <v>28</v>
      </c>
      <c r="H44" s="138" t="s">
        <v>374</v>
      </c>
      <c r="I44" s="107" t="s">
        <v>407</v>
      </c>
      <c r="J44" s="139">
        <v>300</v>
      </c>
      <c r="K44" s="50"/>
      <c r="L44" s="139">
        <f t="shared" si="4"/>
        <v>300</v>
      </c>
      <c r="M44" s="140">
        <v>0</v>
      </c>
      <c r="N44" s="139">
        <v>0</v>
      </c>
      <c r="O44" s="139">
        <f t="shared" si="5"/>
        <v>300</v>
      </c>
      <c r="P44" s="141">
        <f>IFERROR(O44/Q44,"")</f>
        <v>0.5</v>
      </c>
      <c r="Q44" s="142">
        <f>SUMIFS(O:O,E:E,E44,B:B,B44,T:T,T44)</f>
        <v>600</v>
      </c>
      <c r="R44" s="142">
        <f>U44-SUMIFS(Q:Q,A:A,A44,B:B,B44,G:G,G44,E:E,E44,T:T,"Fixed Price ( Base Price with GST)")</f>
        <v>600</v>
      </c>
      <c r="S44" s="142">
        <f>P44*R44</f>
        <v>300</v>
      </c>
      <c r="T44" s="107" t="s">
        <v>76</v>
      </c>
      <c r="U44" s="107">
        <f t="shared" si="3"/>
        <v>1199</v>
      </c>
      <c r="V44" s="143">
        <v>490110</v>
      </c>
      <c r="W44" s="143">
        <v>4000010165</v>
      </c>
    </row>
    <row r="45" spans="1:23">
      <c r="A45" s="135" t="s">
        <v>371</v>
      </c>
      <c r="B45" s="164" t="s">
        <v>40</v>
      </c>
      <c r="C45" s="164" t="s">
        <v>376</v>
      </c>
      <c r="D45" s="164" t="s">
        <v>408</v>
      </c>
      <c r="E45" s="165" t="s">
        <v>430</v>
      </c>
      <c r="F45" s="146" t="s">
        <v>74</v>
      </c>
      <c r="G45" s="107" t="s">
        <v>28</v>
      </c>
      <c r="H45" s="144" t="s">
        <v>378</v>
      </c>
      <c r="I45" s="107" t="s">
        <v>409</v>
      </c>
      <c r="J45" s="139">
        <v>300</v>
      </c>
      <c r="K45" s="107">
        <v>0</v>
      </c>
      <c r="L45" s="139">
        <f t="shared" si="4"/>
        <v>300</v>
      </c>
      <c r="M45" s="140">
        <v>0</v>
      </c>
      <c r="N45" s="139">
        <v>0</v>
      </c>
      <c r="O45" s="139">
        <f t="shared" si="5"/>
        <v>300</v>
      </c>
      <c r="P45" s="141">
        <f>IFERROR(O45/Q45,"")</f>
        <v>0.5</v>
      </c>
      <c r="Q45" s="142">
        <f>SUMIFS(O:O,E:E,E45,B:B,B45,T:T,T45)</f>
        <v>600</v>
      </c>
      <c r="R45" s="142">
        <f>U45-SUMIFS(Q:Q,A:A,A45,B:B,B45,G:G,G45,E:E,E45,T:T,"Fixed Price ( Base Price with GST)")</f>
        <v>600</v>
      </c>
      <c r="S45" s="142">
        <f>P45*R45</f>
        <v>300</v>
      </c>
      <c r="T45" s="107" t="s">
        <v>76</v>
      </c>
      <c r="U45" s="107">
        <f t="shared" si="3"/>
        <v>1199</v>
      </c>
      <c r="V45" s="143">
        <v>490110</v>
      </c>
      <c r="W45" s="143">
        <v>4000010171</v>
      </c>
    </row>
    <row r="46" spans="1:23">
      <c r="A46" s="135" t="s">
        <v>371</v>
      </c>
      <c r="B46" s="164" t="s">
        <v>40</v>
      </c>
      <c r="C46" s="164" t="s">
        <v>380</v>
      </c>
      <c r="D46" s="164" t="s">
        <v>410</v>
      </c>
      <c r="E46" s="165" t="s">
        <v>430</v>
      </c>
      <c r="F46" s="144" t="s">
        <v>90</v>
      </c>
      <c r="G46" s="107" t="s">
        <v>28</v>
      </c>
      <c r="H46" s="144" t="s">
        <v>378</v>
      </c>
      <c r="I46" s="107" t="s">
        <v>411</v>
      </c>
      <c r="J46" s="145">
        <v>383.18</v>
      </c>
      <c r="K46" s="146">
        <v>0</v>
      </c>
      <c r="L46" s="145">
        <f t="shared" si="4"/>
        <v>383.18</v>
      </c>
      <c r="M46" s="147">
        <v>0.18</v>
      </c>
      <c r="N46" s="145">
        <v>215.82</v>
      </c>
      <c r="O46" s="145">
        <f t="shared" si="5"/>
        <v>599</v>
      </c>
      <c r="P46" s="148">
        <v>0</v>
      </c>
      <c r="Q46" s="149">
        <f>O46</f>
        <v>599</v>
      </c>
      <c r="R46" s="149">
        <f>Q46</f>
        <v>599</v>
      </c>
      <c r="S46" s="149">
        <f>R46</f>
        <v>599</v>
      </c>
      <c r="T46" s="107" t="s">
        <v>91</v>
      </c>
      <c r="U46" s="107">
        <f t="shared" si="3"/>
        <v>1199</v>
      </c>
      <c r="V46" s="150">
        <v>902300</v>
      </c>
      <c r="W46" s="150">
        <v>7000001232</v>
      </c>
    </row>
    <row r="47" spans="1:23">
      <c r="A47" s="135" t="s">
        <v>371</v>
      </c>
      <c r="B47" s="164" t="s">
        <v>41</v>
      </c>
      <c r="C47" s="164" t="s">
        <v>372</v>
      </c>
      <c r="D47" s="164" t="s">
        <v>412</v>
      </c>
      <c r="E47" s="165" t="s">
        <v>430</v>
      </c>
      <c r="F47" s="146" t="s">
        <v>74</v>
      </c>
      <c r="G47" s="107" t="s">
        <v>28</v>
      </c>
      <c r="H47" s="138" t="s">
        <v>374</v>
      </c>
      <c r="I47" s="107" t="s">
        <v>413</v>
      </c>
      <c r="J47" s="139">
        <v>300</v>
      </c>
      <c r="K47" s="50"/>
      <c r="L47" s="139">
        <f t="shared" si="4"/>
        <v>300</v>
      </c>
      <c r="M47" s="140">
        <v>0</v>
      </c>
      <c r="N47" s="139">
        <v>0</v>
      </c>
      <c r="O47" s="139">
        <f t="shared" si="5"/>
        <v>300</v>
      </c>
      <c r="P47" s="141">
        <f>IFERROR(O47/Q47,"")</f>
        <v>0.5</v>
      </c>
      <c r="Q47" s="142">
        <f>SUMIFS(O:O,E:E,E47,B:B,B47,T:T,T47)</f>
        <v>600</v>
      </c>
      <c r="R47" s="142">
        <f>U47-SUMIFS(Q:Q,A:A,A47,B:B,B47,G:G,G47,E:E,E47,T:T,"Fixed Price ( Base Price with GST)")</f>
        <v>600</v>
      </c>
      <c r="S47" s="142">
        <f>P47*R47</f>
        <v>300</v>
      </c>
      <c r="T47" s="107" t="s">
        <v>76</v>
      </c>
      <c r="U47" s="107">
        <f t="shared" si="3"/>
        <v>1199</v>
      </c>
      <c r="V47" s="143">
        <v>490110</v>
      </c>
      <c r="W47" s="143">
        <v>4000010051</v>
      </c>
    </row>
    <row r="48" spans="1:23">
      <c r="A48" s="135" t="s">
        <v>371</v>
      </c>
      <c r="B48" s="164" t="s">
        <v>41</v>
      </c>
      <c r="C48" s="164" t="s">
        <v>376</v>
      </c>
      <c r="D48" s="164" t="s">
        <v>414</v>
      </c>
      <c r="E48" s="165" t="s">
        <v>430</v>
      </c>
      <c r="F48" s="146" t="s">
        <v>74</v>
      </c>
      <c r="G48" s="107" t="s">
        <v>28</v>
      </c>
      <c r="H48" s="144" t="s">
        <v>378</v>
      </c>
      <c r="I48" s="107" t="s">
        <v>415</v>
      </c>
      <c r="J48" s="139">
        <v>300</v>
      </c>
      <c r="K48" s="107">
        <v>0</v>
      </c>
      <c r="L48" s="139">
        <f t="shared" si="4"/>
        <v>300</v>
      </c>
      <c r="M48" s="140">
        <v>0</v>
      </c>
      <c r="N48" s="139">
        <v>0</v>
      </c>
      <c r="O48" s="139">
        <f t="shared" si="5"/>
        <v>300</v>
      </c>
      <c r="P48" s="141">
        <f>IFERROR(O48/Q48,"")</f>
        <v>0.5</v>
      </c>
      <c r="Q48" s="142">
        <f>SUMIFS(O:O,E:E,E48,B:B,B48,T:T,T48)</f>
        <v>600</v>
      </c>
      <c r="R48" s="142">
        <f>U48-SUMIFS(Q:Q,A:A,A48,B:B,B48,G:G,G48,E:E,E48,T:T,"Fixed Price ( Base Price with GST)")</f>
        <v>600</v>
      </c>
      <c r="S48" s="142">
        <f>P48*R48</f>
        <v>300</v>
      </c>
      <c r="T48" s="107" t="s">
        <v>76</v>
      </c>
      <c r="U48" s="107">
        <f t="shared" si="3"/>
        <v>1199</v>
      </c>
      <c r="V48" s="143">
        <v>490110</v>
      </c>
      <c r="W48" s="143">
        <v>4000010057</v>
      </c>
    </row>
    <row r="49" spans="1:23">
      <c r="A49" s="135" t="s">
        <v>371</v>
      </c>
      <c r="B49" s="164" t="s">
        <v>41</v>
      </c>
      <c r="C49" s="164" t="s">
        <v>380</v>
      </c>
      <c r="D49" s="164" t="s">
        <v>416</v>
      </c>
      <c r="E49" s="165" t="s">
        <v>430</v>
      </c>
      <c r="F49" s="144" t="s">
        <v>90</v>
      </c>
      <c r="G49" s="107" t="s">
        <v>28</v>
      </c>
      <c r="H49" s="144" t="s">
        <v>378</v>
      </c>
      <c r="I49" s="107" t="s">
        <v>417</v>
      </c>
      <c r="J49" s="145">
        <v>383.18</v>
      </c>
      <c r="K49" s="146">
        <v>0</v>
      </c>
      <c r="L49" s="145">
        <f t="shared" si="4"/>
        <v>383.18</v>
      </c>
      <c r="M49" s="147">
        <v>0.18</v>
      </c>
      <c r="N49" s="145">
        <v>215.82</v>
      </c>
      <c r="O49" s="145">
        <f t="shared" si="5"/>
        <v>599</v>
      </c>
      <c r="P49" s="148">
        <v>0</v>
      </c>
      <c r="Q49" s="149">
        <f>O49</f>
        <v>599</v>
      </c>
      <c r="R49" s="149">
        <f>Q49</f>
        <v>599</v>
      </c>
      <c r="S49" s="149">
        <f>R49</f>
        <v>599</v>
      </c>
      <c r="T49" s="107" t="s">
        <v>91</v>
      </c>
      <c r="U49" s="107">
        <f t="shared" si="3"/>
        <v>1199</v>
      </c>
      <c r="V49" s="150">
        <v>902300</v>
      </c>
      <c r="W49" s="150">
        <v>7000001233</v>
      </c>
    </row>
    <row r="50" spans="1:23">
      <c r="A50" s="135" t="s">
        <v>371</v>
      </c>
      <c r="B50" s="164" t="s">
        <v>42</v>
      </c>
      <c r="C50" s="164" t="s">
        <v>372</v>
      </c>
      <c r="D50" s="164" t="s">
        <v>418</v>
      </c>
      <c r="E50" s="165" t="s">
        <v>430</v>
      </c>
      <c r="F50" s="146" t="s">
        <v>74</v>
      </c>
      <c r="G50" s="107" t="s">
        <v>28</v>
      </c>
      <c r="H50" s="138" t="s">
        <v>374</v>
      </c>
      <c r="I50" s="107" t="s">
        <v>419</v>
      </c>
      <c r="J50" s="139">
        <v>300</v>
      </c>
      <c r="K50" s="50"/>
      <c r="L50" s="139">
        <f t="shared" si="4"/>
        <v>300</v>
      </c>
      <c r="M50" s="140">
        <v>0</v>
      </c>
      <c r="N50" s="139">
        <v>0</v>
      </c>
      <c r="O50" s="139">
        <f t="shared" si="5"/>
        <v>300</v>
      </c>
      <c r="P50" s="141">
        <f>IFERROR(O50/Q50,"")</f>
        <v>0.5</v>
      </c>
      <c r="Q50" s="142">
        <f>SUMIFS(O:O,E:E,E50,B:B,B50,T:T,T50)</f>
        <v>600</v>
      </c>
      <c r="R50" s="142">
        <f>U50-SUMIFS(Q:Q,A:A,A50,B:B,B50,G:G,G50,E:E,E50,T:T,"Fixed Price ( Base Price with GST)")</f>
        <v>600</v>
      </c>
      <c r="S50" s="142">
        <f>P50*R50</f>
        <v>300</v>
      </c>
      <c r="T50" s="107" t="s">
        <v>76</v>
      </c>
      <c r="U50" s="107">
        <f t="shared" si="3"/>
        <v>1299</v>
      </c>
      <c r="V50" s="143">
        <v>490110</v>
      </c>
      <c r="W50" s="143">
        <v>4000010059</v>
      </c>
    </row>
    <row r="51" spans="1:23">
      <c r="A51" s="135" t="s">
        <v>371</v>
      </c>
      <c r="B51" s="164" t="s">
        <v>42</v>
      </c>
      <c r="C51" s="164" t="s">
        <v>376</v>
      </c>
      <c r="D51" s="164" t="s">
        <v>420</v>
      </c>
      <c r="E51" s="165" t="s">
        <v>430</v>
      </c>
      <c r="F51" s="146" t="s">
        <v>74</v>
      </c>
      <c r="G51" s="107" t="s">
        <v>28</v>
      </c>
      <c r="H51" s="144" t="s">
        <v>378</v>
      </c>
      <c r="I51" s="107" t="s">
        <v>421</v>
      </c>
      <c r="J51" s="139">
        <v>300</v>
      </c>
      <c r="K51" s="107">
        <v>0</v>
      </c>
      <c r="L51" s="139">
        <f t="shared" si="4"/>
        <v>300</v>
      </c>
      <c r="M51" s="140">
        <v>0</v>
      </c>
      <c r="N51" s="139">
        <v>0</v>
      </c>
      <c r="O51" s="139">
        <f t="shared" si="5"/>
        <v>300</v>
      </c>
      <c r="P51" s="141">
        <f>IFERROR(O51/Q51,"")</f>
        <v>0.5</v>
      </c>
      <c r="Q51" s="142">
        <f>SUMIFS(O:O,E:E,E51,B:B,B51,T:T,T51)</f>
        <v>600</v>
      </c>
      <c r="R51" s="142">
        <f>U51-SUMIFS(Q:Q,A:A,A51,B:B,B51,G:G,G51,E:E,E51,T:T,"Fixed Price ( Base Price with GST)")</f>
        <v>600</v>
      </c>
      <c r="S51" s="142">
        <f>P51*R51</f>
        <v>300</v>
      </c>
      <c r="T51" s="107" t="s">
        <v>76</v>
      </c>
      <c r="U51" s="107">
        <f t="shared" si="3"/>
        <v>1299</v>
      </c>
      <c r="V51" s="143">
        <v>490110</v>
      </c>
      <c r="W51" s="143">
        <v>4000010064</v>
      </c>
    </row>
    <row r="52" spans="1:23">
      <c r="A52" s="135" t="s">
        <v>371</v>
      </c>
      <c r="B52" s="164" t="s">
        <v>42</v>
      </c>
      <c r="C52" s="164" t="s">
        <v>380</v>
      </c>
      <c r="D52" s="164" t="s">
        <v>422</v>
      </c>
      <c r="E52" s="165" t="s">
        <v>430</v>
      </c>
      <c r="F52" s="144" t="s">
        <v>90</v>
      </c>
      <c r="G52" s="107" t="s">
        <v>28</v>
      </c>
      <c r="H52" s="144" t="s">
        <v>378</v>
      </c>
      <c r="I52" s="107" t="s">
        <v>423</v>
      </c>
      <c r="J52" s="145">
        <v>465.18</v>
      </c>
      <c r="K52" s="146">
        <v>0</v>
      </c>
      <c r="L52" s="145">
        <f t="shared" si="4"/>
        <v>465.18</v>
      </c>
      <c r="M52" s="147">
        <v>0.18</v>
      </c>
      <c r="N52" s="145">
        <v>233.82</v>
      </c>
      <c r="O52" s="145">
        <f t="shared" si="5"/>
        <v>699</v>
      </c>
      <c r="P52" s="148">
        <v>0</v>
      </c>
      <c r="Q52" s="149">
        <f>O52</f>
        <v>699</v>
      </c>
      <c r="R52" s="149">
        <f>Q52</f>
        <v>699</v>
      </c>
      <c r="S52" s="149">
        <f>R52</f>
        <v>699</v>
      </c>
      <c r="T52" s="107" t="s">
        <v>91</v>
      </c>
      <c r="U52" s="107">
        <f t="shared" si="3"/>
        <v>1299</v>
      </c>
      <c r="V52" s="150">
        <v>902300</v>
      </c>
      <c r="W52" s="150">
        <v>7000001243</v>
      </c>
    </row>
    <row r="53" spans="1:23">
      <c r="A53" s="135" t="s">
        <v>371</v>
      </c>
      <c r="B53" s="164" t="s">
        <v>48</v>
      </c>
      <c r="C53" s="164" t="s">
        <v>372</v>
      </c>
      <c r="D53" s="164" t="s">
        <v>424</v>
      </c>
      <c r="E53" s="165" t="s">
        <v>430</v>
      </c>
      <c r="F53" s="146" t="s">
        <v>74</v>
      </c>
      <c r="G53" s="107" t="s">
        <v>28</v>
      </c>
      <c r="H53" s="138" t="s">
        <v>374</v>
      </c>
      <c r="I53" s="107" t="s">
        <v>425</v>
      </c>
      <c r="J53" s="139">
        <v>300</v>
      </c>
      <c r="K53" s="50"/>
      <c r="L53" s="139">
        <f t="shared" si="4"/>
        <v>300</v>
      </c>
      <c r="M53" s="140">
        <v>0</v>
      </c>
      <c r="N53" s="139">
        <v>0</v>
      </c>
      <c r="O53" s="139">
        <f t="shared" si="5"/>
        <v>300</v>
      </c>
      <c r="P53" s="141">
        <f>IFERROR(O53/Q53,"")</f>
        <v>0.5</v>
      </c>
      <c r="Q53" s="142">
        <f>SUMIFS(O:O,E:E,E53,B:B,B53,T:T,T53)</f>
        <v>600</v>
      </c>
      <c r="R53" s="142">
        <f>U53-SUMIFS(Q:Q,A:A,A53,B:B,B53,G:G,G53,E:E,E53,T:T,"Fixed Price ( Base Price with GST)")</f>
        <v>600</v>
      </c>
      <c r="S53" s="142">
        <f>P53*R53</f>
        <v>300</v>
      </c>
      <c r="T53" s="107" t="s">
        <v>76</v>
      </c>
      <c r="U53" s="107">
        <f t="shared" si="3"/>
        <v>1299</v>
      </c>
      <c r="V53" s="143">
        <v>490110</v>
      </c>
      <c r="W53" s="143">
        <v>4000010066</v>
      </c>
    </row>
    <row r="54" spans="1:23">
      <c r="A54" s="135" t="s">
        <v>371</v>
      </c>
      <c r="B54" s="164" t="s">
        <v>48</v>
      </c>
      <c r="C54" s="164" t="s">
        <v>376</v>
      </c>
      <c r="D54" s="164" t="s">
        <v>426</v>
      </c>
      <c r="E54" s="165" t="s">
        <v>430</v>
      </c>
      <c r="F54" s="146" t="s">
        <v>74</v>
      </c>
      <c r="G54" s="107" t="s">
        <v>28</v>
      </c>
      <c r="H54" s="144" t="s">
        <v>378</v>
      </c>
      <c r="I54" s="107" t="s">
        <v>427</v>
      </c>
      <c r="J54" s="139">
        <v>300</v>
      </c>
      <c r="K54" s="107">
        <v>0</v>
      </c>
      <c r="L54" s="139">
        <f t="shared" si="4"/>
        <v>300</v>
      </c>
      <c r="M54" s="140">
        <v>0</v>
      </c>
      <c r="N54" s="139">
        <v>0</v>
      </c>
      <c r="O54" s="139">
        <f t="shared" si="5"/>
        <v>300</v>
      </c>
      <c r="P54" s="141">
        <f>IFERROR(O54/Q54,"")</f>
        <v>0.5</v>
      </c>
      <c r="Q54" s="142">
        <f>SUMIFS(O:O,E:E,E54,B:B,B54,T:T,T54)</f>
        <v>600</v>
      </c>
      <c r="R54" s="142">
        <f>U54-SUMIFS(Q:Q,A:A,A54,B:B,B54,G:G,G54,E:E,E54,T:T,"Fixed Price ( Base Price with GST)")</f>
        <v>600</v>
      </c>
      <c r="S54" s="142">
        <f>P54*R54</f>
        <v>300</v>
      </c>
      <c r="T54" s="107" t="s">
        <v>76</v>
      </c>
      <c r="U54" s="107">
        <f t="shared" si="3"/>
        <v>1299</v>
      </c>
      <c r="V54" s="143">
        <v>490110</v>
      </c>
      <c r="W54" s="143">
        <v>4000010068</v>
      </c>
    </row>
    <row r="55" spans="1:23">
      <c r="A55" s="135" t="s">
        <v>371</v>
      </c>
      <c r="B55" s="164" t="s">
        <v>48</v>
      </c>
      <c r="C55" s="164" t="s">
        <v>380</v>
      </c>
      <c r="D55" s="164" t="s">
        <v>428</v>
      </c>
      <c r="E55" s="165" t="s">
        <v>430</v>
      </c>
      <c r="F55" s="144" t="s">
        <v>90</v>
      </c>
      <c r="G55" s="107" t="s">
        <v>28</v>
      </c>
      <c r="H55" s="144" t="s">
        <v>378</v>
      </c>
      <c r="I55" s="107" t="s">
        <v>429</v>
      </c>
      <c r="J55" s="145">
        <v>465.18</v>
      </c>
      <c r="K55" s="146">
        <v>0</v>
      </c>
      <c r="L55" s="145">
        <f t="shared" si="4"/>
        <v>465.18</v>
      </c>
      <c r="M55" s="147">
        <v>0.18</v>
      </c>
      <c r="N55" s="145">
        <v>233.82</v>
      </c>
      <c r="O55" s="145">
        <f t="shared" si="5"/>
        <v>699</v>
      </c>
      <c r="P55" s="148">
        <v>0</v>
      </c>
      <c r="Q55" s="149">
        <f>O55</f>
        <v>699</v>
      </c>
      <c r="R55" s="149">
        <f>Q55</f>
        <v>699</v>
      </c>
      <c r="S55" s="149">
        <f>R55</f>
        <v>699</v>
      </c>
      <c r="T55" s="107" t="s">
        <v>91</v>
      </c>
      <c r="U55" s="107">
        <f t="shared" si="3"/>
        <v>1299</v>
      </c>
      <c r="V55" s="150">
        <v>902300</v>
      </c>
      <c r="W55" s="150">
        <v>7000000215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55"/>
  <sheetViews>
    <sheetView workbookViewId="0"/>
  </sheetViews>
  <sheetFormatPr baseColWidth="10" defaultColWidth="8.6640625" defaultRowHeight="15"/>
  <cols>
    <col min="1" max="1" width="12.33203125" customWidth="1"/>
    <col min="2" max="2" width="5.6640625" customWidth="1"/>
    <col min="3" max="3" width="8.1640625" customWidth="1"/>
    <col min="4" max="4" width="25.6640625" customWidth="1"/>
    <col min="5" max="5" width="4.1640625" customWidth="1"/>
    <col min="6" max="6" width="6.83203125" customWidth="1"/>
    <col min="7" max="7" width="7.6640625" customWidth="1"/>
    <col min="8" max="8" width="4" customWidth="1"/>
    <col min="10" max="10" width="6.1640625" customWidth="1"/>
    <col min="11" max="11" width="9" customWidth="1"/>
    <col min="12" max="12" width="8.1640625" customWidth="1"/>
    <col min="13" max="13" width="4.6640625" customWidth="1"/>
    <col min="14" max="14" width="7.1640625" customWidth="1"/>
    <col min="15" max="15" width="10.1640625" customWidth="1"/>
    <col min="16" max="16" width="5.33203125" customWidth="1"/>
    <col min="17" max="17" width="8.5" customWidth="1"/>
    <col min="18" max="18" width="8.33203125" customWidth="1"/>
    <col min="19" max="19" width="6.33203125" customWidth="1"/>
    <col min="20" max="20" width="21.5" customWidth="1"/>
    <col min="22" max="22" width="7" customWidth="1"/>
  </cols>
  <sheetData>
    <row r="1" spans="1:23" ht="25">
      <c r="A1" s="124" t="s">
        <v>49</v>
      </c>
      <c r="B1" s="124" t="s">
        <v>50</v>
      </c>
      <c r="C1" s="124" t="s">
        <v>51</v>
      </c>
      <c r="D1" s="125" t="s">
        <v>52</v>
      </c>
      <c r="E1" s="126" t="s">
        <v>53</v>
      </c>
      <c r="F1" s="124" t="s">
        <v>54</v>
      </c>
      <c r="G1" s="124" t="s">
        <v>55</v>
      </c>
      <c r="H1" s="124" t="s">
        <v>56</v>
      </c>
      <c r="I1" s="124" t="s">
        <v>57</v>
      </c>
      <c r="J1" s="127" t="s">
        <v>474</v>
      </c>
      <c r="K1" s="128" t="s">
        <v>59</v>
      </c>
      <c r="L1" s="129" t="s">
        <v>60</v>
      </c>
      <c r="M1" s="128" t="s">
        <v>61</v>
      </c>
      <c r="N1" s="130" t="s">
        <v>62</v>
      </c>
      <c r="O1" s="131" t="s">
        <v>63</v>
      </c>
      <c r="P1" s="128" t="s">
        <v>64</v>
      </c>
      <c r="Q1" s="132" t="s">
        <v>65</v>
      </c>
      <c r="R1" s="133" t="s">
        <v>66</v>
      </c>
      <c r="S1" s="133" t="s">
        <v>67</v>
      </c>
      <c r="T1" s="128" t="s">
        <v>68</v>
      </c>
      <c r="U1" s="134" t="s">
        <v>69</v>
      </c>
      <c r="V1" s="128" t="s">
        <v>469</v>
      </c>
      <c r="W1" s="128" t="s">
        <v>475</v>
      </c>
    </row>
    <row r="2" spans="1:23">
      <c r="A2" s="135" t="s">
        <v>431</v>
      </c>
      <c r="B2" s="136" t="s">
        <v>35</v>
      </c>
      <c r="C2" s="136" t="s">
        <v>372</v>
      </c>
      <c r="D2" s="136" t="s">
        <v>432</v>
      </c>
      <c r="E2" s="137" t="s">
        <v>73</v>
      </c>
      <c r="F2" s="107" t="s">
        <v>74</v>
      </c>
      <c r="G2" s="107" t="s">
        <v>31</v>
      </c>
      <c r="H2" s="138" t="s">
        <v>374</v>
      </c>
      <c r="I2" s="107" t="s">
        <v>375</v>
      </c>
      <c r="J2" s="139">
        <v>300</v>
      </c>
      <c r="K2" s="50"/>
      <c r="L2" s="139">
        <f t="shared" ref="L2:L33" si="0">J2+K2</f>
        <v>300</v>
      </c>
      <c r="M2" s="140">
        <v>0</v>
      </c>
      <c r="N2" s="139">
        <v>0</v>
      </c>
      <c r="O2" s="139">
        <f t="shared" ref="O2:O33" si="1">L2+N2</f>
        <v>300</v>
      </c>
      <c r="P2" s="141">
        <f>IFERROR(O2/Q2,"")</f>
        <v>0.14292520247737017</v>
      </c>
      <c r="Q2" s="142">
        <f>SUMIFS(O:O,E:E,E2,B:B,B2,T:T,T2)</f>
        <v>2099</v>
      </c>
      <c r="R2" s="142">
        <f>U2-SUMIFS(Q:Q,A:A,A2,B:B,B2,G:G,G2,E:E,E2,T:T,"Fixed Price ( Base Price with GST)")</f>
        <v>2099</v>
      </c>
      <c r="S2" s="142">
        <f>P2*R2</f>
        <v>300</v>
      </c>
      <c r="T2" s="107" t="s">
        <v>76</v>
      </c>
      <c r="U2" s="107">
        <f t="shared" ref="U2:U28" si="2">SUMIFS(O:O,A:A,A2,E:E,E2,B:B,B2)</f>
        <v>2099</v>
      </c>
      <c r="V2" s="143">
        <v>490110</v>
      </c>
      <c r="W2" s="143">
        <v>4000007793</v>
      </c>
    </row>
    <row r="3" spans="1:23">
      <c r="A3" s="135" t="s">
        <v>431</v>
      </c>
      <c r="B3" s="136" t="s">
        <v>35</v>
      </c>
      <c r="C3" s="136" t="s">
        <v>376</v>
      </c>
      <c r="D3" s="136" t="s">
        <v>433</v>
      </c>
      <c r="E3" s="137" t="s">
        <v>73</v>
      </c>
      <c r="F3" s="107" t="s">
        <v>74</v>
      </c>
      <c r="G3" s="107" t="s">
        <v>31</v>
      </c>
      <c r="H3" s="144" t="s">
        <v>378</v>
      </c>
      <c r="I3" s="107" t="s">
        <v>379</v>
      </c>
      <c r="J3" s="139">
        <v>300</v>
      </c>
      <c r="K3" s="107">
        <v>0</v>
      </c>
      <c r="L3" s="139">
        <f t="shared" si="0"/>
        <v>300</v>
      </c>
      <c r="M3" s="140">
        <v>0</v>
      </c>
      <c r="N3" s="139">
        <v>0</v>
      </c>
      <c r="O3" s="139">
        <f t="shared" si="1"/>
        <v>300</v>
      </c>
      <c r="P3" s="141">
        <f>IFERROR(O3/Q3,"")</f>
        <v>0.14292520247737017</v>
      </c>
      <c r="Q3" s="142">
        <f>SUMIFS(O:O,E:E,E3,B:B,B3,T:T,T3)</f>
        <v>2099</v>
      </c>
      <c r="R3" s="142">
        <f>U3-SUMIFS(Q:Q,A:A,A3,B:B,B3,G:G,G3,E:E,E3,T:T,"Fixed Price ( Base Price with GST)")</f>
        <v>2099</v>
      </c>
      <c r="S3" s="142">
        <f>P3*R3</f>
        <v>300</v>
      </c>
      <c r="T3" s="107" t="s">
        <v>76</v>
      </c>
      <c r="U3" s="107">
        <f t="shared" si="2"/>
        <v>2099</v>
      </c>
      <c r="V3" s="143">
        <v>490110</v>
      </c>
      <c r="W3" s="143">
        <v>4000007792</v>
      </c>
    </row>
    <row r="4" spans="1:23">
      <c r="A4" s="135" t="s">
        <v>431</v>
      </c>
      <c r="B4" s="136" t="s">
        <v>35</v>
      </c>
      <c r="C4" s="136" t="s">
        <v>380</v>
      </c>
      <c r="D4" s="136" t="s">
        <v>434</v>
      </c>
      <c r="E4" s="137" t="s">
        <v>73</v>
      </c>
      <c r="F4" s="144" t="s">
        <v>90</v>
      </c>
      <c r="G4" s="107" t="s">
        <v>31</v>
      </c>
      <c r="H4" s="144" t="s">
        <v>378</v>
      </c>
      <c r="I4" s="107" t="s">
        <v>382</v>
      </c>
      <c r="J4" s="145">
        <v>1121.18</v>
      </c>
      <c r="K4" s="146">
        <v>0</v>
      </c>
      <c r="L4" s="145">
        <f t="shared" si="0"/>
        <v>1121.18</v>
      </c>
      <c r="M4" s="147">
        <v>0.18</v>
      </c>
      <c r="N4" s="145">
        <v>377.82</v>
      </c>
      <c r="O4" s="145">
        <f t="shared" si="1"/>
        <v>1499</v>
      </c>
      <c r="P4" s="148">
        <v>0</v>
      </c>
      <c r="Q4" s="149">
        <f>O4</f>
        <v>1499</v>
      </c>
      <c r="R4" s="149">
        <f>Q4</f>
        <v>1499</v>
      </c>
      <c r="S4" s="149">
        <f>R4</f>
        <v>1499</v>
      </c>
      <c r="T4" s="107" t="s">
        <v>76</v>
      </c>
      <c r="U4" s="107">
        <f t="shared" si="2"/>
        <v>2099</v>
      </c>
      <c r="V4" s="150">
        <v>902300</v>
      </c>
      <c r="W4" s="150">
        <v>7000000099</v>
      </c>
    </row>
    <row r="5" spans="1:23">
      <c r="A5" s="135" t="s">
        <v>431</v>
      </c>
      <c r="B5" s="136" t="s">
        <v>36</v>
      </c>
      <c r="C5" s="136" t="s">
        <v>372</v>
      </c>
      <c r="D5" s="136" t="s">
        <v>435</v>
      </c>
      <c r="E5" s="137" t="s">
        <v>73</v>
      </c>
      <c r="F5" s="107" t="s">
        <v>74</v>
      </c>
      <c r="G5" s="107" t="s">
        <v>31</v>
      </c>
      <c r="H5" s="138" t="s">
        <v>374</v>
      </c>
      <c r="I5" s="107" t="s">
        <v>384</v>
      </c>
      <c r="J5" s="139">
        <v>300</v>
      </c>
      <c r="K5" s="50"/>
      <c r="L5" s="139">
        <f t="shared" si="0"/>
        <v>300</v>
      </c>
      <c r="M5" s="140">
        <v>0</v>
      </c>
      <c r="N5" s="139">
        <v>0</v>
      </c>
      <c r="O5" s="139">
        <f t="shared" si="1"/>
        <v>300</v>
      </c>
      <c r="P5" s="141">
        <f>IFERROR(O5/Q5,"")</f>
        <v>0.5</v>
      </c>
      <c r="Q5" s="142">
        <f>SUMIFS(O:O,E:E,E5,B:B,B5,T:T,T5)</f>
        <v>600</v>
      </c>
      <c r="R5" s="142">
        <f>U5-SUMIFS(Q:Q,A:A,A5,B:B,B5,G:G,G5,E:E,E5,T:T,"Fixed Price ( Base Price with GST)")</f>
        <v>600</v>
      </c>
      <c r="S5" s="142">
        <f>P5*R5</f>
        <v>300</v>
      </c>
      <c r="T5" s="107" t="s">
        <v>76</v>
      </c>
      <c r="U5" s="107">
        <f t="shared" si="2"/>
        <v>2099</v>
      </c>
      <c r="V5" s="143">
        <v>490110</v>
      </c>
      <c r="W5" s="143">
        <v>4000007794</v>
      </c>
    </row>
    <row r="6" spans="1:23">
      <c r="A6" s="135" t="s">
        <v>431</v>
      </c>
      <c r="B6" s="136" t="s">
        <v>36</v>
      </c>
      <c r="C6" s="136" t="s">
        <v>376</v>
      </c>
      <c r="D6" s="136" t="s">
        <v>436</v>
      </c>
      <c r="E6" s="137" t="s">
        <v>73</v>
      </c>
      <c r="F6" s="107" t="s">
        <v>74</v>
      </c>
      <c r="G6" s="107" t="s">
        <v>31</v>
      </c>
      <c r="H6" s="144" t="s">
        <v>378</v>
      </c>
      <c r="I6" s="107" t="s">
        <v>386</v>
      </c>
      <c r="J6" s="139">
        <v>300</v>
      </c>
      <c r="K6" s="107">
        <v>0</v>
      </c>
      <c r="L6" s="139">
        <f t="shared" si="0"/>
        <v>300</v>
      </c>
      <c r="M6" s="140">
        <v>0</v>
      </c>
      <c r="N6" s="139">
        <v>0</v>
      </c>
      <c r="O6" s="139">
        <f t="shared" si="1"/>
        <v>300</v>
      </c>
      <c r="P6" s="141">
        <f>IFERROR(O6/Q6,"")</f>
        <v>0.5</v>
      </c>
      <c r="Q6" s="142">
        <f>SUMIFS(O:O,E:E,E6,B:B,B6,T:T,T6)</f>
        <v>600</v>
      </c>
      <c r="R6" s="142">
        <f>U6-SUMIFS(Q:Q,A:A,A6,B:B,B6,G:G,G6,E:E,E6,T:T,"Fixed Price ( Base Price with GST)")</f>
        <v>600</v>
      </c>
      <c r="S6" s="142">
        <f>P6*R6</f>
        <v>300</v>
      </c>
      <c r="T6" s="107" t="s">
        <v>76</v>
      </c>
      <c r="U6" s="107">
        <f t="shared" si="2"/>
        <v>2099</v>
      </c>
      <c r="V6" s="143">
        <v>490110</v>
      </c>
      <c r="W6" s="143">
        <v>4000007802</v>
      </c>
    </row>
    <row r="7" spans="1:23">
      <c r="A7" s="135" t="s">
        <v>431</v>
      </c>
      <c r="B7" s="136" t="s">
        <v>36</v>
      </c>
      <c r="C7" s="136" t="s">
        <v>380</v>
      </c>
      <c r="D7" s="136" t="s">
        <v>437</v>
      </c>
      <c r="E7" s="137" t="s">
        <v>73</v>
      </c>
      <c r="F7" s="144" t="s">
        <v>90</v>
      </c>
      <c r="G7" s="107" t="s">
        <v>31</v>
      </c>
      <c r="H7" s="144" t="s">
        <v>378</v>
      </c>
      <c r="I7" s="107" t="s">
        <v>382</v>
      </c>
      <c r="J7" s="145">
        <v>1121.18</v>
      </c>
      <c r="K7" s="146">
        <v>0</v>
      </c>
      <c r="L7" s="145">
        <f t="shared" si="0"/>
        <v>1121.18</v>
      </c>
      <c r="M7" s="147">
        <v>0.18</v>
      </c>
      <c r="N7" s="145">
        <v>377.82</v>
      </c>
      <c r="O7" s="145">
        <f t="shared" si="1"/>
        <v>1499</v>
      </c>
      <c r="P7" s="148">
        <v>0</v>
      </c>
      <c r="Q7" s="149">
        <f>O7</f>
        <v>1499</v>
      </c>
      <c r="R7" s="149">
        <f>Q7</f>
        <v>1499</v>
      </c>
      <c r="S7" s="149">
        <f>R7</f>
        <v>1499</v>
      </c>
      <c r="T7" s="107" t="s">
        <v>91</v>
      </c>
      <c r="U7" s="107">
        <f t="shared" si="2"/>
        <v>2099</v>
      </c>
      <c r="V7" s="150">
        <v>902300</v>
      </c>
      <c r="W7" s="150">
        <v>7000000100</v>
      </c>
    </row>
    <row r="8" spans="1:23">
      <c r="A8" s="135" t="s">
        <v>431</v>
      </c>
      <c r="B8" s="136" t="s">
        <v>37</v>
      </c>
      <c r="C8" s="136" t="s">
        <v>372</v>
      </c>
      <c r="D8" s="136" t="s">
        <v>438</v>
      </c>
      <c r="E8" s="137" t="s">
        <v>73</v>
      </c>
      <c r="F8" s="107" t="s">
        <v>74</v>
      </c>
      <c r="G8" s="107" t="s">
        <v>31</v>
      </c>
      <c r="H8" s="138" t="s">
        <v>374</v>
      </c>
      <c r="I8" s="107" t="s">
        <v>389</v>
      </c>
      <c r="J8" s="139">
        <v>300</v>
      </c>
      <c r="K8" s="50"/>
      <c r="L8" s="139">
        <f t="shared" si="0"/>
        <v>300</v>
      </c>
      <c r="M8" s="140">
        <v>0</v>
      </c>
      <c r="N8" s="139">
        <v>0</v>
      </c>
      <c r="O8" s="139">
        <f t="shared" si="1"/>
        <v>300</v>
      </c>
      <c r="P8" s="141">
        <f>IFERROR(O8/Q8,"")</f>
        <v>0.5</v>
      </c>
      <c r="Q8" s="142">
        <f>SUMIFS(O:O,E:E,E8,B:B,B8,T:T,T8)</f>
        <v>600</v>
      </c>
      <c r="R8" s="142">
        <f>U8-SUMIFS(Q:Q,A:A,A8,B:B,B8,G:G,G8,E:E,E8,T:T,"Fixed Price ( Base Price with GST)")</f>
        <v>600</v>
      </c>
      <c r="S8" s="142">
        <f>P8*R8</f>
        <v>300</v>
      </c>
      <c r="T8" s="107" t="s">
        <v>76</v>
      </c>
      <c r="U8" s="107">
        <f t="shared" si="2"/>
        <v>2199</v>
      </c>
      <c r="V8" s="143">
        <v>490110</v>
      </c>
      <c r="W8" s="143">
        <v>4000007795</v>
      </c>
    </row>
    <row r="9" spans="1:23">
      <c r="A9" s="135" t="s">
        <v>431</v>
      </c>
      <c r="B9" s="136" t="s">
        <v>37</v>
      </c>
      <c r="C9" s="136" t="s">
        <v>376</v>
      </c>
      <c r="D9" s="136" t="s">
        <v>439</v>
      </c>
      <c r="E9" s="137" t="s">
        <v>73</v>
      </c>
      <c r="F9" s="107" t="s">
        <v>74</v>
      </c>
      <c r="G9" s="107" t="s">
        <v>31</v>
      </c>
      <c r="H9" s="144" t="s">
        <v>378</v>
      </c>
      <c r="I9" s="107" t="s">
        <v>391</v>
      </c>
      <c r="J9" s="139">
        <v>300</v>
      </c>
      <c r="K9" s="107">
        <v>0</v>
      </c>
      <c r="L9" s="139">
        <f t="shared" si="0"/>
        <v>300</v>
      </c>
      <c r="M9" s="140">
        <v>0</v>
      </c>
      <c r="N9" s="139">
        <v>0</v>
      </c>
      <c r="O9" s="139">
        <f t="shared" si="1"/>
        <v>300</v>
      </c>
      <c r="P9" s="141">
        <f>IFERROR(O9/Q9,"")</f>
        <v>0.5</v>
      </c>
      <c r="Q9" s="142">
        <f>SUMIFS(O:O,E:E,E9,B:B,B9,T:T,T9)</f>
        <v>600</v>
      </c>
      <c r="R9" s="142">
        <f>U9-SUMIFS(Q:Q,A:A,A9,B:B,B9,G:G,G9,E:E,E9,T:T,"Fixed Price ( Base Price with GST)")</f>
        <v>600</v>
      </c>
      <c r="S9" s="142">
        <f>P9*R9</f>
        <v>300</v>
      </c>
      <c r="T9" s="107" t="s">
        <v>76</v>
      </c>
      <c r="U9" s="107">
        <f t="shared" si="2"/>
        <v>2199</v>
      </c>
      <c r="V9" s="143">
        <v>490110</v>
      </c>
      <c r="W9" s="143">
        <v>4000007803</v>
      </c>
    </row>
    <row r="10" spans="1:23">
      <c r="A10" s="135" t="s">
        <v>431</v>
      </c>
      <c r="B10" s="136" t="s">
        <v>37</v>
      </c>
      <c r="C10" s="136" t="s">
        <v>380</v>
      </c>
      <c r="D10" s="136" t="s">
        <v>440</v>
      </c>
      <c r="E10" s="137" t="s">
        <v>73</v>
      </c>
      <c r="F10" s="144" t="s">
        <v>90</v>
      </c>
      <c r="G10" s="107" t="s">
        <v>31</v>
      </c>
      <c r="H10" s="144" t="s">
        <v>378</v>
      </c>
      <c r="I10" s="107" t="s">
        <v>393</v>
      </c>
      <c r="J10" s="145">
        <v>1203.18</v>
      </c>
      <c r="K10" s="146">
        <v>0</v>
      </c>
      <c r="L10" s="145">
        <f t="shared" si="0"/>
        <v>1203.18</v>
      </c>
      <c r="M10" s="147">
        <v>0.18</v>
      </c>
      <c r="N10" s="145">
        <v>395.82</v>
      </c>
      <c r="O10" s="145">
        <f t="shared" si="1"/>
        <v>1599</v>
      </c>
      <c r="P10" s="148">
        <v>0</v>
      </c>
      <c r="Q10" s="149">
        <f>O10</f>
        <v>1599</v>
      </c>
      <c r="R10" s="149">
        <f>Q10</f>
        <v>1599</v>
      </c>
      <c r="S10" s="149">
        <f>R10</f>
        <v>1599</v>
      </c>
      <c r="T10" s="107" t="s">
        <v>91</v>
      </c>
      <c r="U10" s="107">
        <f t="shared" si="2"/>
        <v>2199</v>
      </c>
      <c r="V10" s="150">
        <v>902300</v>
      </c>
      <c r="W10" s="150">
        <v>7000000101</v>
      </c>
    </row>
    <row r="11" spans="1:23">
      <c r="A11" s="135" t="s">
        <v>431</v>
      </c>
      <c r="B11" s="136" t="s">
        <v>38</v>
      </c>
      <c r="C11" s="136" t="s">
        <v>372</v>
      </c>
      <c r="D11" s="136" t="s">
        <v>441</v>
      </c>
      <c r="E11" s="137" t="s">
        <v>73</v>
      </c>
      <c r="F11" s="107" t="s">
        <v>74</v>
      </c>
      <c r="G11" s="107" t="s">
        <v>31</v>
      </c>
      <c r="H11" s="138" t="s">
        <v>374</v>
      </c>
      <c r="I11" s="107" t="s">
        <v>395</v>
      </c>
      <c r="J11" s="139">
        <v>300</v>
      </c>
      <c r="K11" s="50"/>
      <c r="L11" s="139">
        <f t="shared" si="0"/>
        <v>300</v>
      </c>
      <c r="M11" s="140">
        <v>0</v>
      </c>
      <c r="N11" s="139">
        <v>0</v>
      </c>
      <c r="O11" s="139">
        <f t="shared" si="1"/>
        <v>300</v>
      </c>
      <c r="P11" s="141">
        <f>IFERROR(O11/Q11,"")</f>
        <v>0.5</v>
      </c>
      <c r="Q11" s="142">
        <f>SUMIFS(O:O,E:E,E11,B:B,B11,T:T,T11)</f>
        <v>600</v>
      </c>
      <c r="R11" s="142">
        <f>U11-SUMIFS(Q:Q,A:A,A11,B:B,B11,G:G,G11,E:E,E11,T:T,"Fixed Price ( Base Price with GST)")</f>
        <v>600</v>
      </c>
      <c r="S11" s="142">
        <f>P11*R11</f>
        <v>300</v>
      </c>
      <c r="T11" s="107" t="s">
        <v>76</v>
      </c>
      <c r="U11" s="107">
        <f t="shared" si="2"/>
        <v>2199</v>
      </c>
      <c r="V11" s="143">
        <v>490110</v>
      </c>
      <c r="W11" s="143">
        <v>4000007796</v>
      </c>
    </row>
    <row r="12" spans="1:23">
      <c r="A12" s="135" t="s">
        <v>431</v>
      </c>
      <c r="B12" s="136" t="s">
        <v>38</v>
      </c>
      <c r="C12" s="136" t="s">
        <v>376</v>
      </c>
      <c r="D12" s="136" t="s">
        <v>442</v>
      </c>
      <c r="E12" s="137" t="s">
        <v>73</v>
      </c>
      <c r="F12" s="107" t="s">
        <v>74</v>
      </c>
      <c r="G12" s="107" t="s">
        <v>31</v>
      </c>
      <c r="H12" s="144" t="s">
        <v>378</v>
      </c>
      <c r="I12" s="107" t="s">
        <v>397</v>
      </c>
      <c r="J12" s="139">
        <v>300</v>
      </c>
      <c r="K12" s="107">
        <v>0</v>
      </c>
      <c r="L12" s="139">
        <f t="shared" si="0"/>
        <v>300</v>
      </c>
      <c r="M12" s="140">
        <v>0</v>
      </c>
      <c r="N12" s="139">
        <v>0</v>
      </c>
      <c r="O12" s="139">
        <f t="shared" si="1"/>
        <v>300</v>
      </c>
      <c r="P12" s="141">
        <f>IFERROR(O12/Q12,"")</f>
        <v>0.5</v>
      </c>
      <c r="Q12" s="142">
        <f>SUMIFS(O:O,E:E,E12,B:B,B12,T:T,T12)</f>
        <v>600</v>
      </c>
      <c r="R12" s="142">
        <f>U12-SUMIFS(Q:Q,A:A,A12,B:B,B12,G:G,G12,E:E,E12,T:T,"Fixed Price ( Base Price with GST)")</f>
        <v>600</v>
      </c>
      <c r="S12" s="142">
        <f>P12*R12</f>
        <v>300</v>
      </c>
      <c r="T12" s="107" t="s">
        <v>76</v>
      </c>
      <c r="U12" s="107">
        <f t="shared" si="2"/>
        <v>2199</v>
      </c>
      <c r="V12" s="143">
        <v>490110</v>
      </c>
      <c r="W12" s="143">
        <v>4000007804</v>
      </c>
    </row>
    <row r="13" spans="1:23">
      <c r="A13" s="135" t="s">
        <v>431</v>
      </c>
      <c r="B13" s="136" t="s">
        <v>38</v>
      </c>
      <c r="C13" s="136" t="s">
        <v>380</v>
      </c>
      <c r="D13" s="136" t="s">
        <v>443</v>
      </c>
      <c r="E13" s="137" t="s">
        <v>73</v>
      </c>
      <c r="F13" s="144" t="s">
        <v>90</v>
      </c>
      <c r="G13" s="107" t="s">
        <v>31</v>
      </c>
      <c r="H13" s="144" t="s">
        <v>378</v>
      </c>
      <c r="I13" s="107" t="s">
        <v>399</v>
      </c>
      <c r="J13" s="145">
        <v>1203.18</v>
      </c>
      <c r="K13" s="146">
        <v>0</v>
      </c>
      <c r="L13" s="145">
        <f t="shared" si="0"/>
        <v>1203.18</v>
      </c>
      <c r="M13" s="147">
        <v>0.18</v>
      </c>
      <c r="N13" s="145">
        <v>395.82</v>
      </c>
      <c r="O13" s="145">
        <f t="shared" si="1"/>
        <v>1599</v>
      </c>
      <c r="P13" s="148">
        <v>0</v>
      </c>
      <c r="Q13" s="149">
        <f>O13</f>
        <v>1599</v>
      </c>
      <c r="R13" s="149">
        <f>Q13</f>
        <v>1599</v>
      </c>
      <c r="S13" s="149">
        <f>R13</f>
        <v>1599</v>
      </c>
      <c r="T13" s="107" t="s">
        <v>91</v>
      </c>
      <c r="U13" s="107">
        <f t="shared" si="2"/>
        <v>2199</v>
      </c>
      <c r="V13" s="150">
        <v>902300</v>
      </c>
      <c r="W13" s="150">
        <v>7000000102</v>
      </c>
    </row>
    <row r="14" spans="1:23">
      <c r="A14" s="135" t="s">
        <v>431</v>
      </c>
      <c r="B14" s="136" t="s">
        <v>39</v>
      </c>
      <c r="C14" s="136" t="s">
        <v>372</v>
      </c>
      <c r="D14" s="136" t="s">
        <v>444</v>
      </c>
      <c r="E14" s="137" t="s">
        <v>73</v>
      </c>
      <c r="F14" s="107" t="s">
        <v>74</v>
      </c>
      <c r="G14" s="107" t="s">
        <v>31</v>
      </c>
      <c r="H14" s="138" t="s">
        <v>374</v>
      </c>
      <c r="I14" s="107" t="s">
        <v>401</v>
      </c>
      <c r="J14" s="139">
        <v>300</v>
      </c>
      <c r="K14" s="50"/>
      <c r="L14" s="139">
        <f t="shared" si="0"/>
        <v>300</v>
      </c>
      <c r="M14" s="140">
        <v>0</v>
      </c>
      <c r="N14" s="139">
        <v>0</v>
      </c>
      <c r="O14" s="139">
        <f t="shared" si="1"/>
        <v>300</v>
      </c>
      <c r="P14" s="141">
        <f>IFERROR(O14/Q14,"")</f>
        <v>0.5</v>
      </c>
      <c r="Q14" s="142">
        <f>SUMIFS(O:O,E:E,E14,B:B,B14,T:T,T14)</f>
        <v>600</v>
      </c>
      <c r="R14" s="142">
        <f>U14-SUMIFS(Q:Q,A:A,A14,B:B,B14,G:G,G14,E:E,E14,T:T,"Fixed Price ( Base Price with GST)")</f>
        <v>600</v>
      </c>
      <c r="S14" s="142">
        <f>P14*R14</f>
        <v>300</v>
      </c>
      <c r="T14" s="107" t="s">
        <v>76</v>
      </c>
      <c r="U14" s="107">
        <f t="shared" si="2"/>
        <v>2199</v>
      </c>
      <c r="V14" s="143">
        <v>490110</v>
      </c>
      <c r="W14" s="143">
        <v>4000007797</v>
      </c>
    </row>
    <row r="15" spans="1:23">
      <c r="A15" s="135" t="s">
        <v>431</v>
      </c>
      <c r="B15" s="136" t="s">
        <v>39</v>
      </c>
      <c r="C15" s="136" t="s">
        <v>376</v>
      </c>
      <c r="D15" s="136" t="s">
        <v>445</v>
      </c>
      <c r="E15" s="137" t="s">
        <v>73</v>
      </c>
      <c r="F15" s="107" t="s">
        <v>74</v>
      </c>
      <c r="G15" s="107" t="s">
        <v>31</v>
      </c>
      <c r="H15" s="144" t="s">
        <v>378</v>
      </c>
      <c r="I15" s="107" t="s">
        <v>403</v>
      </c>
      <c r="J15" s="139">
        <v>300</v>
      </c>
      <c r="K15" s="107">
        <v>0</v>
      </c>
      <c r="L15" s="139">
        <f t="shared" si="0"/>
        <v>300</v>
      </c>
      <c r="M15" s="140">
        <v>0</v>
      </c>
      <c r="N15" s="139">
        <v>0</v>
      </c>
      <c r="O15" s="139">
        <f t="shared" si="1"/>
        <v>300</v>
      </c>
      <c r="P15" s="141">
        <f>IFERROR(O15/Q15,"")</f>
        <v>0.5</v>
      </c>
      <c r="Q15" s="142">
        <f>SUMIFS(O:O,E:E,E15,B:B,B15,T:T,T15)</f>
        <v>600</v>
      </c>
      <c r="R15" s="142">
        <f>U15-SUMIFS(Q:Q,A:A,A15,B:B,B15,G:G,G15,E:E,E15,T:T,"Fixed Price ( Base Price with GST)")</f>
        <v>600</v>
      </c>
      <c r="S15" s="142">
        <f>P15*R15</f>
        <v>300</v>
      </c>
      <c r="T15" s="107" t="s">
        <v>76</v>
      </c>
      <c r="U15" s="107">
        <f t="shared" si="2"/>
        <v>2199</v>
      </c>
      <c r="V15" s="143">
        <v>490110</v>
      </c>
      <c r="W15" s="143">
        <v>4000007805</v>
      </c>
    </row>
    <row r="16" spans="1:23">
      <c r="A16" s="135" t="s">
        <v>431</v>
      </c>
      <c r="B16" s="136" t="s">
        <v>39</v>
      </c>
      <c r="C16" s="136" t="s">
        <v>380</v>
      </c>
      <c r="D16" s="136" t="s">
        <v>446</v>
      </c>
      <c r="E16" s="137" t="s">
        <v>73</v>
      </c>
      <c r="F16" s="144" t="s">
        <v>90</v>
      </c>
      <c r="G16" s="107" t="s">
        <v>31</v>
      </c>
      <c r="H16" s="144" t="s">
        <v>378</v>
      </c>
      <c r="I16" s="107" t="s">
        <v>405</v>
      </c>
      <c r="J16" s="145">
        <v>1203.18</v>
      </c>
      <c r="K16" s="146">
        <v>0</v>
      </c>
      <c r="L16" s="145">
        <f t="shared" si="0"/>
        <v>1203.18</v>
      </c>
      <c r="M16" s="147">
        <v>0.18</v>
      </c>
      <c r="N16" s="145">
        <v>395.82</v>
      </c>
      <c r="O16" s="145">
        <f t="shared" si="1"/>
        <v>1599</v>
      </c>
      <c r="P16" s="148">
        <v>0</v>
      </c>
      <c r="Q16" s="149">
        <f>O16</f>
        <v>1599</v>
      </c>
      <c r="R16" s="149">
        <f>Q16</f>
        <v>1599</v>
      </c>
      <c r="S16" s="149">
        <f>R16</f>
        <v>1599</v>
      </c>
      <c r="T16" s="107" t="s">
        <v>91</v>
      </c>
      <c r="U16" s="107">
        <f t="shared" si="2"/>
        <v>2199</v>
      </c>
      <c r="V16" s="150">
        <v>902300</v>
      </c>
      <c r="W16" s="150">
        <v>7000000103</v>
      </c>
    </row>
    <row r="17" spans="1:23">
      <c r="A17" s="135" t="s">
        <v>431</v>
      </c>
      <c r="B17" s="136" t="s">
        <v>40</v>
      </c>
      <c r="C17" s="136" t="s">
        <v>372</v>
      </c>
      <c r="D17" s="136" t="s">
        <v>447</v>
      </c>
      <c r="E17" s="137" t="s">
        <v>73</v>
      </c>
      <c r="F17" s="107" t="s">
        <v>74</v>
      </c>
      <c r="G17" s="107" t="s">
        <v>31</v>
      </c>
      <c r="H17" s="138" t="s">
        <v>374</v>
      </c>
      <c r="I17" s="107" t="s">
        <v>407</v>
      </c>
      <c r="J17" s="139">
        <v>300</v>
      </c>
      <c r="K17" s="50"/>
      <c r="L17" s="139">
        <f t="shared" si="0"/>
        <v>300</v>
      </c>
      <c r="M17" s="140">
        <v>0</v>
      </c>
      <c r="N17" s="139">
        <v>0</v>
      </c>
      <c r="O17" s="139">
        <f t="shared" si="1"/>
        <v>300</v>
      </c>
      <c r="P17" s="141">
        <f>IFERROR(O17/Q17,"")</f>
        <v>0.5</v>
      </c>
      <c r="Q17" s="142">
        <f>SUMIFS(O:O,E:E,E17,B:B,B17,T:T,T17)</f>
        <v>600</v>
      </c>
      <c r="R17" s="142">
        <f>U17-SUMIFS(Q:Q,A:A,A17,B:B,B17,G:G,G17,E:E,E17,T:T,"Fixed Price ( Base Price with GST)")</f>
        <v>600</v>
      </c>
      <c r="S17" s="142">
        <f>P17*R17</f>
        <v>300</v>
      </c>
      <c r="T17" s="107" t="s">
        <v>76</v>
      </c>
      <c r="U17" s="107">
        <f t="shared" si="2"/>
        <v>2499</v>
      </c>
      <c r="V17" s="143">
        <v>490110</v>
      </c>
      <c r="W17" s="143">
        <v>4000007798</v>
      </c>
    </row>
    <row r="18" spans="1:23">
      <c r="A18" s="135" t="s">
        <v>431</v>
      </c>
      <c r="B18" s="136" t="s">
        <v>40</v>
      </c>
      <c r="C18" s="136" t="s">
        <v>376</v>
      </c>
      <c r="D18" s="136" t="s">
        <v>448</v>
      </c>
      <c r="E18" s="137" t="s">
        <v>73</v>
      </c>
      <c r="F18" s="107" t="s">
        <v>74</v>
      </c>
      <c r="G18" s="107" t="s">
        <v>31</v>
      </c>
      <c r="H18" s="144" t="s">
        <v>378</v>
      </c>
      <c r="I18" s="107" t="s">
        <v>409</v>
      </c>
      <c r="J18" s="139">
        <v>300</v>
      </c>
      <c r="K18" s="107">
        <v>0</v>
      </c>
      <c r="L18" s="139">
        <f t="shared" si="0"/>
        <v>300</v>
      </c>
      <c r="M18" s="140">
        <v>0</v>
      </c>
      <c r="N18" s="139">
        <v>0</v>
      </c>
      <c r="O18" s="139">
        <f t="shared" si="1"/>
        <v>300</v>
      </c>
      <c r="P18" s="141">
        <f>IFERROR(O18/Q18,"")</f>
        <v>0.5</v>
      </c>
      <c r="Q18" s="142">
        <f>SUMIFS(O:O,E:E,E18,B:B,B18,T:T,T18)</f>
        <v>600</v>
      </c>
      <c r="R18" s="142">
        <f>U18-SUMIFS(Q:Q,A:A,A18,B:B,B18,G:G,G18,E:E,E18,T:T,"Fixed Price ( Base Price with GST)")</f>
        <v>600</v>
      </c>
      <c r="S18" s="142">
        <f>P18*R18</f>
        <v>300</v>
      </c>
      <c r="T18" s="107" t="s">
        <v>76</v>
      </c>
      <c r="U18" s="107">
        <f t="shared" si="2"/>
        <v>2499</v>
      </c>
      <c r="V18" s="143">
        <v>490110</v>
      </c>
      <c r="W18" s="143">
        <v>4000007806</v>
      </c>
    </row>
    <row r="19" spans="1:23">
      <c r="A19" s="135" t="s">
        <v>431</v>
      </c>
      <c r="B19" s="136" t="s">
        <v>40</v>
      </c>
      <c r="C19" s="136" t="s">
        <v>380</v>
      </c>
      <c r="D19" s="136" t="s">
        <v>449</v>
      </c>
      <c r="E19" s="137" t="s">
        <v>73</v>
      </c>
      <c r="F19" s="144" t="s">
        <v>90</v>
      </c>
      <c r="G19" s="107" t="s">
        <v>31</v>
      </c>
      <c r="H19" s="144" t="s">
        <v>378</v>
      </c>
      <c r="I19" s="107" t="s">
        <v>411</v>
      </c>
      <c r="J19" s="145">
        <v>1449.18</v>
      </c>
      <c r="K19" s="146">
        <v>0</v>
      </c>
      <c r="L19" s="145">
        <f t="shared" si="0"/>
        <v>1449.18</v>
      </c>
      <c r="M19" s="147">
        <v>0.18</v>
      </c>
      <c r="N19" s="145">
        <v>449.82</v>
      </c>
      <c r="O19" s="145">
        <f t="shared" si="1"/>
        <v>1899</v>
      </c>
      <c r="P19" s="148">
        <v>0</v>
      </c>
      <c r="Q19" s="149">
        <f>O19</f>
        <v>1899</v>
      </c>
      <c r="R19" s="149">
        <f>Q19</f>
        <v>1899</v>
      </c>
      <c r="S19" s="149">
        <f>R19</f>
        <v>1899</v>
      </c>
      <c r="T19" s="107" t="s">
        <v>91</v>
      </c>
      <c r="U19" s="107">
        <f t="shared" si="2"/>
        <v>2499</v>
      </c>
      <c r="V19" s="150">
        <v>902300</v>
      </c>
      <c r="W19" s="150">
        <v>7000000104</v>
      </c>
    </row>
    <row r="20" spans="1:23">
      <c r="A20" s="135" t="s">
        <v>431</v>
      </c>
      <c r="B20" s="135" t="s">
        <v>41</v>
      </c>
      <c r="C20" s="135" t="s">
        <v>372</v>
      </c>
      <c r="D20" s="135" t="s">
        <v>450</v>
      </c>
      <c r="E20" s="151" t="s">
        <v>73</v>
      </c>
      <c r="F20" s="152" t="s">
        <v>74</v>
      </c>
      <c r="G20" s="152" t="s">
        <v>31</v>
      </c>
      <c r="H20" s="138" t="s">
        <v>374</v>
      </c>
      <c r="I20" s="152" t="s">
        <v>413</v>
      </c>
      <c r="J20" s="153">
        <v>300</v>
      </c>
      <c r="K20" s="50"/>
      <c r="L20" s="153">
        <f t="shared" si="0"/>
        <v>300</v>
      </c>
      <c r="M20" s="154">
        <v>0</v>
      </c>
      <c r="N20" s="153">
        <v>0</v>
      </c>
      <c r="O20" s="153">
        <f t="shared" si="1"/>
        <v>300</v>
      </c>
      <c r="P20" s="155">
        <f>IFERROR(O20/Q20,"")</f>
        <v>0.5</v>
      </c>
      <c r="Q20" s="156">
        <f>SUMIFS(O:O,E:E,E20,B:B,B20,T:T,T20)</f>
        <v>600</v>
      </c>
      <c r="R20" s="156">
        <f>U20-SUMIFS(Q:Q,A:A,A20,B:B,B20,G:G,G20,E:E,E20,T:T,"Fixed Price ( Base Price with GST)")</f>
        <v>600</v>
      </c>
      <c r="S20" s="156">
        <f>P20*R20</f>
        <v>300</v>
      </c>
      <c r="T20" s="152" t="s">
        <v>76</v>
      </c>
      <c r="U20" s="152">
        <f t="shared" si="2"/>
        <v>2699</v>
      </c>
      <c r="V20" s="157">
        <v>490110</v>
      </c>
      <c r="W20" s="157">
        <v>4000007799</v>
      </c>
    </row>
    <row r="21" spans="1:23">
      <c r="A21" s="135" t="s">
        <v>431</v>
      </c>
      <c r="B21" s="135" t="s">
        <v>41</v>
      </c>
      <c r="C21" s="135" t="s">
        <v>376</v>
      </c>
      <c r="D21" s="135" t="s">
        <v>451</v>
      </c>
      <c r="E21" s="151" t="s">
        <v>73</v>
      </c>
      <c r="F21" s="152" t="s">
        <v>74</v>
      </c>
      <c r="G21" s="152" t="s">
        <v>31</v>
      </c>
      <c r="H21" s="144" t="s">
        <v>378</v>
      </c>
      <c r="I21" s="152" t="s">
        <v>415</v>
      </c>
      <c r="J21" s="153">
        <v>300</v>
      </c>
      <c r="K21" s="152">
        <v>0</v>
      </c>
      <c r="L21" s="153">
        <f t="shared" si="0"/>
        <v>300</v>
      </c>
      <c r="M21" s="154">
        <v>0</v>
      </c>
      <c r="N21" s="153">
        <v>0</v>
      </c>
      <c r="O21" s="153">
        <f t="shared" si="1"/>
        <v>300</v>
      </c>
      <c r="P21" s="155">
        <f>IFERROR(O21/Q21,"")</f>
        <v>0.5</v>
      </c>
      <c r="Q21" s="156">
        <f>SUMIFS(O:O,E:E,E21,B:B,B21,T:T,T21)</f>
        <v>600</v>
      </c>
      <c r="R21" s="156">
        <f>U21-SUMIFS(Q:Q,A:A,A21,B:B,B21,G:G,G21,E:E,E21,T:T,"Fixed Price ( Base Price with GST)")</f>
        <v>600</v>
      </c>
      <c r="S21" s="156">
        <f>P21*R21</f>
        <v>300</v>
      </c>
      <c r="T21" s="152" t="s">
        <v>76</v>
      </c>
      <c r="U21" s="152">
        <f t="shared" si="2"/>
        <v>2699</v>
      </c>
      <c r="V21" s="157">
        <v>490110</v>
      </c>
      <c r="W21" s="157">
        <v>4000007807</v>
      </c>
    </row>
    <row r="22" spans="1:23">
      <c r="A22" s="135" t="s">
        <v>431</v>
      </c>
      <c r="B22" s="135" t="s">
        <v>41</v>
      </c>
      <c r="C22" s="135" t="s">
        <v>380</v>
      </c>
      <c r="D22" s="135" t="s">
        <v>452</v>
      </c>
      <c r="E22" s="151" t="s">
        <v>73</v>
      </c>
      <c r="F22" s="144" t="s">
        <v>90</v>
      </c>
      <c r="G22" s="152" t="s">
        <v>31</v>
      </c>
      <c r="H22" s="144" t="s">
        <v>378</v>
      </c>
      <c r="I22" s="152" t="s">
        <v>417</v>
      </c>
      <c r="J22" s="145">
        <v>1613.18</v>
      </c>
      <c r="K22" s="158">
        <v>0</v>
      </c>
      <c r="L22" s="159">
        <f t="shared" si="0"/>
        <v>1613.18</v>
      </c>
      <c r="M22" s="160">
        <v>0.18</v>
      </c>
      <c r="N22" s="145">
        <v>485.82</v>
      </c>
      <c r="O22" s="159">
        <f t="shared" si="1"/>
        <v>2099</v>
      </c>
      <c r="P22" s="161">
        <v>0</v>
      </c>
      <c r="Q22" s="162">
        <f>O22</f>
        <v>2099</v>
      </c>
      <c r="R22" s="162">
        <f>Q22</f>
        <v>2099</v>
      </c>
      <c r="S22" s="162">
        <f>R22</f>
        <v>2099</v>
      </c>
      <c r="T22" s="152" t="s">
        <v>91</v>
      </c>
      <c r="U22" s="152">
        <f t="shared" si="2"/>
        <v>2699</v>
      </c>
      <c r="V22" s="163">
        <v>902300</v>
      </c>
      <c r="W22" s="163">
        <v>7000000105</v>
      </c>
    </row>
    <row r="23" spans="1:23">
      <c r="A23" s="135" t="s">
        <v>431</v>
      </c>
      <c r="B23" s="135" t="s">
        <v>42</v>
      </c>
      <c r="C23" s="135" t="s">
        <v>372</v>
      </c>
      <c r="D23" s="135" t="s">
        <v>453</v>
      </c>
      <c r="E23" s="151" t="s">
        <v>73</v>
      </c>
      <c r="F23" s="152" t="s">
        <v>74</v>
      </c>
      <c r="G23" s="152" t="s">
        <v>31</v>
      </c>
      <c r="H23" s="138" t="s">
        <v>374</v>
      </c>
      <c r="I23" s="152" t="s">
        <v>419</v>
      </c>
      <c r="J23" s="153">
        <v>300</v>
      </c>
      <c r="K23" s="50"/>
      <c r="L23" s="153">
        <f t="shared" si="0"/>
        <v>300</v>
      </c>
      <c r="M23" s="154">
        <v>0</v>
      </c>
      <c r="N23" s="153">
        <v>0</v>
      </c>
      <c r="O23" s="153">
        <f t="shared" si="1"/>
        <v>300</v>
      </c>
      <c r="P23" s="155">
        <f>IFERROR(O23/Q23,"")</f>
        <v>0.5</v>
      </c>
      <c r="Q23" s="156">
        <f>SUMIFS(O:O,E:E,E23,B:B,B23,T:T,T23)</f>
        <v>600</v>
      </c>
      <c r="R23" s="156">
        <f>U23-SUMIFS(Q:Q,A:A,A23,B:B,B23,G:G,G23,E:E,E23,T:T,"Fixed Price ( Base Price with GST)")</f>
        <v>600</v>
      </c>
      <c r="S23" s="156">
        <f>P23*R23</f>
        <v>300</v>
      </c>
      <c r="T23" s="152" t="s">
        <v>76</v>
      </c>
      <c r="U23" s="152">
        <f t="shared" si="2"/>
        <v>2699</v>
      </c>
      <c r="V23" s="157">
        <v>490110</v>
      </c>
      <c r="W23" s="157">
        <v>4000007800</v>
      </c>
    </row>
    <row r="24" spans="1:23">
      <c r="A24" s="135" t="s">
        <v>431</v>
      </c>
      <c r="B24" s="135" t="s">
        <v>42</v>
      </c>
      <c r="C24" s="135" t="s">
        <v>376</v>
      </c>
      <c r="D24" s="135" t="s">
        <v>454</v>
      </c>
      <c r="E24" s="151" t="s">
        <v>73</v>
      </c>
      <c r="F24" s="152" t="s">
        <v>74</v>
      </c>
      <c r="G24" s="152" t="s">
        <v>31</v>
      </c>
      <c r="H24" s="144" t="s">
        <v>378</v>
      </c>
      <c r="I24" s="152" t="s">
        <v>421</v>
      </c>
      <c r="J24" s="153">
        <v>300</v>
      </c>
      <c r="K24" s="152">
        <v>0</v>
      </c>
      <c r="L24" s="153">
        <f t="shared" si="0"/>
        <v>300</v>
      </c>
      <c r="M24" s="154">
        <v>0</v>
      </c>
      <c r="N24" s="153">
        <v>0</v>
      </c>
      <c r="O24" s="153">
        <f t="shared" si="1"/>
        <v>300</v>
      </c>
      <c r="P24" s="155">
        <f>IFERROR(O24/Q24,"")</f>
        <v>0.5</v>
      </c>
      <c r="Q24" s="156">
        <f>SUMIFS(O:O,E:E,E24,B:B,B24,T:T,T24)</f>
        <v>600</v>
      </c>
      <c r="R24" s="156">
        <f>U24-SUMIFS(Q:Q,A:A,A24,B:B,B24,G:G,G24,E:E,E24,T:T,"Fixed Price ( Base Price with GST)")</f>
        <v>600</v>
      </c>
      <c r="S24" s="156">
        <f>P24*R24</f>
        <v>300</v>
      </c>
      <c r="T24" s="152" t="s">
        <v>76</v>
      </c>
      <c r="U24" s="152">
        <f t="shared" si="2"/>
        <v>2699</v>
      </c>
      <c r="V24" s="157">
        <v>490110</v>
      </c>
      <c r="W24" s="157">
        <v>4000007808</v>
      </c>
    </row>
    <row r="25" spans="1:23">
      <c r="A25" s="135" t="s">
        <v>431</v>
      </c>
      <c r="B25" s="135" t="s">
        <v>42</v>
      </c>
      <c r="C25" s="135" t="s">
        <v>380</v>
      </c>
      <c r="D25" s="135" t="s">
        <v>455</v>
      </c>
      <c r="E25" s="151" t="s">
        <v>73</v>
      </c>
      <c r="F25" s="144" t="s">
        <v>90</v>
      </c>
      <c r="G25" s="152" t="s">
        <v>31</v>
      </c>
      <c r="H25" s="144" t="s">
        <v>378</v>
      </c>
      <c r="I25" s="152" t="s">
        <v>423</v>
      </c>
      <c r="J25" s="145">
        <v>1613.18</v>
      </c>
      <c r="K25" s="158">
        <v>0</v>
      </c>
      <c r="L25" s="159">
        <f t="shared" si="0"/>
        <v>1613.18</v>
      </c>
      <c r="M25" s="160">
        <v>0.18</v>
      </c>
      <c r="N25" s="145">
        <v>485.82</v>
      </c>
      <c r="O25" s="159">
        <f t="shared" si="1"/>
        <v>2099</v>
      </c>
      <c r="P25" s="161">
        <v>0</v>
      </c>
      <c r="Q25" s="162">
        <f>O25</f>
        <v>2099</v>
      </c>
      <c r="R25" s="162">
        <f>Q25</f>
        <v>2099</v>
      </c>
      <c r="S25" s="162">
        <f>R25</f>
        <v>2099</v>
      </c>
      <c r="T25" s="152" t="s">
        <v>91</v>
      </c>
      <c r="U25" s="152">
        <f t="shared" si="2"/>
        <v>2699</v>
      </c>
      <c r="V25" s="163">
        <v>902300</v>
      </c>
      <c r="W25" s="163">
        <v>7000000214</v>
      </c>
    </row>
    <row r="26" spans="1:23">
      <c r="A26" s="135" t="s">
        <v>431</v>
      </c>
      <c r="B26" s="135" t="s">
        <v>48</v>
      </c>
      <c r="C26" s="135" t="s">
        <v>372</v>
      </c>
      <c r="D26" s="135" t="s">
        <v>456</v>
      </c>
      <c r="E26" s="151" t="s">
        <v>73</v>
      </c>
      <c r="F26" s="152" t="s">
        <v>74</v>
      </c>
      <c r="G26" s="152" t="s">
        <v>31</v>
      </c>
      <c r="H26" s="138" t="s">
        <v>374</v>
      </c>
      <c r="I26" s="152" t="s">
        <v>425</v>
      </c>
      <c r="J26" s="153">
        <v>300</v>
      </c>
      <c r="K26" s="50"/>
      <c r="L26" s="153">
        <f t="shared" si="0"/>
        <v>300</v>
      </c>
      <c r="M26" s="154">
        <v>0</v>
      </c>
      <c r="N26" s="153">
        <v>0</v>
      </c>
      <c r="O26" s="153">
        <f t="shared" si="1"/>
        <v>300</v>
      </c>
      <c r="P26" s="155">
        <f>IFERROR(O26/Q26,"")</f>
        <v>0.5</v>
      </c>
      <c r="Q26" s="156">
        <f>SUMIFS(O:O,E:E,E26,B:B,B26,T:T,T26)</f>
        <v>600</v>
      </c>
      <c r="R26" s="156">
        <f>U26-SUMIFS(Q:Q,A:A,A26,B:B,B26,G:G,G26,E:E,E26,T:T,"Fixed Price ( Base Price with GST)")</f>
        <v>600</v>
      </c>
      <c r="S26" s="156">
        <f>P26*R26</f>
        <v>300</v>
      </c>
      <c r="T26" s="152" t="s">
        <v>76</v>
      </c>
      <c r="U26" s="152">
        <f t="shared" si="2"/>
        <v>2699</v>
      </c>
      <c r="V26" s="157">
        <v>490110</v>
      </c>
      <c r="W26" s="157">
        <v>4000007801</v>
      </c>
    </row>
    <row r="27" spans="1:23">
      <c r="A27" s="135" t="s">
        <v>431</v>
      </c>
      <c r="B27" s="135" t="s">
        <v>48</v>
      </c>
      <c r="C27" s="135" t="s">
        <v>376</v>
      </c>
      <c r="D27" s="135" t="s">
        <v>457</v>
      </c>
      <c r="E27" s="151" t="s">
        <v>73</v>
      </c>
      <c r="F27" s="152" t="s">
        <v>74</v>
      </c>
      <c r="G27" s="152" t="s">
        <v>31</v>
      </c>
      <c r="H27" s="144" t="s">
        <v>378</v>
      </c>
      <c r="I27" s="152" t="s">
        <v>427</v>
      </c>
      <c r="J27" s="153">
        <v>300</v>
      </c>
      <c r="K27" s="152">
        <v>0</v>
      </c>
      <c r="L27" s="153">
        <f t="shared" si="0"/>
        <v>300</v>
      </c>
      <c r="M27" s="154">
        <v>0</v>
      </c>
      <c r="N27" s="153">
        <v>0</v>
      </c>
      <c r="O27" s="153">
        <f t="shared" si="1"/>
        <v>300</v>
      </c>
      <c r="P27" s="155">
        <f>IFERROR(O27/Q27,"")</f>
        <v>0.5</v>
      </c>
      <c r="Q27" s="156">
        <f>SUMIFS(O:O,E:E,E27,B:B,B27,T:T,T27)</f>
        <v>600</v>
      </c>
      <c r="R27" s="156">
        <f>U27-SUMIFS(Q:Q,A:A,A27,B:B,B27,G:G,G27,E:E,E27,T:T,"Fixed Price ( Base Price with GST)")</f>
        <v>600</v>
      </c>
      <c r="S27" s="156">
        <f>P27*R27</f>
        <v>300</v>
      </c>
      <c r="T27" s="152" t="s">
        <v>76</v>
      </c>
      <c r="U27" s="152">
        <f t="shared" si="2"/>
        <v>2699</v>
      </c>
      <c r="V27" s="157">
        <v>490110</v>
      </c>
      <c r="W27" s="157">
        <v>4000007809</v>
      </c>
    </row>
    <row r="28" spans="1:23">
      <c r="A28" s="135" t="s">
        <v>431</v>
      </c>
      <c r="B28" s="135" t="s">
        <v>48</v>
      </c>
      <c r="C28" s="135" t="s">
        <v>380</v>
      </c>
      <c r="D28" s="135" t="s">
        <v>428</v>
      </c>
      <c r="E28" s="151" t="s">
        <v>73</v>
      </c>
      <c r="F28" s="144" t="s">
        <v>90</v>
      </c>
      <c r="G28" s="152" t="s">
        <v>31</v>
      </c>
      <c r="H28" s="144" t="s">
        <v>378</v>
      </c>
      <c r="I28" s="152" t="s">
        <v>429</v>
      </c>
      <c r="J28" s="145">
        <v>1613.18</v>
      </c>
      <c r="K28" s="158">
        <v>0</v>
      </c>
      <c r="L28" s="159">
        <f t="shared" si="0"/>
        <v>1613.18</v>
      </c>
      <c r="M28" s="160">
        <v>0.18</v>
      </c>
      <c r="N28" s="145">
        <v>485.82</v>
      </c>
      <c r="O28" s="159">
        <f t="shared" si="1"/>
        <v>2099</v>
      </c>
      <c r="P28" s="161">
        <v>0</v>
      </c>
      <c r="Q28" s="162">
        <f>O28</f>
        <v>2099</v>
      </c>
      <c r="R28" s="162">
        <f>Q28</f>
        <v>2099</v>
      </c>
      <c r="S28" s="162">
        <f>R28</f>
        <v>2099</v>
      </c>
      <c r="T28" s="152" t="s">
        <v>91</v>
      </c>
      <c r="U28" s="152">
        <f t="shared" si="2"/>
        <v>2699</v>
      </c>
      <c r="V28" s="163">
        <v>902300</v>
      </c>
      <c r="W28" s="163">
        <v>7000000215</v>
      </c>
    </row>
    <row r="29" spans="1:23">
      <c r="A29" s="135" t="s">
        <v>431</v>
      </c>
      <c r="B29" s="164" t="s">
        <v>35</v>
      </c>
      <c r="C29" s="164" t="s">
        <v>372</v>
      </c>
      <c r="D29" s="164" t="s">
        <v>432</v>
      </c>
      <c r="E29" s="165" t="s">
        <v>430</v>
      </c>
      <c r="F29" s="146" t="s">
        <v>74</v>
      </c>
      <c r="G29" s="146" t="s">
        <v>31</v>
      </c>
      <c r="H29" s="138" t="s">
        <v>374</v>
      </c>
      <c r="I29" s="107" t="s">
        <v>375</v>
      </c>
      <c r="J29" s="139">
        <v>300</v>
      </c>
      <c r="K29" s="50"/>
      <c r="L29" s="139">
        <f t="shared" si="0"/>
        <v>300</v>
      </c>
      <c r="M29" s="140">
        <v>0</v>
      </c>
      <c r="N29" s="139">
        <v>0</v>
      </c>
      <c r="O29" s="139">
        <f t="shared" si="1"/>
        <v>300</v>
      </c>
      <c r="P29" s="141">
        <f>IFERROR(O29/Q29,"")</f>
        <v>0.5</v>
      </c>
      <c r="Q29" s="142">
        <f>SUMIFS(O:O,E:E,E29,B:B,B29,T:T,T29)</f>
        <v>600</v>
      </c>
      <c r="R29" s="142">
        <f>U29-SUMIFS(Q:Q,A:A,A29,B:B,B29,G:G,G29,E:E,E29,T:T,"Fixed Price ( Base Price with GST)")</f>
        <v>600</v>
      </c>
      <c r="S29" s="142">
        <f>P29*R29</f>
        <v>300</v>
      </c>
      <c r="T29" s="107" t="s">
        <v>76</v>
      </c>
      <c r="U29" s="107">
        <v>1099</v>
      </c>
      <c r="V29" s="143">
        <v>490110</v>
      </c>
      <c r="W29" s="143">
        <v>4000007793</v>
      </c>
    </row>
    <row r="30" spans="1:23">
      <c r="A30" s="135" t="s">
        <v>431</v>
      </c>
      <c r="B30" s="164" t="s">
        <v>35</v>
      </c>
      <c r="C30" s="164" t="s">
        <v>376</v>
      </c>
      <c r="D30" s="164" t="s">
        <v>433</v>
      </c>
      <c r="E30" s="165" t="s">
        <v>430</v>
      </c>
      <c r="F30" s="146" t="s">
        <v>74</v>
      </c>
      <c r="G30" s="146" t="s">
        <v>31</v>
      </c>
      <c r="H30" s="144" t="s">
        <v>378</v>
      </c>
      <c r="I30" s="107" t="s">
        <v>379</v>
      </c>
      <c r="J30" s="139">
        <v>300</v>
      </c>
      <c r="K30" s="107">
        <v>0</v>
      </c>
      <c r="L30" s="139">
        <f t="shared" si="0"/>
        <v>300</v>
      </c>
      <c r="M30" s="140">
        <v>0</v>
      </c>
      <c r="N30" s="139">
        <v>0</v>
      </c>
      <c r="O30" s="139">
        <f t="shared" si="1"/>
        <v>300</v>
      </c>
      <c r="P30" s="141">
        <f>IFERROR(O30/Q30,"")</f>
        <v>0.5</v>
      </c>
      <c r="Q30" s="142">
        <f>SUMIFS(O:O,E:E,E30,B:B,B30,T:T,T30)</f>
        <v>600</v>
      </c>
      <c r="R30" s="142">
        <f>U30-SUMIFS(Q:Q,A:A,A30,B:B,B30,G:G,G30,E:E,E30,T:T,"Fixed Price ( Base Price with GST)")</f>
        <v>600</v>
      </c>
      <c r="S30" s="142">
        <f>P30*R30</f>
        <v>300</v>
      </c>
      <c r="T30" s="107" t="s">
        <v>76</v>
      </c>
      <c r="U30" s="107">
        <f t="shared" ref="U30:U55" si="3">SUMIFS(O:O,A:A,A30,E:E,E30,B:B,B30)</f>
        <v>1099</v>
      </c>
      <c r="V30" s="143">
        <v>490110</v>
      </c>
      <c r="W30" s="143">
        <v>4000007792</v>
      </c>
    </row>
    <row r="31" spans="1:23">
      <c r="A31" s="135" t="s">
        <v>431</v>
      </c>
      <c r="B31" s="164" t="s">
        <v>35</v>
      </c>
      <c r="C31" s="164" t="s">
        <v>380</v>
      </c>
      <c r="D31" s="164" t="s">
        <v>434</v>
      </c>
      <c r="E31" s="165" t="s">
        <v>430</v>
      </c>
      <c r="F31" s="144" t="s">
        <v>90</v>
      </c>
      <c r="G31" s="146" t="s">
        <v>31</v>
      </c>
      <c r="H31" s="144" t="s">
        <v>378</v>
      </c>
      <c r="I31" s="107" t="s">
        <v>382</v>
      </c>
      <c r="J31" s="145">
        <v>301.18</v>
      </c>
      <c r="K31" s="146">
        <v>0</v>
      </c>
      <c r="L31" s="145">
        <f t="shared" si="0"/>
        <v>301.18</v>
      </c>
      <c r="M31" s="147">
        <v>0.18</v>
      </c>
      <c r="N31" s="145">
        <v>197.82</v>
      </c>
      <c r="O31" s="145">
        <f t="shared" si="1"/>
        <v>499</v>
      </c>
      <c r="P31" s="148">
        <v>0</v>
      </c>
      <c r="Q31" s="149">
        <f>O31</f>
        <v>499</v>
      </c>
      <c r="R31" s="149">
        <f>Q31</f>
        <v>499</v>
      </c>
      <c r="S31" s="149">
        <f>R31</f>
        <v>499</v>
      </c>
      <c r="T31" s="107" t="s">
        <v>91</v>
      </c>
      <c r="U31" s="107">
        <f t="shared" si="3"/>
        <v>1099</v>
      </c>
      <c r="V31" s="150">
        <v>902300</v>
      </c>
      <c r="W31" s="150">
        <v>7000000099</v>
      </c>
    </row>
    <row r="32" spans="1:23">
      <c r="A32" s="135" t="s">
        <v>431</v>
      </c>
      <c r="B32" s="164" t="s">
        <v>36</v>
      </c>
      <c r="C32" s="164" t="s">
        <v>372</v>
      </c>
      <c r="D32" s="164" t="s">
        <v>435</v>
      </c>
      <c r="E32" s="165" t="s">
        <v>430</v>
      </c>
      <c r="F32" s="146" t="s">
        <v>74</v>
      </c>
      <c r="G32" s="146" t="s">
        <v>31</v>
      </c>
      <c r="H32" s="138" t="s">
        <v>374</v>
      </c>
      <c r="I32" s="107" t="s">
        <v>384</v>
      </c>
      <c r="J32" s="139">
        <v>300</v>
      </c>
      <c r="K32" s="50"/>
      <c r="L32" s="139">
        <f t="shared" si="0"/>
        <v>300</v>
      </c>
      <c r="M32" s="140">
        <v>0</v>
      </c>
      <c r="N32" s="139">
        <v>0</v>
      </c>
      <c r="O32" s="139">
        <f t="shared" si="1"/>
        <v>300</v>
      </c>
      <c r="P32" s="141">
        <f>IFERROR(O32/Q32,"")</f>
        <v>0.5</v>
      </c>
      <c r="Q32" s="142">
        <f>SUMIFS(O:O,E:E,E32,B:B,B32,T:T,T32)</f>
        <v>600</v>
      </c>
      <c r="R32" s="142">
        <f>U32-SUMIFS(Q:Q,A:A,A32,B:B,B32,G:G,G32,E:E,E32,T:T,"Fixed Price ( Base Price with GST)")</f>
        <v>600</v>
      </c>
      <c r="S32" s="142">
        <f>P32*R32</f>
        <v>300</v>
      </c>
      <c r="T32" s="107" t="s">
        <v>76</v>
      </c>
      <c r="U32" s="107">
        <f t="shared" si="3"/>
        <v>1099</v>
      </c>
      <c r="V32" s="143">
        <v>490110</v>
      </c>
      <c r="W32" s="143">
        <v>4000007794</v>
      </c>
    </row>
    <row r="33" spans="1:23">
      <c r="A33" s="135" t="s">
        <v>431</v>
      </c>
      <c r="B33" s="164" t="s">
        <v>36</v>
      </c>
      <c r="C33" s="164" t="s">
        <v>376</v>
      </c>
      <c r="D33" s="164" t="s">
        <v>436</v>
      </c>
      <c r="E33" s="165" t="s">
        <v>430</v>
      </c>
      <c r="F33" s="146" t="s">
        <v>74</v>
      </c>
      <c r="G33" s="146" t="s">
        <v>31</v>
      </c>
      <c r="H33" s="144" t="s">
        <v>378</v>
      </c>
      <c r="I33" s="107" t="s">
        <v>386</v>
      </c>
      <c r="J33" s="139">
        <v>300</v>
      </c>
      <c r="K33" s="107">
        <v>0</v>
      </c>
      <c r="L33" s="139">
        <f t="shared" si="0"/>
        <v>300</v>
      </c>
      <c r="M33" s="140">
        <v>0</v>
      </c>
      <c r="N33" s="139">
        <v>0</v>
      </c>
      <c r="O33" s="139">
        <f t="shared" si="1"/>
        <v>300</v>
      </c>
      <c r="P33" s="141">
        <f>IFERROR(O33/Q33,"")</f>
        <v>0.5</v>
      </c>
      <c r="Q33" s="142">
        <f>SUMIFS(O:O,E:E,E33,B:B,B33,T:T,T33)</f>
        <v>600</v>
      </c>
      <c r="R33" s="142">
        <f>U33-SUMIFS(Q:Q,A:A,A33,B:B,B33,G:G,G33,E:E,E33,T:T,"Fixed Price ( Base Price with GST)")</f>
        <v>600</v>
      </c>
      <c r="S33" s="142">
        <f>P33*R33</f>
        <v>300</v>
      </c>
      <c r="T33" s="107" t="s">
        <v>76</v>
      </c>
      <c r="U33" s="107">
        <f t="shared" si="3"/>
        <v>1099</v>
      </c>
      <c r="V33" s="143">
        <v>490110</v>
      </c>
      <c r="W33" s="143">
        <v>4000007802</v>
      </c>
    </row>
    <row r="34" spans="1:23">
      <c r="A34" s="135" t="s">
        <v>431</v>
      </c>
      <c r="B34" s="164" t="s">
        <v>36</v>
      </c>
      <c r="C34" s="164" t="s">
        <v>380</v>
      </c>
      <c r="D34" s="164" t="s">
        <v>437</v>
      </c>
      <c r="E34" s="165" t="s">
        <v>430</v>
      </c>
      <c r="F34" s="144" t="s">
        <v>90</v>
      </c>
      <c r="G34" s="146" t="s">
        <v>31</v>
      </c>
      <c r="H34" s="144" t="s">
        <v>378</v>
      </c>
      <c r="I34" s="107" t="s">
        <v>382</v>
      </c>
      <c r="J34" s="145">
        <v>301.18</v>
      </c>
      <c r="K34" s="146">
        <v>0</v>
      </c>
      <c r="L34" s="145">
        <f t="shared" ref="L34:L55" si="4">J34+K34</f>
        <v>301.18</v>
      </c>
      <c r="M34" s="147">
        <v>0.18</v>
      </c>
      <c r="N34" s="145">
        <v>197.82</v>
      </c>
      <c r="O34" s="145">
        <f t="shared" ref="O34:O55" si="5">L34+N34</f>
        <v>499</v>
      </c>
      <c r="P34" s="148">
        <v>0</v>
      </c>
      <c r="Q34" s="149">
        <f>O34</f>
        <v>499</v>
      </c>
      <c r="R34" s="149">
        <f>Q34</f>
        <v>499</v>
      </c>
      <c r="S34" s="149">
        <f>R34</f>
        <v>499</v>
      </c>
      <c r="T34" s="107" t="s">
        <v>91</v>
      </c>
      <c r="U34" s="107">
        <f t="shared" si="3"/>
        <v>1099</v>
      </c>
      <c r="V34" s="150">
        <v>902300</v>
      </c>
      <c r="W34" s="150">
        <v>7000000100</v>
      </c>
    </row>
    <row r="35" spans="1:23">
      <c r="A35" s="135" t="s">
        <v>431</v>
      </c>
      <c r="B35" s="164" t="s">
        <v>37</v>
      </c>
      <c r="C35" s="164" t="s">
        <v>372</v>
      </c>
      <c r="D35" s="164" t="s">
        <v>438</v>
      </c>
      <c r="E35" s="165" t="s">
        <v>430</v>
      </c>
      <c r="F35" s="146" t="s">
        <v>74</v>
      </c>
      <c r="G35" s="146" t="s">
        <v>31</v>
      </c>
      <c r="H35" s="138" t="s">
        <v>374</v>
      </c>
      <c r="I35" s="107" t="s">
        <v>389</v>
      </c>
      <c r="J35" s="139">
        <v>300</v>
      </c>
      <c r="K35" s="50"/>
      <c r="L35" s="139">
        <f t="shared" si="4"/>
        <v>300</v>
      </c>
      <c r="M35" s="140">
        <v>0</v>
      </c>
      <c r="N35" s="139">
        <v>0</v>
      </c>
      <c r="O35" s="139">
        <f t="shared" si="5"/>
        <v>300</v>
      </c>
      <c r="P35" s="141">
        <f>IFERROR(O35/Q35,"")</f>
        <v>0.5</v>
      </c>
      <c r="Q35" s="142">
        <f>SUMIFS(O:O,E:E,E35,B:B,B35,T:T,T35)</f>
        <v>600</v>
      </c>
      <c r="R35" s="142">
        <f>U35-SUMIFS(Q:Q,A:A,A35,B:B,B35,G:G,G35,E:E,E35,T:T,"Fixed Price ( Base Price with GST)")</f>
        <v>600</v>
      </c>
      <c r="S35" s="142">
        <f>P35*R35</f>
        <v>300</v>
      </c>
      <c r="T35" s="107" t="s">
        <v>76</v>
      </c>
      <c r="U35" s="107">
        <f t="shared" si="3"/>
        <v>1099</v>
      </c>
      <c r="V35" s="143">
        <v>490110</v>
      </c>
      <c r="W35" s="143">
        <v>4000007795</v>
      </c>
    </row>
    <row r="36" spans="1:23">
      <c r="A36" s="135" t="s">
        <v>431</v>
      </c>
      <c r="B36" s="164" t="s">
        <v>37</v>
      </c>
      <c r="C36" s="164" t="s">
        <v>376</v>
      </c>
      <c r="D36" s="164" t="s">
        <v>439</v>
      </c>
      <c r="E36" s="165" t="s">
        <v>430</v>
      </c>
      <c r="F36" s="146" t="s">
        <v>74</v>
      </c>
      <c r="G36" s="146" t="s">
        <v>31</v>
      </c>
      <c r="H36" s="144" t="s">
        <v>378</v>
      </c>
      <c r="I36" s="107" t="s">
        <v>391</v>
      </c>
      <c r="J36" s="139">
        <v>300</v>
      </c>
      <c r="K36" s="107">
        <v>0</v>
      </c>
      <c r="L36" s="139">
        <f t="shared" si="4"/>
        <v>300</v>
      </c>
      <c r="M36" s="140">
        <v>0</v>
      </c>
      <c r="N36" s="139">
        <v>0</v>
      </c>
      <c r="O36" s="139">
        <f t="shared" si="5"/>
        <v>300</v>
      </c>
      <c r="P36" s="141">
        <f>IFERROR(O36/Q36,"")</f>
        <v>0.5</v>
      </c>
      <c r="Q36" s="142">
        <f>SUMIFS(O:O,E:E,E36,B:B,B36,T:T,T36)</f>
        <v>600</v>
      </c>
      <c r="R36" s="142">
        <f>U36-SUMIFS(Q:Q,A:A,A36,B:B,B36,G:G,G36,E:E,E36,T:T,"Fixed Price ( Base Price with GST)")</f>
        <v>600</v>
      </c>
      <c r="S36" s="142">
        <f>P36*R36</f>
        <v>300</v>
      </c>
      <c r="T36" s="107" t="s">
        <v>76</v>
      </c>
      <c r="U36" s="107">
        <f t="shared" si="3"/>
        <v>1099</v>
      </c>
      <c r="V36" s="143">
        <v>490110</v>
      </c>
      <c r="W36" s="143">
        <v>4000007803</v>
      </c>
    </row>
    <row r="37" spans="1:23">
      <c r="A37" s="135" t="s">
        <v>431</v>
      </c>
      <c r="B37" s="164" t="s">
        <v>37</v>
      </c>
      <c r="C37" s="164" t="s">
        <v>380</v>
      </c>
      <c r="D37" s="164" t="s">
        <v>440</v>
      </c>
      <c r="E37" s="165" t="s">
        <v>430</v>
      </c>
      <c r="F37" s="144" t="s">
        <v>90</v>
      </c>
      <c r="G37" s="146" t="s">
        <v>31</v>
      </c>
      <c r="H37" s="144" t="s">
        <v>378</v>
      </c>
      <c r="I37" s="107" t="s">
        <v>393</v>
      </c>
      <c r="J37" s="145">
        <v>301.18</v>
      </c>
      <c r="K37" s="146">
        <v>0</v>
      </c>
      <c r="L37" s="145">
        <f t="shared" si="4"/>
        <v>301.18</v>
      </c>
      <c r="M37" s="147">
        <v>0.18</v>
      </c>
      <c r="N37" s="145">
        <v>197.82</v>
      </c>
      <c r="O37" s="145">
        <f t="shared" si="5"/>
        <v>499</v>
      </c>
      <c r="P37" s="148">
        <v>0</v>
      </c>
      <c r="Q37" s="149">
        <f>O37</f>
        <v>499</v>
      </c>
      <c r="R37" s="149">
        <f>Q37</f>
        <v>499</v>
      </c>
      <c r="S37" s="149">
        <f>R37</f>
        <v>499</v>
      </c>
      <c r="T37" s="107" t="s">
        <v>91</v>
      </c>
      <c r="U37" s="107">
        <f t="shared" si="3"/>
        <v>1099</v>
      </c>
      <c r="V37" s="150">
        <v>902300</v>
      </c>
      <c r="W37" s="150">
        <v>7000000101</v>
      </c>
    </row>
    <row r="38" spans="1:23">
      <c r="A38" s="135" t="s">
        <v>431</v>
      </c>
      <c r="B38" s="164" t="s">
        <v>38</v>
      </c>
      <c r="C38" s="164" t="s">
        <v>372</v>
      </c>
      <c r="D38" s="164" t="s">
        <v>441</v>
      </c>
      <c r="E38" s="165" t="s">
        <v>430</v>
      </c>
      <c r="F38" s="146" t="s">
        <v>74</v>
      </c>
      <c r="G38" s="146" t="s">
        <v>31</v>
      </c>
      <c r="H38" s="138" t="s">
        <v>374</v>
      </c>
      <c r="I38" s="107" t="s">
        <v>395</v>
      </c>
      <c r="J38" s="139">
        <v>300</v>
      </c>
      <c r="K38" s="50"/>
      <c r="L38" s="139">
        <f t="shared" si="4"/>
        <v>300</v>
      </c>
      <c r="M38" s="140">
        <v>0</v>
      </c>
      <c r="N38" s="139">
        <v>0</v>
      </c>
      <c r="O38" s="139">
        <f t="shared" si="5"/>
        <v>300</v>
      </c>
      <c r="P38" s="141">
        <f>IFERROR(O38/Q38,"")</f>
        <v>0.5</v>
      </c>
      <c r="Q38" s="142">
        <f>SUMIFS(O:O,E:E,E38,B:B,B38,T:T,T38)</f>
        <v>600</v>
      </c>
      <c r="R38" s="142">
        <f>U38-SUMIFS(Q:Q,A:A,A38,B:B,B38,G:G,G38,E:E,E38,T:T,"Fixed Price ( Base Price with GST)")</f>
        <v>600</v>
      </c>
      <c r="S38" s="142">
        <f>P38*R38</f>
        <v>300</v>
      </c>
      <c r="T38" s="107" t="s">
        <v>76</v>
      </c>
      <c r="U38" s="107">
        <f t="shared" si="3"/>
        <v>1099</v>
      </c>
      <c r="V38" s="143">
        <v>490110</v>
      </c>
      <c r="W38" s="143">
        <v>4000007796</v>
      </c>
    </row>
    <row r="39" spans="1:23">
      <c r="A39" s="135" t="s">
        <v>431</v>
      </c>
      <c r="B39" s="164" t="s">
        <v>38</v>
      </c>
      <c r="C39" s="164" t="s">
        <v>376</v>
      </c>
      <c r="D39" s="164" t="s">
        <v>442</v>
      </c>
      <c r="E39" s="165" t="s">
        <v>430</v>
      </c>
      <c r="F39" s="146" t="s">
        <v>74</v>
      </c>
      <c r="G39" s="146" t="s">
        <v>31</v>
      </c>
      <c r="H39" s="144" t="s">
        <v>378</v>
      </c>
      <c r="I39" s="107" t="s">
        <v>397</v>
      </c>
      <c r="J39" s="139">
        <v>300</v>
      </c>
      <c r="K39" s="107">
        <v>0</v>
      </c>
      <c r="L39" s="139">
        <f t="shared" si="4"/>
        <v>300</v>
      </c>
      <c r="M39" s="140">
        <v>0</v>
      </c>
      <c r="N39" s="139">
        <v>0</v>
      </c>
      <c r="O39" s="139">
        <f t="shared" si="5"/>
        <v>300</v>
      </c>
      <c r="P39" s="141">
        <f>IFERROR(O39/Q39,"")</f>
        <v>0.5</v>
      </c>
      <c r="Q39" s="142">
        <f>SUMIFS(O:O,E:E,E39,B:B,B39,T:T,T39)</f>
        <v>600</v>
      </c>
      <c r="R39" s="142">
        <f>U39-SUMIFS(Q:Q,A:A,A39,B:B,B39,G:G,G39,E:E,E39,T:T,"Fixed Price ( Base Price with GST)")</f>
        <v>600</v>
      </c>
      <c r="S39" s="142">
        <f>P39*R39</f>
        <v>300</v>
      </c>
      <c r="T39" s="107" t="s">
        <v>76</v>
      </c>
      <c r="U39" s="107">
        <f t="shared" si="3"/>
        <v>1099</v>
      </c>
      <c r="V39" s="143">
        <v>490110</v>
      </c>
      <c r="W39" s="143">
        <v>4000007804</v>
      </c>
    </row>
    <row r="40" spans="1:23">
      <c r="A40" s="135" t="s">
        <v>431</v>
      </c>
      <c r="B40" s="164" t="s">
        <v>38</v>
      </c>
      <c r="C40" s="164" t="s">
        <v>380</v>
      </c>
      <c r="D40" s="164" t="s">
        <v>443</v>
      </c>
      <c r="E40" s="165" t="s">
        <v>430</v>
      </c>
      <c r="F40" s="144" t="s">
        <v>90</v>
      </c>
      <c r="G40" s="146" t="s">
        <v>31</v>
      </c>
      <c r="H40" s="144" t="s">
        <v>378</v>
      </c>
      <c r="I40" s="107" t="s">
        <v>399</v>
      </c>
      <c r="J40" s="145">
        <v>301.18</v>
      </c>
      <c r="K40" s="146">
        <v>0</v>
      </c>
      <c r="L40" s="145">
        <f t="shared" si="4"/>
        <v>301.18</v>
      </c>
      <c r="M40" s="147">
        <v>0.18</v>
      </c>
      <c r="N40" s="145">
        <v>197.82</v>
      </c>
      <c r="O40" s="145">
        <f t="shared" si="5"/>
        <v>499</v>
      </c>
      <c r="P40" s="148">
        <v>0</v>
      </c>
      <c r="Q40" s="149">
        <f>O40</f>
        <v>499</v>
      </c>
      <c r="R40" s="149">
        <f>Q40</f>
        <v>499</v>
      </c>
      <c r="S40" s="149">
        <f>R40</f>
        <v>499</v>
      </c>
      <c r="T40" s="107" t="s">
        <v>91</v>
      </c>
      <c r="U40" s="107">
        <f t="shared" si="3"/>
        <v>1099</v>
      </c>
      <c r="V40" s="150">
        <v>902300</v>
      </c>
      <c r="W40" s="150">
        <v>7000000102</v>
      </c>
    </row>
    <row r="41" spans="1:23">
      <c r="A41" s="135" t="s">
        <v>431</v>
      </c>
      <c r="B41" s="164" t="s">
        <v>39</v>
      </c>
      <c r="C41" s="164" t="s">
        <v>372</v>
      </c>
      <c r="D41" s="164" t="s">
        <v>444</v>
      </c>
      <c r="E41" s="165" t="s">
        <v>430</v>
      </c>
      <c r="F41" s="146" t="s">
        <v>74</v>
      </c>
      <c r="G41" s="146" t="s">
        <v>31</v>
      </c>
      <c r="H41" s="138" t="s">
        <v>374</v>
      </c>
      <c r="I41" s="107" t="s">
        <v>401</v>
      </c>
      <c r="J41" s="139">
        <v>300</v>
      </c>
      <c r="K41" s="50"/>
      <c r="L41" s="139">
        <f t="shared" si="4"/>
        <v>300</v>
      </c>
      <c r="M41" s="140">
        <v>0</v>
      </c>
      <c r="N41" s="139">
        <v>0</v>
      </c>
      <c r="O41" s="139">
        <f t="shared" si="5"/>
        <v>300</v>
      </c>
      <c r="P41" s="141">
        <f>IFERROR(O41/Q41,"")</f>
        <v>0.5</v>
      </c>
      <c r="Q41" s="142">
        <f>SUMIFS(O:O,E:E,E41,B:B,B41,T:T,T41)</f>
        <v>600</v>
      </c>
      <c r="R41" s="142">
        <f>U41-SUMIFS(Q:Q,A:A,A41,B:B,B41,G:G,G41,E:E,E41,T:T,"Fixed Price ( Base Price with GST)")</f>
        <v>600</v>
      </c>
      <c r="S41" s="142">
        <f>P41*R41</f>
        <v>300</v>
      </c>
      <c r="T41" s="107" t="s">
        <v>76</v>
      </c>
      <c r="U41" s="107">
        <f t="shared" si="3"/>
        <v>1099</v>
      </c>
      <c r="V41" s="143">
        <v>490110</v>
      </c>
      <c r="W41" s="143">
        <v>4000007797</v>
      </c>
    </row>
    <row r="42" spans="1:23">
      <c r="A42" s="135" t="s">
        <v>431</v>
      </c>
      <c r="B42" s="164" t="s">
        <v>39</v>
      </c>
      <c r="C42" s="164" t="s">
        <v>376</v>
      </c>
      <c r="D42" s="164" t="s">
        <v>445</v>
      </c>
      <c r="E42" s="165" t="s">
        <v>430</v>
      </c>
      <c r="F42" s="146" t="s">
        <v>74</v>
      </c>
      <c r="G42" s="146" t="s">
        <v>31</v>
      </c>
      <c r="H42" s="144" t="s">
        <v>378</v>
      </c>
      <c r="I42" s="107" t="s">
        <v>403</v>
      </c>
      <c r="J42" s="139">
        <v>300</v>
      </c>
      <c r="K42" s="107">
        <v>0</v>
      </c>
      <c r="L42" s="139">
        <f t="shared" si="4"/>
        <v>300</v>
      </c>
      <c r="M42" s="140">
        <v>0</v>
      </c>
      <c r="N42" s="139">
        <v>0</v>
      </c>
      <c r="O42" s="139">
        <f t="shared" si="5"/>
        <v>300</v>
      </c>
      <c r="P42" s="141">
        <f>IFERROR(O42/Q42,"")</f>
        <v>0.5</v>
      </c>
      <c r="Q42" s="142">
        <f>SUMIFS(O:O,E:E,E42,B:B,B42,T:T,T42)</f>
        <v>600</v>
      </c>
      <c r="R42" s="142">
        <f>U42-SUMIFS(Q:Q,A:A,A42,B:B,B42,G:G,G42,E:E,E42,T:T,"Fixed Price ( Base Price with GST)")</f>
        <v>600</v>
      </c>
      <c r="S42" s="142">
        <f>P42*R42</f>
        <v>300</v>
      </c>
      <c r="T42" s="107" t="s">
        <v>76</v>
      </c>
      <c r="U42" s="107">
        <f t="shared" si="3"/>
        <v>1099</v>
      </c>
      <c r="V42" s="143">
        <v>490110</v>
      </c>
      <c r="W42" s="143">
        <v>4000007805</v>
      </c>
    </row>
    <row r="43" spans="1:23">
      <c r="A43" s="135" t="s">
        <v>431</v>
      </c>
      <c r="B43" s="164" t="s">
        <v>39</v>
      </c>
      <c r="C43" s="164" t="s">
        <v>380</v>
      </c>
      <c r="D43" s="164" t="s">
        <v>446</v>
      </c>
      <c r="E43" s="165" t="s">
        <v>430</v>
      </c>
      <c r="F43" s="144" t="s">
        <v>90</v>
      </c>
      <c r="G43" s="146" t="s">
        <v>31</v>
      </c>
      <c r="H43" s="144" t="s">
        <v>378</v>
      </c>
      <c r="I43" s="107" t="s">
        <v>405</v>
      </c>
      <c r="J43" s="145">
        <v>301.18</v>
      </c>
      <c r="K43" s="146">
        <v>0</v>
      </c>
      <c r="L43" s="145">
        <f t="shared" si="4"/>
        <v>301.18</v>
      </c>
      <c r="M43" s="147">
        <v>0.18</v>
      </c>
      <c r="N43" s="145">
        <v>197.82</v>
      </c>
      <c r="O43" s="145">
        <f t="shared" si="5"/>
        <v>499</v>
      </c>
      <c r="P43" s="148">
        <v>0</v>
      </c>
      <c r="Q43" s="149">
        <f>O43</f>
        <v>499</v>
      </c>
      <c r="R43" s="149">
        <f>Q43</f>
        <v>499</v>
      </c>
      <c r="S43" s="149">
        <f>R43</f>
        <v>499</v>
      </c>
      <c r="T43" s="107" t="s">
        <v>91</v>
      </c>
      <c r="U43" s="107">
        <f t="shared" si="3"/>
        <v>1099</v>
      </c>
      <c r="V43" s="150">
        <v>902300</v>
      </c>
      <c r="W43" s="150">
        <v>7000000103</v>
      </c>
    </row>
    <row r="44" spans="1:23">
      <c r="A44" s="135" t="s">
        <v>431</v>
      </c>
      <c r="B44" s="164" t="s">
        <v>40</v>
      </c>
      <c r="C44" s="164" t="s">
        <v>372</v>
      </c>
      <c r="D44" s="164" t="s">
        <v>447</v>
      </c>
      <c r="E44" s="165" t="s">
        <v>430</v>
      </c>
      <c r="F44" s="146" t="s">
        <v>74</v>
      </c>
      <c r="G44" s="146" t="s">
        <v>31</v>
      </c>
      <c r="H44" s="138" t="s">
        <v>374</v>
      </c>
      <c r="I44" s="107" t="s">
        <v>407</v>
      </c>
      <c r="J44" s="139">
        <v>300</v>
      </c>
      <c r="K44" s="50"/>
      <c r="L44" s="139">
        <f t="shared" si="4"/>
        <v>300</v>
      </c>
      <c r="M44" s="140">
        <v>0</v>
      </c>
      <c r="N44" s="139">
        <v>0</v>
      </c>
      <c r="O44" s="139">
        <f t="shared" si="5"/>
        <v>300</v>
      </c>
      <c r="P44" s="141">
        <f>IFERROR(O44/Q44,"")</f>
        <v>0.5</v>
      </c>
      <c r="Q44" s="142">
        <f>SUMIFS(O:O,E:E,E44,B:B,B44,T:T,T44)</f>
        <v>600</v>
      </c>
      <c r="R44" s="142">
        <f>U44-SUMIFS(Q:Q,A:A,A44,B:B,B44,G:G,G44,E:E,E44,T:T,"Fixed Price ( Base Price with GST)")</f>
        <v>600</v>
      </c>
      <c r="S44" s="142">
        <f>P44*R44</f>
        <v>300</v>
      </c>
      <c r="T44" s="107" t="s">
        <v>76</v>
      </c>
      <c r="U44" s="107">
        <f t="shared" si="3"/>
        <v>1199</v>
      </c>
      <c r="V44" s="143">
        <v>490110</v>
      </c>
      <c r="W44" s="143">
        <v>4000007798</v>
      </c>
    </row>
    <row r="45" spans="1:23">
      <c r="A45" s="135" t="s">
        <v>431</v>
      </c>
      <c r="B45" s="164" t="s">
        <v>40</v>
      </c>
      <c r="C45" s="164" t="s">
        <v>376</v>
      </c>
      <c r="D45" s="164" t="s">
        <v>448</v>
      </c>
      <c r="E45" s="165" t="s">
        <v>430</v>
      </c>
      <c r="F45" s="146" t="s">
        <v>74</v>
      </c>
      <c r="G45" s="146" t="s">
        <v>31</v>
      </c>
      <c r="H45" s="144" t="s">
        <v>378</v>
      </c>
      <c r="I45" s="107" t="s">
        <v>409</v>
      </c>
      <c r="J45" s="139">
        <v>300</v>
      </c>
      <c r="K45" s="107">
        <v>0</v>
      </c>
      <c r="L45" s="139">
        <f t="shared" si="4"/>
        <v>300</v>
      </c>
      <c r="M45" s="140">
        <v>0</v>
      </c>
      <c r="N45" s="139">
        <v>0</v>
      </c>
      <c r="O45" s="139">
        <f t="shared" si="5"/>
        <v>300</v>
      </c>
      <c r="P45" s="141">
        <f>IFERROR(O45/Q45,"")</f>
        <v>0.5</v>
      </c>
      <c r="Q45" s="142">
        <f>SUMIFS(O:O,E:E,E45,B:B,B45,T:T,T45)</f>
        <v>600</v>
      </c>
      <c r="R45" s="142">
        <f>U45-SUMIFS(Q:Q,A:A,A45,B:B,B45,G:G,G45,E:E,E45,T:T,"Fixed Price ( Base Price with GST)")</f>
        <v>600</v>
      </c>
      <c r="S45" s="142">
        <f>P45*R45</f>
        <v>300</v>
      </c>
      <c r="T45" s="107" t="s">
        <v>76</v>
      </c>
      <c r="U45" s="107">
        <f t="shared" si="3"/>
        <v>1199</v>
      </c>
      <c r="V45" s="143">
        <v>490110</v>
      </c>
      <c r="W45" s="143">
        <v>4000007806</v>
      </c>
    </row>
    <row r="46" spans="1:23">
      <c r="A46" s="135" t="s">
        <v>431</v>
      </c>
      <c r="B46" s="164" t="s">
        <v>40</v>
      </c>
      <c r="C46" s="164" t="s">
        <v>380</v>
      </c>
      <c r="D46" s="164" t="s">
        <v>449</v>
      </c>
      <c r="E46" s="165" t="s">
        <v>430</v>
      </c>
      <c r="F46" s="144" t="s">
        <v>90</v>
      </c>
      <c r="G46" s="146" t="s">
        <v>31</v>
      </c>
      <c r="H46" s="144" t="s">
        <v>378</v>
      </c>
      <c r="I46" s="107" t="s">
        <v>411</v>
      </c>
      <c r="J46" s="145">
        <v>383.18</v>
      </c>
      <c r="K46" s="146">
        <v>0</v>
      </c>
      <c r="L46" s="145">
        <f t="shared" si="4"/>
        <v>383.18</v>
      </c>
      <c r="M46" s="147">
        <v>0.18</v>
      </c>
      <c r="N46" s="145">
        <v>215.82</v>
      </c>
      <c r="O46" s="145">
        <f t="shared" si="5"/>
        <v>599</v>
      </c>
      <c r="P46" s="148">
        <v>0</v>
      </c>
      <c r="Q46" s="149">
        <f>O46</f>
        <v>599</v>
      </c>
      <c r="R46" s="149">
        <f>Q46</f>
        <v>599</v>
      </c>
      <c r="S46" s="149">
        <f>R46</f>
        <v>599</v>
      </c>
      <c r="T46" s="107" t="s">
        <v>91</v>
      </c>
      <c r="U46" s="107">
        <f t="shared" si="3"/>
        <v>1199</v>
      </c>
      <c r="V46" s="150">
        <v>902300</v>
      </c>
      <c r="W46" s="150">
        <v>7000000104</v>
      </c>
    </row>
    <row r="47" spans="1:23">
      <c r="A47" s="135" t="s">
        <v>431</v>
      </c>
      <c r="B47" s="164" t="s">
        <v>41</v>
      </c>
      <c r="C47" s="164" t="s">
        <v>372</v>
      </c>
      <c r="D47" s="164" t="s">
        <v>450</v>
      </c>
      <c r="E47" s="165" t="s">
        <v>430</v>
      </c>
      <c r="F47" s="146" t="s">
        <v>74</v>
      </c>
      <c r="G47" s="146" t="s">
        <v>31</v>
      </c>
      <c r="H47" s="138" t="s">
        <v>374</v>
      </c>
      <c r="I47" s="107" t="s">
        <v>413</v>
      </c>
      <c r="J47" s="139">
        <v>300</v>
      </c>
      <c r="K47" s="50"/>
      <c r="L47" s="139">
        <f t="shared" si="4"/>
        <v>300</v>
      </c>
      <c r="M47" s="140">
        <v>0</v>
      </c>
      <c r="N47" s="139">
        <v>0</v>
      </c>
      <c r="O47" s="139">
        <f t="shared" si="5"/>
        <v>300</v>
      </c>
      <c r="P47" s="141">
        <f>IFERROR(O47/Q47,"")</f>
        <v>0.5</v>
      </c>
      <c r="Q47" s="142">
        <f>SUMIFS(O:O,E:E,E47,B:B,B47,T:T,T47)</f>
        <v>600</v>
      </c>
      <c r="R47" s="142">
        <f>U47-SUMIFS(Q:Q,A:A,A47,B:B,B47,G:G,G47,E:E,E47,T:T,"Fixed Price ( Base Price with GST)")</f>
        <v>600</v>
      </c>
      <c r="S47" s="142">
        <f>P47*R47</f>
        <v>300</v>
      </c>
      <c r="T47" s="107" t="s">
        <v>76</v>
      </c>
      <c r="U47" s="107">
        <f t="shared" si="3"/>
        <v>1199</v>
      </c>
      <c r="V47" s="143">
        <v>490110</v>
      </c>
      <c r="W47" s="143">
        <v>4000007799</v>
      </c>
    </row>
    <row r="48" spans="1:23">
      <c r="A48" s="135" t="s">
        <v>431</v>
      </c>
      <c r="B48" s="164" t="s">
        <v>41</v>
      </c>
      <c r="C48" s="164" t="s">
        <v>376</v>
      </c>
      <c r="D48" s="164" t="s">
        <v>451</v>
      </c>
      <c r="E48" s="165" t="s">
        <v>430</v>
      </c>
      <c r="F48" s="146" t="s">
        <v>74</v>
      </c>
      <c r="G48" s="146" t="s">
        <v>31</v>
      </c>
      <c r="H48" s="144" t="s">
        <v>378</v>
      </c>
      <c r="I48" s="107" t="s">
        <v>415</v>
      </c>
      <c r="J48" s="139">
        <v>300</v>
      </c>
      <c r="K48" s="107">
        <v>0</v>
      </c>
      <c r="L48" s="139">
        <f t="shared" si="4"/>
        <v>300</v>
      </c>
      <c r="M48" s="140">
        <v>0</v>
      </c>
      <c r="N48" s="139">
        <v>0</v>
      </c>
      <c r="O48" s="139">
        <f t="shared" si="5"/>
        <v>300</v>
      </c>
      <c r="P48" s="141">
        <f>IFERROR(O48/Q48,"")</f>
        <v>0.5</v>
      </c>
      <c r="Q48" s="142">
        <f>SUMIFS(O:O,E:E,E48,B:B,B48,T:T,T48)</f>
        <v>600</v>
      </c>
      <c r="R48" s="142">
        <f>U48-SUMIFS(Q:Q,A:A,A48,B:B,B48,G:G,G48,E:E,E48,T:T,"Fixed Price ( Base Price with GST)")</f>
        <v>600</v>
      </c>
      <c r="S48" s="142">
        <f>P48*R48</f>
        <v>300</v>
      </c>
      <c r="T48" s="107" t="s">
        <v>76</v>
      </c>
      <c r="U48" s="107">
        <f t="shared" si="3"/>
        <v>1199</v>
      </c>
      <c r="V48" s="143">
        <v>490110</v>
      </c>
      <c r="W48" s="143">
        <v>4000007807</v>
      </c>
    </row>
    <row r="49" spans="1:23">
      <c r="A49" s="135" t="s">
        <v>431</v>
      </c>
      <c r="B49" s="164" t="s">
        <v>41</v>
      </c>
      <c r="C49" s="164" t="s">
        <v>380</v>
      </c>
      <c r="D49" s="164" t="s">
        <v>452</v>
      </c>
      <c r="E49" s="165" t="s">
        <v>430</v>
      </c>
      <c r="F49" s="144" t="s">
        <v>90</v>
      </c>
      <c r="G49" s="146" t="s">
        <v>31</v>
      </c>
      <c r="H49" s="144" t="s">
        <v>378</v>
      </c>
      <c r="I49" s="107" t="s">
        <v>417</v>
      </c>
      <c r="J49" s="145">
        <v>383.18</v>
      </c>
      <c r="K49" s="146">
        <v>0</v>
      </c>
      <c r="L49" s="145">
        <f t="shared" si="4"/>
        <v>383.18</v>
      </c>
      <c r="M49" s="147">
        <v>0.18</v>
      </c>
      <c r="N49" s="145">
        <v>215.82</v>
      </c>
      <c r="O49" s="145">
        <f t="shared" si="5"/>
        <v>599</v>
      </c>
      <c r="P49" s="148">
        <v>0</v>
      </c>
      <c r="Q49" s="149">
        <f>O49</f>
        <v>599</v>
      </c>
      <c r="R49" s="149">
        <f>Q49</f>
        <v>599</v>
      </c>
      <c r="S49" s="149">
        <f>R49</f>
        <v>599</v>
      </c>
      <c r="T49" s="107" t="s">
        <v>91</v>
      </c>
      <c r="U49" s="107">
        <f t="shared" si="3"/>
        <v>1199</v>
      </c>
      <c r="V49" s="150">
        <v>902300</v>
      </c>
      <c r="W49" s="150">
        <v>7000000105</v>
      </c>
    </row>
    <row r="50" spans="1:23">
      <c r="A50" s="135" t="s">
        <v>431</v>
      </c>
      <c r="B50" s="164" t="s">
        <v>42</v>
      </c>
      <c r="C50" s="164" t="s">
        <v>372</v>
      </c>
      <c r="D50" s="164" t="s">
        <v>453</v>
      </c>
      <c r="E50" s="165" t="s">
        <v>430</v>
      </c>
      <c r="F50" s="146" t="s">
        <v>74</v>
      </c>
      <c r="G50" s="146" t="s">
        <v>31</v>
      </c>
      <c r="H50" s="138" t="s">
        <v>374</v>
      </c>
      <c r="I50" s="107" t="s">
        <v>419</v>
      </c>
      <c r="J50" s="139">
        <v>300</v>
      </c>
      <c r="K50" s="50"/>
      <c r="L50" s="139">
        <f t="shared" si="4"/>
        <v>300</v>
      </c>
      <c r="M50" s="140">
        <v>0</v>
      </c>
      <c r="N50" s="139">
        <v>0</v>
      </c>
      <c r="O50" s="139">
        <f t="shared" si="5"/>
        <v>300</v>
      </c>
      <c r="P50" s="141">
        <f>IFERROR(O50/Q50,"")</f>
        <v>0.5</v>
      </c>
      <c r="Q50" s="142">
        <f>SUMIFS(O:O,E:E,E50,B:B,B50,T:T,T50)</f>
        <v>600</v>
      </c>
      <c r="R50" s="142">
        <f>U50-SUMIFS(Q:Q,A:A,A50,B:B,B50,G:G,G50,E:E,E50,T:T,"Fixed Price ( Base Price with GST)")</f>
        <v>600</v>
      </c>
      <c r="S50" s="142">
        <f>P50*R50</f>
        <v>300</v>
      </c>
      <c r="T50" s="107" t="s">
        <v>76</v>
      </c>
      <c r="U50" s="107">
        <f t="shared" si="3"/>
        <v>1299</v>
      </c>
      <c r="V50" s="143">
        <v>490110</v>
      </c>
      <c r="W50" s="143">
        <v>4000007800</v>
      </c>
    </row>
    <row r="51" spans="1:23">
      <c r="A51" s="135" t="s">
        <v>431</v>
      </c>
      <c r="B51" s="164" t="s">
        <v>42</v>
      </c>
      <c r="C51" s="164" t="s">
        <v>376</v>
      </c>
      <c r="D51" s="164" t="s">
        <v>454</v>
      </c>
      <c r="E51" s="165" t="s">
        <v>430</v>
      </c>
      <c r="F51" s="146" t="s">
        <v>74</v>
      </c>
      <c r="G51" s="146" t="s">
        <v>31</v>
      </c>
      <c r="H51" s="144" t="s">
        <v>378</v>
      </c>
      <c r="I51" s="107" t="s">
        <v>421</v>
      </c>
      <c r="J51" s="139">
        <v>300</v>
      </c>
      <c r="K51" s="107">
        <v>0</v>
      </c>
      <c r="L51" s="139">
        <f t="shared" si="4"/>
        <v>300</v>
      </c>
      <c r="M51" s="140">
        <v>0</v>
      </c>
      <c r="N51" s="139">
        <v>0</v>
      </c>
      <c r="O51" s="139">
        <f t="shared" si="5"/>
        <v>300</v>
      </c>
      <c r="P51" s="141">
        <f>IFERROR(O51/Q51,"")</f>
        <v>0.5</v>
      </c>
      <c r="Q51" s="142">
        <f>SUMIFS(O:O,E:E,E51,B:B,B51,T:T,T51)</f>
        <v>600</v>
      </c>
      <c r="R51" s="142">
        <f>U51-SUMIFS(Q:Q,A:A,A51,B:B,B51,G:G,G51,E:E,E51,T:T,"Fixed Price ( Base Price with GST)")</f>
        <v>600</v>
      </c>
      <c r="S51" s="142">
        <f>P51*R51</f>
        <v>300</v>
      </c>
      <c r="T51" s="107" t="s">
        <v>76</v>
      </c>
      <c r="U51" s="107">
        <f t="shared" si="3"/>
        <v>1299</v>
      </c>
      <c r="V51" s="143">
        <v>490110</v>
      </c>
      <c r="W51" s="143">
        <v>4000007808</v>
      </c>
    </row>
    <row r="52" spans="1:23">
      <c r="A52" s="135" t="s">
        <v>431</v>
      </c>
      <c r="B52" s="164" t="s">
        <v>42</v>
      </c>
      <c r="C52" s="164" t="s">
        <v>380</v>
      </c>
      <c r="D52" s="164" t="s">
        <v>455</v>
      </c>
      <c r="E52" s="165" t="s">
        <v>430</v>
      </c>
      <c r="F52" s="144" t="s">
        <v>90</v>
      </c>
      <c r="G52" s="146" t="s">
        <v>31</v>
      </c>
      <c r="H52" s="144" t="s">
        <v>378</v>
      </c>
      <c r="I52" s="107" t="s">
        <v>423</v>
      </c>
      <c r="J52" s="145">
        <v>465.18</v>
      </c>
      <c r="K52" s="146">
        <v>0</v>
      </c>
      <c r="L52" s="145">
        <f t="shared" si="4"/>
        <v>465.18</v>
      </c>
      <c r="M52" s="147">
        <v>0.18</v>
      </c>
      <c r="N52" s="145">
        <v>233.82</v>
      </c>
      <c r="O52" s="145">
        <f t="shared" si="5"/>
        <v>699</v>
      </c>
      <c r="P52" s="148">
        <v>0</v>
      </c>
      <c r="Q52" s="149">
        <f>O52</f>
        <v>699</v>
      </c>
      <c r="R52" s="149">
        <f>Q52</f>
        <v>699</v>
      </c>
      <c r="S52" s="149">
        <f>R52</f>
        <v>699</v>
      </c>
      <c r="T52" s="107" t="s">
        <v>91</v>
      </c>
      <c r="U52" s="107">
        <f t="shared" si="3"/>
        <v>1299</v>
      </c>
      <c r="V52" s="150">
        <v>902300</v>
      </c>
      <c r="W52" s="150">
        <v>7000000214</v>
      </c>
    </row>
    <row r="53" spans="1:23">
      <c r="A53" s="135" t="s">
        <v>431</v>
      </c>
      <c r="B53" s="164" t="s">
        <v>48</v>
      </c>
      <c r="C53" s="164" t="s">
        <v>372</v>
      </c>
      <c r="D53" s="164" t="s">
        <v>456</v>
      </c>
      <c r="E53" s="165" t="s">
        <v>430</v>
      </c>
      <c r="F53" s="146" t="s">
        <v>74</v>
      </c>
      <c r="G53" s="146" t="s">
        <v>31</v>
      </c>
      <c r="H53" s="138" t="s">
        <v>374</v>
      </c>
      <c r="I53" s="107" t="s">
        <v>425</v>
      </c>
      <c r="J53" s="139">
        <v>300</v>
      </c>
      <c r="K53" s="50"/>
      <c r="L53" s="139">
        <f t="shared" si="4"/>
        <v>300</v>
      </c>
      <c r="M53" s="140">
        <v>0</v>
      </c>
      <c r="N53" s="139">
        <v>0</v>
      </c>
      <c r="O53" s="139">
        <f t="shared" si="5"/>
        <v>300</v>
      </c>
      <c r="P53" s="141">
        <f>IFERROR(O53/Q53,"")</f>
        <v>0.5</v>
      </c>
      <c r="Q53" s="142">
        <f>SUMIFS(O:O,E:E,E53,B:B,B53,T:T,T53)</f>
        <v>600</v>
      </c>
      <c r="R53" s="142">
        <f>U53-SUMIFS(Q:Q,A:A,A53,B:B,B53,G:G,G53,E:E,E53,T:T,"Fixed Price ( Base Price with GST)")</f>
        <v>600</v>
      </c>
      <c r="S53" s="142">
        <f>P53*R53</f>
        <v>300</v>
      </c>
      <c r="T53" s="107" t="s">
        <v>76</v>
      </c>
      <c r="U53" s="107">
        <f t="shared" si="3"/>
        <v>1299</v>
      </c>
      <c r="V53" s="143">
        <v>490110</v>
      </c>
      <c r="W53" s="143">
        <v>4000007801</v>
      </c>
    </row>
    <row r="54" spans="1:23">
      <c r="A54" s="135" t="s">
        <v>431</v>
      </c>
      <c r="B54" s="164" t="s">
        <v>48</v>
      </c>
      <c r="C54" s="164" t="s">
        <v>376</v>
      </c>
      <c r="D54" s="164" t="s">
        <v>457</v>
      </c>
      <c r="E54" s="165" t="s">
        <v>430</v>
      </c>
      <c r="F54" s="146" t="s">
        <v>74</v>
      </c>
      <c r="G54" s="146" t="s">
        <v>31</v>
      </c>
      <c r="H54" s="144" t="s">
        <v>378</v>
      </c>
      <c r="I54" s="107" t="s">
        <v>427</v>
      </c>
      <c r="J54" s="139">
        <v>300</v>
      </c>
      <c r="K54" s="107">
        <v>0</v>
      </c>
      <c r="L54" s="139">
        <f t="shared" si="4"/>
        <v>300</v>
      </c>
      <c r="M54" s="140">
        <v>0</v>
      </c>
      <c r="N54" s="139">
        <v>0</v>
      </c>
      <c r="O54" s="139">
        <f t="shared" si="5"/>
        <v>300</v>
      </c>
      <c r="P54" s="141">
        <f>IFERROR(O54/Q54,"")</f>
        <v>0.5</v>
      </c>
      <c r="Q54" s="142">
        <f>SUMIFS(O:O,E:E,E54,B:B,B54,T:T,T54)</f>
        <v>600</v>
      </c>
      <c r="R54" s="142">
        <f>U54-SUMIFS(Q:Q,A:A,A54,B:B,B54,G:G,G54,E:E,E54,T:T,"Fixed Price ( Base Price with GST)")</f>
        <v>600</v>
      </c>
      <c r="S54" s="142">
        <f>P54*R54</f>
        <v>300</v>
      </c>
      <c r="T54" s="107" t="s">
        <v>76</v>
      </c>
      <c r="U54" s="107">
        <f t="shared" si="3"/>
        <v>1299</v>
      </c>
      <c r="V54" s="143">
        <v>490110</v>
      </c>
      <c r="W54" s="143">
        <v>4000007809</v>
      </c>
    </row>
    <row r="55" spans="1:23">
      <c r="A55" s="135" t="s">
        <v>431</v>
      </c>
      <c r="B55" s="164" t="s">
        <v>48</v>
      </c>
      <c r="C55" s="164" t="s">
        <v>380</v>
      </c>
      <c r="D55" s="164" t="s">
        <v>428</v>
      </c>
      <c r="E55" s="165" t="s">
        <v>430</v>
      </c>
      <c r="F55" s="144" t="s">
        <v>90</v>
      </c>
      <c r="G55" s="146" t="s">
        <v>31</v>
      </c>
      <c r="H55" s="144" t="s">
        <v>378</v>
      </c>
      <c r="I55" s="107" t="s">
        <v>429</v>
      </c>
      <c r="J55" s="145">
        <v>465.18</v>
      </c>
      <c r="K55" s="146">
        <v>0</v>
      </c>
      <c r="L55" s="145">
        <f t="shared" si="4"/>
        <v>465.18</v>
      </c>
      <c r="M55" s="147">
        <v>0.18</v>
      </c>
      <c r="N55" s="145">
        <v>233.82</v>
      </c>
      <c r="O55" s="145">
        <f t="shared" si="5"/>
        <v>699</v>
      </c>
      <c r="P55" s="148">
        <v>0</v>
      </c>
      <c r="Q55" s="149">
        <f>O55</f>
        <v>699</v>
      </c>
      <c r="R55" s="149">
        <f>Q55</f>
        <v>699</v>
      </c>
      <c r="S55" s="149">
        <f>R55</f>
        <v>699</v>
      </c>
      <c r="T55" s="107" t="s">
        <v>91</v>
      </c>
      <c r="U55" s="107">
        <f t="shared" si="3"/>
        <v>1299</v>
      </c>
      <c r="V55" s="150">
        <v>902300</v>
      </c>
      <c r="W55" s="150">
        <v>7000000215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Product Type Summary</vt:lpstr>
      <vt:lpstr>Academic Year Summary</vt:lpstr>
      <vt:lpstr>Grade Summary</vt:lpstr>
      <vt:lpstr>Margin Analysis</vt:lpstr>
      <vt:lpstr>Assumptions</vt:lpstr>
      <vt:lpstr>Source - Core 27-28</vt:lpstr>
      <vt:lpstr>Source - MINI 27-28</vt:lpstr>
      <vt:lpstr>Source - MINI+WB 27-28</vt:lpstr>
      <vt:lpstr>Source - Optional 26-27</vt:lpstr>
      <vt:lpstr>Source - CSR 26-27</vt:lpstr>
      <vt:lpstr>Source - CSR 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PankajKumar Dubey</cp:lastModifiedBy>
  <dcterms:created xsi:type="dcterms:W3CDTF">2026-08-20T05:23:32Z</dcterms:created>
  <dcterms:modified xsi:type="dcterms:W3CDTF">2026-08-20T05:23:32Z</dcterms:modified>
</cp:coreProperties>
</file>